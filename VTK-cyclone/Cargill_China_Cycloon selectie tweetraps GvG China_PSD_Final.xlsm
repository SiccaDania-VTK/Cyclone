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drawings/drawing3.xml" ContentType="application/vnd.openxmlformats-officedocument.drawing+xml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V:\Quotations\Q2020\Q201021 - Cargill China\06. Sizing data equipment\"/>
    </mc:Choice>
  </mc:AlternateContent>
  <xr:revisionPtr revIDLastSave="0" documentId="14_{29F4F161-D3F6-4010-9BAC-E3B403186DB8}" xr6:coauthVersionLast="45" xr6:coauthVersionMax="45" xr10:uidLastSave="{00000000-0000-0000-0000-000000000000}"/>
  <bookViews>
    <workbookView xWindow="5790" yWindow="1305" windowWidth="22335" windowHeight="11790" tabRatio="674" activeTab="5" xr2:uid="{00000000-000D-0000-FFFF-FFFF00000000}"/>
  </bookViews>
  <sheets>
    <sheet name="INVOER" sheetId="2" r:id="rId1"/>
    <sheet name="Berekening trap 1" sheetId="3" r:id="rId2"/>
    <sheet name="Berekening trap 2" sheetId="52254" r:id="rId3"/>
    <sheet name="OUTPUT trap 1" sheetId="52252" r:id="rId4"/>
    <sheet name="OUTPUT trap 2" sheetId="52256" r:id="rId5"/>
    <sheet name="OUTPUT trap 1&amp;2" sheetId="52255" r:id="rId6"/>
  </sheets>
  <externalReferences>
    <externalReference r:id="rId7"/>
    <externalReference r:id="rId8"/>
    <externalReference r:id="rId9"/>
  </externalReferences>
  <definedNames>
    <definedName name="_xlnm.Print_Area" localSheetId="1">'Berekening trap 1'!#REF!</definedName>
    <definedName name="_xlnm.Print_Area" localSheetId="2">'Berekening trap 2'!#REF!</definedName>
    <definedName name="_xlnm.Print_Area" localSheetId="0">INVOER!$A$1:$K$101</definedName>
    <definedName name="_xlnm.Print_Area" localSheetId="3">'OUTPUT trap 1'!$A$1:$P$83</definedName>
    <definedName name="_xlnm.Print_Area" localSheetId="5">'OUTPUT trap 1&amp;2'!$A$1:$P$84</definedName>
    <definedName name="_xlnm.Print_Area" localSheetId="4">'OUTPUT trap 2'!$A$1:$P$83</definedName>
    <definedName name="Al">[1]Tabellen!$C$74</definedName>
    <definedName name="ASDIA" localSheetId="2">[1]Tabellen!#REF!</definedName>
    <definedName name="ASDIA" localSheetId="5">[1]Tabellen!#REF!</definedName>
    <definedName name="ASDIA" localSheetId="4">[1]Tabellen!#REF!</definedName>
    <definedName name="ASDIA">[1]Tabellen!#REF!</definedName>
    <definedName name="isolatie">[1]Tabellen!$A$67:$M$84</definedName>
    <definedName name="lijst">[1]Tabellen!$A$6:$V$25</definedName>
    <definedName name="reductie">'[2]Dempings waarden'!$A$3:$K$14</definedName>
    <definedName name="veld">[3]page1!$E$3:$AJ$83</definedName>
    <definedName name="vsnaarenlager" localSheetId="2">[1]Tabellen!#REF!</definedName>
    <definedName name="vsnaarenlager" localSheetId="5">[1]Tabellen!#REF!</definedName>
    <definedName name="vsnaarenlager" localSheetId="4">[1]Tabellen!#REF!</definedName>
    <definedName name="vsnaarenlager">[1]Tabellen!#REF!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104" i="3" l="1"/>
  <c r="AC104" i="3" s="1"/>
  <c r="K24" i="52254" l="1"/>
  <c r="D18" i="52255"/>
  <c r="D23" i="52255"/>
  <c r="J20" i="52255"/>
  <c r="M19" i="52255" s="1"/>
  <c r="M25" i="52255" s="1"/>
  <c r="J19" i="52255"/>
  <c r="E19" i="52255"/>
  <c r="J8" i="52256"/>
  <c r="M7" i="52256" s="1"/>
  <c r="J7" i="52256"/>
  <c r="D6" i="52256"/>
  <c r="D11" i="52256"/>
  <c r="J5" i="52256"/>
  <c r="O4" i="52256"/>
  <c r="J4" i="52256"/>
  <c r="O3" i="52256"/>
  <c r="J3" i="52256"/>
  <c r="D13" i="52255"/>
  <c r="J9" i="52255"/>
  <c r="D9" i="52255"/>
  <c r="D8" i="52255"/>
  <c r="J5" i="52255"/>
  <c r="O4" i="52255"/>
  <c r="J4" i="52255"/>
  <c r="O3" i="52255"/>
  <c r="J3" i="52255"/>
  <c r="T15" i="2"/>
  <c r="D12" i="52255" s="1"/>
  <c r="K22" i="52254"/>
  <c r="B63" i="3"/>
  <c r="U37" i="2"/>
  <c r="J24" i="52255" s="1"/>
  <c r="U36" i="2"/>
  <c r="J14" i="52255" s="1"/>
  <c r="K41" i="52254"/>
  <c r="K40" i="52254"/>
  <c r="K39" i="52254"/>
  <c r="K38" i="52254"/>
  <c r="K37" i="52254"/>
  <c r="K36" i="52254"/>
  <c r="K35" i="52254"/>
  <c r="K43" i="52254"/>
  <c r="K34" i="52254"/>
  <c r="K29" i="52254"/>
  <c r="K28" i="52254"/>
  <c r="K27" i="52254"/>
  <c r="K26" i="52254"/>
  <c r="K25" i="52254"/>
  <c r="K23" i="52254"/>
  <c r="K6" i="52256" s="1"/>
  <c r="T9" i="2"/>
  <c r="U9" i="2" s="1"/>
  <c r="T19" i="2" s="1"/>
  <c r="C8" i="52254"/>
  <c r="C9" i="52254"/>
  <c r="C15" i="52254"/>
  <c r="C14" i="52254"/>
  <c r="B54" i="52254" s="1"/>
  <c r="C13" i="52254"/>
  <c r="C12" i="52254"/>
  <c r="C11" i="52254"/>
  <c r="K23" i="3"/>
  <c r="K8" i="52255" s="1"/>
  <c r="K24" i="3"/>
  <c r="K25" i="3"/>
  <c r="K26" i="3"/>
  <c r="K27" i="3"/>
  <c r="K28" i="3"/>
  <c r="T2" i="2"/>
  <c r="T6" i="2" s="1"/>
  <c r="U2" i="2"/>
  <c r="E7" i="52256" s="1"/>
  <c r="D13" i="52254"/>
  <c r="D12" i="52254"/>
  <c r="A12" i="52254"/>
  <c r="A11" i="52254"/>
  <c r="D9" i="52254"/>
  <c r="A9" i="52254"/>
  <c r="D8" i="52254"/>
  <c r="A8" i="52254"/>
  <c r="A7" i="52254"/>
  <c r="A6" i="52254"/>
  <c r="T32" i="52254" l="1"/>
  <c r="E9" i="52255"/>
  <c r="J9" i="52256"/>
  <c r="K18" i="52255"/>
  <c r="J12" i="52256"/>
  <c r="J21" i="52255"/>
  <c r="O23" i="52255"/>
  <c r="O7" i="52256"/>
  <c r="M9" i="52256"/>
  <c r="O9" i="52256"/>
  <c r="M11" i="52256"/>
  <c r="M8" i="52256"/>
  <c r="M10" i="52256"/>
  <c r="M12" i="52256"/>
  <c r="O8" i="52256"/>
  <c r="O10" i="52256"/>
  <c r="O12" i="52256" s="1"/>
  <c r="O19" i="52255"/>
  <c r="O20" i="52255"/>
  <c r="M21" i="52255"/>
  <c r="M24" i="52255"/>
  <c r="M20" i="52255"/>
  <c r="O11" i="52256"/>
  <c r="O21" i="52255"/>
  <c r="O22" i="52255"/>
  <c r="O24" i="52255" s="1"/>
  <c r="M22" i="52255"/>
  <c r="M23" i="52255"/>
  <c r="M13" i="52256"/>
  <c r="U19" i="2"/>
  <c r="V10" i="2"/>
  <c r="U15" i="2"/>
  <c r="C17" i="2"/>
  <c r="T33" i="52254"/>
  <c r="T34" i="52254"/>
  <c r="T35" i="52254"/>
  <c r="T36" i="52254"/>
  <c r="T39" i="52254" s="1"/>
  <c r="F10" i="52256" l="1"/>
  <c r="F22" i="52255"/>
  <c r="F12" i="52255"/>
  <c r="C13" i="3" l="1"/>
  <c r="J10" i="52255" s="1"/>
  <c r="M9" i="52255" s="1"/>
  <c r="C12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93" i="3"/>
  <c r="Z84" i="3"/>
  <c r="Z79" i="3"/>
  <c r="Z77" i="3"/>
  <c r="AA77" i="3"/>
  <c r="AC77" i="3" s="1"/>
  <c r="Z78" i="3"/>
  <c r="AA78" i="3"/>
  <c r="AC78" i="3" s="1"/>
  <c r="Z110" i="3"/>
  <c r="Z92" i="3"/>
  <c r="Z83" i="3"/>
  <c r="C14" i="3"/>
  <c r="T34" i="3" s="1"/>
  <c r="AA79" i="3"/>
  <c r="AC79" i="3" s="1"/>
  <c r="Z80" i="3"/>
  <c r="Z81" i="3"/>
  <c r="AA80" i="3"/>
  <c r="AC80" i="3" s="1"/>
  <c r="Z82" i="3"/>
  <c r="AA81" i="3"/>
  <c r="AC81" i="3" s="1"/>
  <c r="AA82" i="3"/>
  <c r="AC82" i="3" s="1"/>
  <c r="AA83" i="3"/>
  <c r="AC83" i="3" s="1"/>
  <c r="Z87" i="3"/>
  <c r="Z85" i="3"/>
  <c r="AA84" i="3"/>
  <c r="AC84" i="3" s="1"/>
  <c r="Z88" i="3"/>
  <c r="Z86" i="3"/>
  <c r="AA85" i="3"/>
  <c r="AC85" i="3" s="1"/>
  <c r="AA86" i="3"/>
  <c r="AC86" i="3" s="1"/>
  <c r="AA87" i="3"/>
  <c r="AC87" i="3" s="1"/>
  <c r="Z89" i="3"/>
  <c r="AA88" i="3"/>
  <c r="AC88" i="3" s="1"/>
  <c r="Z90" i="3"/>
  <c r="AA89" i="3"/>
  <c r="AC89" i="3" s="1"/>
  <c r="Z91" i="3"/>
  <c r="AA90" i="3"/>
  <c r="AC90" i="3" s="1"/>
  <c r="AA91" i="3"/>
  <c r="AC91" i="3" s="1"/>
  <c r="AA92" i="3"/>
  <c r="AC92" i="3" s="1"/>
  <c r="Z101" i="3"/>
  <c r="Z96" i="3"/>
  <c r="Z94" i="3"/>
  <c r="AA93" i="3"/>
  <c r="AC93" i="3" s="1"/>
  <c r="Z102" i="3"/>
  <c r="Z97" i="3"/>
  <c r="Z95" i="3"/>
  <c r="AA94" i="3"/>
  <c r="AC94" i="3" s="1"/>
  <c r="AA95" i="3"/>
  <c r="AC95" i="3" s="1"/>
  <c r="AA96" i="3"/>
  <c r="AC96" i="3" s="1"/>
  <c r="Z98" i="3"/>
  <c r="AA97" i="3"/>
  <c r="AC97" i="3" s="1"/>
  <c r="Z99" i="3"/>
  <c r="AA98" i="3"/>
  <c r="AC98" i="3" s="1"/>
  <c r="Z100" i="3"/>
  <c r="AA99" i="3"/>
  <c r="AC99" i="3" s="1"/>
  <c r="AA100" i="3"/>
  <c r="AC100" i="3" s="1"/>
  <c r="AA101" i="3"/>
  <c r="AC101" i="3" s="1"/>
  <c r="J12" i="52252"/>
  <c r="C15" i="3"/>
  <c r="AD91" i="3"/>
  <c r="V9" i="2"/>
  <c r="J3" i="52252"/>
  <c r="O3" i="52252"/>
  <c r="J4" i="52252"/>
  <c r="O4" i="52252"/>
  <c r="J5" i="52252"/>
  <c r="D6" i="52252"/>
  <c r="D7" i="52252"/>
  <c r="E7" i="52252"/>
  <c r="J7" i="52252"/>
  <c r="D10" i="52252"/>
  <c r="D11" i="52252"/>
  <c r="C9" i="3"/>
  <c r="Z105" i="3"/>
  <c r="Z103" i="3"/>
  <c r="AA102" i="3"/>
  <c r="AC102" i="3" s="1"/>
  <c r="Z106" i="3"/>
  <c r="Z104" i="3"/>
  <c r="AA103" i="3"/>
  <c r="AC103" i="3" s="1"/>
  <c r="AA105" i="3"/>
  <c r="AC105" i="3" s="1"/>
  <c r="Z107" i="3"/>
  <c r="AA106" i="3"/>
  <c r="AC106" i="3" s="1"/>
  <c r="Z108" i="3"/>
  <c r="AA107" i="3"/>
  <c r="AC107" i="3" s="1"/>
  <c r="Z109" i="3"/>
  <c r="AA108" i="3"/>
  <c r="AC108" i="3" s="1"/>
  <c r="AA109" i="3"/>
  <c r="AC109" i="3" s="1"/>
  <c r="AA110" i="3"/>
  <c r="AC110" i="3" s="1"/>
  <c r="AA145" i="3"/>
  <c r="AC145" i="3" s="1"/>
  <c r="A6" i="3"/>
  <c r="A7" i="3"/>
  <c r="A8" i="3"/>
  <c r="C8" i="3"/>
  <c r="D8" i="3"/>
  <c r="A9" i="3"/>
  <c r="D9" i="3"/>
  <c r="A11" i="3"/>
  <c r="A12" i="3"/>
  <c r="D12" i="3"/>
  <c r="D13" i="3"/>
  <c r="AC76" i="3"/>
  <c r="Y77" i="3"/>
  <c r="Y78" i="3" s="1"/>
  <c r="Y79" i="3" s="1"/>
  <c r="Y80" i="3" s="1"/>
  <c r="Y81" i="3" s="1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04" i="3"/>
  <c r="AD105" i="3"/>
  <c r="AD106" i="3"/>
  <c r="AD107" i="3"/>
  <c r="AD108" i="3"/>
  <c r="AD109" i="3"/>
  <c r="AD110" i="3"/>
  <c r="AA111" i="3"/>
  <c r="AC111" i="3" s="1"/>
  <c r="AD111" i="3"/>
  <c r="AA112" i="3"/>
  <c r="AC112" i="3" s="1"/>
  <c r="AD112" i="3"/>
  <c r="AA113" i="3"/>
  <c r="AC113" i="3" s="1"/>
  <c r="AD113" i="3"/>
  <c r="AA114" i="3"/>
  <c r="AC114" i="3" s="1"/>
  <c r="AD114" i="3"/>
  <c r="AA115" i="3"/>
  <c r="AC115" i="3" s="1"/>
  <c r="AD115" i="3"/>
  <c r="AA116" i="3"/>
  <c r="AC116" i="3" s="1"/>
  <c r="AD116" i="3"/>
  <c r="AA117" i="3"/>
  <c r="AC117" i="3" s="1"/>
  <c r="AD117" i="3"/>
  <c r="AA118" i="3"/>
  <c r="AC118" i="3" s="1"/>
  <c r="AD118" i="3"/>
  <c r="AA119" i="3"/>
  <c r="AC119" i="3" s="1"/>
  <c r="AD119" i="3"/>
  <c r="AA120" i="3"/>
  <c r="AC120" i="3" s="1"/>
  <c r="AD120" i="3"/>
  <c r="AA121" i="3"/>
  <c r="AC121" i="3" s="1"/>
  <c r="AD121" i="3"/>
  <c r="AA122" i="3"/>
  <c r="AC122" i="3" s="1"/>
  <c r="AD122" i="3"/>
  <c r="AA123" i="3"/>
  <c r="AC123" i="3" s="1"/>
  <c r="AD123" i="3"/>
  <c r="AA124" i="3"/>
  <c r="AC124" i="3" s="1"/>
  <c r="AD124" i="3"/>
  <c r="AA125" i="3"/>
  <c r="AC125" i="3" s="1"/>
  <c r="AD125" i="3"/>
  <c r="AA126" i="3"/>
  <c r="AC126" i="3" s="1"/>
  <c r="AD126" i="3"/>
  <c r="AA127" i="3"/>
  <c r="AC127" i="3" s="1"/>
  <c r="AD127" i="3"/>
  <c r="AA128" i="3"/>
  <c r="AC128" i="3" s="1"/>
  <c r="AD128" i="3"/>
  <c r="AA129" i="3"/>
  <c r="AC129" i="3" s="1"/>
  <c r="AD129" i="3"/>
  <c r="AA130" i="3"/>
  <c r="AC130" i="3" s="1"/>
  <c r="AD130" i="3"/>
  <c r="AA131" i="3"/>
  <c r="AC131" i="3" s="1"/>
  <c r="AD131" i="3"/>
  <c r="AA132" i="3"/>
  <c r="AC132" i="3" s="1"/>
  <c r="AD132" i="3"/>
  <c r="AA133" i="3"/>
  <c r="AC133" i="3" s="1"/>
  <c r="AD133" i="3"/>
  <c r="AA134" i="3"/>
  <c r="AC134" i="3" s="1"/>
  <c r="AD134" i="3"/>
  <c r="AA135" i="3"/>
  <c r="AC135" i="3" s="1"/>
  <c r="AD135" i="3"/>
  <c r="AA136" i="3"/>
  <c r="AC136" i="3" s="1"/>
  <c r="AD136" i="3"/>
  <c r="AA137" i="3"/>
  <c r="AC137" i="3" s="1"/>
  <c r="AD137" i="3"/>
  <c r="AA138" i="3"/>
  <c r="AC138" i="3" s="1"/>
  <c r="AD138" i="3"/>
  <c r="AA139" i="3"/>
  <c r="AC139" i="3" s="1"/>
  <c r="AD139" i="3"/>
  <c r="AA140" i="3"/>
  <c r="AC140" i="3" s="1"/>
  <c r="AD140" i="3"/>
  <c r="AA141" i="3"/>
  <c r="AC141" i="3" s="1"/>
  <c r="AD141" i="3"/>
  <c r="AA142" i="3"/>
  <c r="AC142" i="3" s="1"/>
  <c r="AD142" i="3"/>
  <c r="AA143" i="3"/>
  <c r="AC143" i="3" s="1"/>
  <c r="AD143" i="3"/>
  <c r="AA144" i="3"/>
  <c r="AC144" i="3" s="1"/>
  <c r="AD144" i="3"/>
  <c r="AD145" i="3"/>
  <c r="AA146" i="3"/>
  <c r="AC146" i="3" s="1"/>
  <c r="AD146" i="3"/>
  <c r="C37" i="2"/>
  <c r="C38" i="2" s="1"/>
  <c r="C39" i="2" s="1"/>
  <c r="C40" i="2" s="1"/>
  <c r="J8" i="52252" l="1"/>
  <c r="M7" i="52252" s="1"/>
  <c r="O11" i="52252" s="1"/>
  <c r="AB81" i="3"/>
  <c r="Y82" i="3"/>
  <c r="Y83" i="3" s="1"/>
  <c r="Y84" i="3" s="1"/>
  <c r="Y85" i="3" s="1"/>
  <c r="Y86" i="3" s="1"/>
  <c r="Y87" i="3" s="1"/>
  <c r="Y88" i="3" s="1"/>
  <c r="Y89" i="3" s="1"/>
  <c r="Y90" i="3" s="1"/>
  <c r="Y91" i="3" s="1"/>
  <c r="C41" i="2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AB82" i="3"/>
  <c r="AB86" i="3"/>
  <c r="AB91" i="3"/>
  <c r="AB90" i="3"/>
  <c r="AB89" i="3"/>
  <c r="AB87" i="3"/>
  <c r="AB84" i="3"/>
  <c r="AB83" i="3"/>
  <c r="AB78" i="3"/>
  <c r="AB77" i="3"/>
  <c r="D9" i="52256"/>
  <c r="F9" i="52256" s="1"/>
  <c r="D21" i="52255"/>
  <c r="F21" i="52255" s="1"/>
  <c r="D12" i="52256"/>
  <c r="D24" i="52255"/>
  <c r="W19" i="2"/>
  <c r="D11" i="52255"/>
  <c r="F11" i="52255" s="1"/>
  <c r="B54" i="3"/>
  <c r="J11" i="52255"/>
  <c r="M15" i="52255"/>
  <c r="O10" i="52255"/>
  <c r="O12" i="52255"/>
  <c r="O14" i="52255" s="1"/>
  <c r="M10" i="52255"/>
  <c r="M12" i="52255"/>
  <c r="M14" i="52255"/>
  <c r="M11" i="52255"/>
  <c r="O13" i="52255"/>
  <c r="O11" i="52255"/>
  <c r="M13" i="52255"/>
  <c r="D12" i="52252"/>
  <c r="D14" i="52255"/>
  <c r="D9" i="52252"/>
  <c r="F9" i="52252" s="1"/>
  <c r="AB80" i="3"/>
  <c r="AB88" i="3"/>
  <c r="T32" i="3"/>
  <c r="T36" i="3"/>
  <c r="AB85" i="3"/>
  <c r="AB79" i="3"/>
  <c r="T35" i="3"/>
  <c r="T33" i="3"/>
  <c r="J9" i="52252"/>
  <c r="C6" i="3"/>
  <c r="R24" i="3" s="1"/>
  <c r="C7" i="3"/>
  <c r="F10" i="52252"/>
  <c r="Y92" i="3"/>
  <c r="O10" i="52252" l="1"/>
  <c r="O12" i="52252" s="1"/>
  <c r="O9" i="52252"/>
  <c r="O8" i="52252"/>
  <c r="M13" i="52252"/>
  <c r="F25" i="52255"/>
  <c r="F13" i="52252"/>
  <c r="F15" i="52255"/>
  <c r="R25" i="3"/>
  <c r="D10" i="52255"/>
  <c r="F10" i="52255" s="1"/>
  <c r="D8" i="52252"/>
  <c r="F8" i="52252" s="1"/>
  <c r="V19" i="2"/>
  <c r="D15" i="52255" s="1"/>
  <c r="AB92" i="3"/>
  <c r="Y93" i="3"/>
  <c r="C25" i="2" l="1"/>
  <c r="J13" i="52255"/>
  <c r="B58" i="3"/>
  <c r="D13" i="52252"/>
  <c r="AB93" i="3"/>
  <c r="Y94" i="3"/>
  <c r="B60" i="3" l="1"/>
  <c r="B62" i="3"/>
  <c r="B61" i="3"/>
  <c r="B59" i="3"/>
  <c r="B64" i="3" s="1"/>
  <c r="AB94" i="3"/>
  <c r="Y95" i="3"/>
  <c r="C64" i="3" l="1"/>
  <c r="AB95" i="3"/>
  <c r="Y96" i="3"/>
  <c r="AB96" i="3" l="1"/>
  <c r="Y97" i="3"/>
  <c r="AB97" i="3" l="1"/>
  <c r="Y98" i="3"/>
  <c r="AB98" i="3" l="1"/>
  <c r="Y99" i="3"/>
  <c r="AB99" i="3" l="1"/>
  <c r="Y100" i="3"/>
  <c r="AB100" i="3" l="1"/>
  <c r="Y101" i="3"/>
  <c r="Y102" i="3" l="1"/>
  <c r="AB101" i="3"/>
  <c r="Y103" i="3" l="1"/>
  <c r="AB102" i="3"/>
  <c r="Y104" i="3" l="1"/>
  <c r="AB103" i="3"/>
  <c r="Y105" i="3" l="1"/>
  <c r="AB104" i="3"/>
  <c r="Y106" i="3" l="1"/>
  <c r="AB105" i="3"/>
  <c r="Y107" i="3" l="1"/>
  <c r="AB106" i="3"/>
  <c r="Y108" i="3" l="1"/>
  <c r="AB107" i="3"/>
  <c r="AB108" i="3" l="1"/>
  <c r="Y109" i="3"/>
  <c r="AB109" i="3" l="1"/>
  <c r="Y110" i="3"/>
  <c r="AB110" i="3" l="1"/>
  <c r="Y111" i="3"/>
  <c r="AB111" i="3" l="1"/>
  <c r="Y112" i="3"/>
  <c r="AB112" i="3" l="1"/>
  <c r="Y113" i="3"/>
  <c r="AB113" i="3" l="1"/>
  <c r="Y114" i="3"/>
  <c r="AB114" i="3" l="1"/>
  <c r="Y115" i="3"/>
  <c r="AB115" i="3" l="1"/>
  <c r="Y116" i="3"/>
  <c r="AB116" i="3" l="1"/>
  <c r="Y117" i="3"/>
  <c r="AB117" i="3" l="1"/>
  <c r="Y118" i="3"/>
  <c r="AB118" i="3" l="1"/>
  <c r="Y119" i="3"/>
  <c r="AB119" i="3" l="1"/>
  <c r="Y120" i="3"/>
  <c r="AB120" i="3" l="1"/>
  <c r="Y121" i="3"/>
  <c r="AB121" i="3" l="1"/>
  <c r="Y122" i="3"/>
  <c r="AB122" i="3" l="1"/>
  <c r="Y123" i="3"/>
  <c r="AB123" i="3" l="1"/>
  <c r="Y124" i="3"/>
  <c r="AB124" i="3" l="1"/>
  <c r="Y125" i="3"/>
  <c r="AB125" i="3" l="1"/>
  <c r="Y126" i="3"/>
  <c r="AB126" i="3" l="1"/>
  <c r="Y127" i="3"/>
  <c r="AB127" i="3" l="1"/>
  <c r="Y128" i="3"/>
  <c r="AB128" i="3" l="1"/>
  <c r="Y129" i="3"/>
  <c r="AB129" i="3" l="1"/>
  <c r="Y130" i="3"/>
  <c r="AB130" i="3" l="1"/>
  <c r="Y131" i="3"/>
  <c r="AB131" i="3" l="1"/>
  <c r="Y132" i="3"/>
  <c r="AB132" i="3" l="1"/>
  <c r="Y133" i="3"/>
  <c r="AB133" i="3" l="1"/>
  <c r="Y134" i="3"/>
  <c r="AB134" i="3" l="1"/>
  <c r="Y135" i="3"/>
  <c r="AB135" i="3" l="1"/>
  <c r="Y136" i="3"/>
  <c r="AB136" i="3" l="1"/>
  <c r="Y137" i="3"/>
  <c r="Y138" i="3" l="1"/>
  <c r="AB137" i="3"/>
  <c r="AB138" i="3" l="1"/>
  <c r="Y139" i="3"/>
  <c r="Y140" i="3" l="1"/>
  <c r="AB139" i="3"/>
  <c r="AB140" i="3" l="1"/>
  <c r="Y141" i="3"/>
  <c r="Y142" i="3" l="1"/>
  <c r="AB141" i="3"/>
  <c r="AB142" i="3" l="1"/>
  <c r="Y143" i="3"/>
  <c r="Y144" i="3" l="1"/>
  <c r="AB143" i="3"/>
  <c r="AB144" i="3" l="1"/>
  <c r="Y145" i="3"/>
  <c r="AB145" i="3" l="1"/>
  <c r="Y146" i="3"/>
  <c r="AB146" i="3" s="1"/>
  <c r="K36" i="3" l="1"/>
  <c r="K40" i="3"/>
  <c r="C11" i="3"/>
  <c r="K39" i="3"/>
  <c r="K41" i="3"/>
  <c r="K34" i="3"/>
  <c r="K6" i="52252"/>
  <c r="M11" i="52252"/>
  <c r="K29" i="3"/>
  <c r="M10" i="52252"/>
  <c r="K38" i="3"/>
  <c r="M12" i="52252"/>
  <c r="M9" i="52252"/>
  <c r="K43" i="3"/>
  <c r="R27" i="3" s="1"/>
  <c r="K22" i="3"/>
  <c r="K37" i="3"/>
  <c r="K35" i="3"/>
  <c r="O7" i="52252" l="1"/>
  <c r="O9" i="52255"/>
  <c r="M8" i="52252"/>
  <c r="T39" i="3"/>
  <c r="C24" i="2" l="1"/>
  <c r="B51" i="3" s="1"/>
  <c r="H57" i="3" s="1"/>
  <c r="J12" i="52255"/>
  <c r="R28" i="3"/>
  <c r="J10" i="52252"/>
  <c r="J11" i="52252"/>
  <c r="I56" i="3" l="1"/>
  <c r="D44" i="52252"/>
  <c r="I51" i="3"/>
  <c r="K51" i="3" s="1"/>
  <c r="J56" i="3"/>
  <c r="J54" i="3"/>
  <c r="I53" i="3"/>
  <c r="K53" i="3" s="1"/>
  <c r="I55" i="3"/>
  <c r="J52" i="3"/>
  <c r="C26" i="2"/>
  <c r="I54" i="3"/>
  <c r="I52" i="3"/>
  <c r="K52" i="3" s="1"/>
  <c r="J53" i="3"/>
  <c r="J55" i="3"/>
  <c r="J51" i="3"/>
  <c r="D20" i="52252"/>
  <c r="D34" i="52255" s="1"/>
  <c r="C28" i="2"/>
  <c r="D21" i="52252"/>
  <c r="D35" i="52255" s="1"/>
  <c r="C29" i="2"/>
  <c r="K56" i="3" l="1"/>
  <c r="K54" i="3"/>
  <c r="D25" i="52252" s="1"/>
  <c r="D39" i="52255" s="1"/>
  <c r="K55" i="3"/>
  <c r="D26" i="52252" s="1"/>
  <c r="D40" i="52255" s="1"/>
  <c r="D7" i="52256"/>
  <c r="D19" i="52255"/>
  <c r="D24" i="52252"/>
  <c r="D38" i="52255" s="1"/>
  <c r="D22" i="52252"/>
  <c r="D36" i="52255" s="1"/>
  <c r="D23" i="52252"/>
  <c r="D37" i="52255" s="1"/>
  <c r="T3" i="2"/>
  <c r="D43" i="52252" l="1"/>
  <c r="A186" i="3"/>
  <c r="A186" i="52254" s="1"/>
  <c r="U10" i="2"/>
  <c r="T7" i="2"/>
  <c r="T16" i="2" s="1"/>
  <c r="K186" i="3" l="1"/>
  <c r="M186" i="3" s="1"/>
  <c r="O186" i="3" s="1"/>
  <c r="C7" i="52254"/>
  <c r="U16" i="2"/>
  <c r="E17" i="2"/>
  <c r="C6" i="52254"/>
  <c r="R24" i="52254" s="1"/>
  <c r="L186" i="3" l="1"/>
  <c r="N186" i="3" s="1"/>
  <c r="P186" i="3" s="1"/>
  <c r="D22" i="52255"/>
  <c r="D10" i="52256"/>
  <c r="D20" i="52255"/>
  <c r="F20" i="52255" s="1"/>
  <c r="D8" i="52256"/>
  <c r="F8" i="52256" s="1"/>
  <c r="R25" i="52254"/>
  <c r="Q186" i="3" l="1"/>
  <c r="R186" i="3" s="1"/>
  <c r="H40" i="52252" s="1"/>
  <c r="J23" i="52255"/>
  <c r="J11" i="52256"/>
  <c r="J22" i="52255"/>
  <c r="J10" i="52256"/>
  <c r="E25" i="2"/>
  <c r="R27" i="52254"/>
  <c r="E24" i="2"/>
  <c r="B51" i="52254" s="1"/>
  <c r="R28" i="52254"/>
  <c r="E29" i="2" s="1"/>
  <c r="S186" i="3" l="1"/>
  <c r="H57" i="52254"/>
  <c r="G29" i="2"/>
  <c r="D21" i="52256"/>
  <c r="H35" i="52255" s="1"/>
  <c r="L35" i="52255" s="1"/>
  <c r="E28" i="2"/>
  <c r="G28" i="2" s="1"/>
  <c r="D20" i="52256"/>
  <c r="H34" i="52255" s="1"/>
  <c r="L34" i="52255" s="1"/>
  <c r="E26" i="2"/>
  <c r="A76" i="3" l="1"/>
  <c r="K76" i="3" s="1"/>
  <c r="M76" i="3" s="1"/>
  <c r="O76" i="3" s="1"/>
  <c r="H58" i="3"/>
  <c r="D44" i="52256"/>
  <c r="B76" i="3" l="1"/>
  <c r="C76" i="3" s="1"/>
  <c r="D76" i="3" s="1"/>
  <c r="F76" i="3" s="1"/>
  <c r="I76" i="3" s="1"/>
  <c r="A76" i="52254"/>
  <c r="B76" i="52254" s="1"/>
  <c r="G18" i="52256" s="1"/>
  <c r="A77" i="3"/>
  <c r="B77" i="3" s="1"/>
  <c r="C77" i="3" s="1"/>
  <c r="E77" i="3" s="1"/>
  <c r="G77" i="3" s="1"/>
  <c r="L76" i="3"/>
  <c r="N76" i="3" s="1"/>
  <c r="P76" i="3" s="1"/>
  <c r="Q76" i="3" s="1"/>
  <c r="R76" i="3" s="1"/>
  <c r="D45" i="52255" l="1"/>
  <c r="G18" i="52252"/>
  <c r="E76" i="3"/>
  <c r="G76" i="3" s="1"/>
  <c r="R76" i="52254"/>
  <c r="K77" i="3"/>
  <c r="L77" i="3" s="1"/>
  <c r="N77" i="3" s="1"/>
  <c r="A78" i="3"/>
  <c r="K78" i="3" s="1"/>
  <c r="M78" i="3" s="1"/>
  <c r="A77" i="52254"/>
  <c r="B77" i="52254" s="1"/>
  <c r="C77" i="52254" s="1"/>
  <c r="E77" i="52254" s="1"/>
  <c r="D77" i="3"/>
  <c r="F77" i="3" s="1"/>
  <c r="I77" i="3" s="1"/>
  <c r="C76" i="52254"/>
  <c r="H76" i="3"/>
  <c r="H77" i="3" l="1"/>
  <c r="J77" i="3" s="1"/>
  <c r="B78" i="3"/>
  <c r="C78" i="3" s="1"/>
  <c r="E78" i="3" s="1"/>
  <c r="G78" i="3" s="1"/>
  <c r="R77" i="52254"/>
  <c r="M77" i="3"/>
  <c r="O77" i="3" s="1"/>
  <c r="P77" i="3" s="1"/>
  <c r="Q77" i="3" s="1"/>
  <c r="R77" i="3" s="1"/>
  <c r="S77" i="3" s="1"/>
  <c r="A79" i="3"/>
  <c r="A78" i="52254"/>
  <c r="B78" i="52254" s="1"/>
  <c r="C78" i="52254" s="1"/>
  <c r="E78" i="52254" s="1"/>
  <c r="D76" i="52254"/>
  <c r="E76" i="52254"/>
  <c r="D77" i="52254"/>
  <c r="L78" i="3"/>
  <c r="N78" i="3" s="1"/>
  <c r="T76" i="3"/>
  <c r="S76" i="52254" s="1"/>
  <c r="S76" i="3"/>
  <c r="H18" i="52252"/>
  <c r="J18" i="52252"/>
  <c r="O18" i="52252" s="1"/>
  <c r="J76" i="3"/>
  <c r="O78" i="3"/>
  <c r="D78" i="3" l="1"/>
  <c r="F78" i="3" s="1"/>
  <c r="I78" i="3" s="1"/>
  <c r="R78" i="52254"/>
  <c r="H76" i="52254"/>
  <c r="T77" i="3"/>
  <c r="S77" i="52254" s="1"/>
  <c r="A79" i="52254"/>
  <c r="B79" i="52254" s="1"/>
  <c r="R79" i="52254" s="1"/>
  <c r="K79" i="3"/>
  <c r="A80" i="3"/>
  <c r="H77" i="52254"/>
  <c r="B79" i="3"/>
  <c r="C79" i="3" s="1"/>
  <c r="P78" i="3"/>
  <c r="Q78" i="3" s="1"/>
  <c r="R78" i="3" s="1"/>
  <c r="S78" i="3" s="1"/>
  <c r="D78" i="52254"/>
  <c r="U76" i="3"/>
  <c r="I18" i="52252"/>
  <c r="V76" i="3"/>
  <c r="K76" i="52254" l="1"/>
  <c r="H78" i="3"/>
  <c r="J78" i="3" s="1"/>
  <c r="V77" i="3"/>
  <c r="U77" i="3"/>
  <c r="K77" i="52254" s="1"/>
  <c r="C79" i="52254"/>
  <c r="D79" i="52254" s="1"/>
  <c r="E79" i="3"/>
  <c r="G79" i="3" s="1"/>
  <c r="D79" i="3"/>
  <c r="F79" i="3" s="1"/>
  <c r="I79" i="3" s="1"/>
  <c r="L79" i="3"/>
  <c r="N79" i="3" s="1"/>
  <c r="M79" i="3"/>
  <c r="O79" i="3" s="1"/>
  <c r="A80" i="52254"/>
  <c r="B80" i="52254" s="1"/>
  <c r="R80" i="52254" s="1"/>
  <c r="B80" i="3"/>
  <c r="C80" i="3" s="1"/>
  <c r="K80" i="3"/>
  <c r="A81" i="3"/>
  <c r="T78" i="3"/>
  <c r="S78" i="52254" s="1"/>
  <c r="H78" i="52254"/>
  <c r="K18" i="52252"/>
  <c r="M18" i="52252" s="1"/>
  <c r="H79" i="3" l="1"/>
  <c r="J79" i="3" s="1"/>
  <c r="C80" i="52254"/>
  <c r="E80" i="52254" s="1"/>
  <c r="P79" i="3"/>
  <c r="Q79" i="3" s="1"/>
  <c r="R79" i="3" s="1"/>
  <c r="S79" i="3" s="1"/>
  <c r="H79" i="52254"/>
  <c r="E79" i="52254"/>
  <c r="V78" i="3"/>
  <c r="D80" i="3"/>
  <c r="E80" i="3"/>
  <c r="G80" i="3" s="1"/>
  <c r="L80" i="3"/>
  <c r="N80" i="3" s="1"/>
  <c r="M80" i="3"/>
  <c r="O80" i="3" s="1"/>
  <c r="A81" i="52254"/>
  <c r="B81" i="52254" s="1"/>
  <c r="R81" i="52254" s="1"/>
  <c r="A82" i="3"/>
  <c r="B82" i="3" s="1"/>
  <c r="C82" i="3" s="1"/>
  <c r="K81" i="3"/>
  <c r="B81" i="3"/>
  <c r="U78" i="3"/>
  <c r="K78" i="52254" l="1"/>
  <c r="D80" i="52254"/>
  <c r="T79" i="3"/>
  <c r="S79" i="52254" s="1"/>
  <c r="G19" i="52256"/>
  <c r="P80" i="3"/>
  <c r="Q80" i="3" s="1"/>
  <c r="R80" i="3" s="1"/>
  <c r="C81" i="52254"/>
  <c r="D81" i="52254" s="1"/>
  <c r="G19" i="52252"/>
  <c r="C81" i="3"/>
  <c r="F80" i="3"/>
  <c r="I80" i="3" s="1"/>
  <c r="H80" i="3"/>
  <c r="A82" i="52254"/>
  <c r="B82" i="52254" s="1"/>
  <c r="K82" i="3"/>
  <c r="A83" i="3"/>
  <c r="B83" i="3" s="1"/>
  <c r="C83" i="3" s="1"/>
  <c r="E83" i="3" s="1"/>
  <c r="G83" i="3" s="1"/>
  <c r="M81" i="3"/>
  <c r="O81" i="3" s="1"/>
  <c r="L81" i="3"/>
  <c r="N81" i="3" s="1"/>
  <c r="D82" i="3"/>
  <c r="F82" i="3" s="1"/>
  <c r="I82" i="3" s="1"/>
  <c r="E82" i="3"/>
  <c r="G82" i="3" s="1"/>
  <c r="J80" i="3" l="1"/>
  <c r="U79" i="3"/>
  <c r="H80" i="52254"/>
  <c r="H81" i="52254"/>
  <c r="V79" i="3"/>
  <c r="S80" i="3"/>
  <c r="T80" i="3"/>
  <c r="U80" i="3" s="1"/>
  <c r="P81" i="3"/>
  <c r="Q81" i="3" s="1"/>
  <c r="R81" i="3" s="1"/>
  <c r="S81" i="3" s="1"/>
  <c r="E81" i="52254"/>
  <c r="R82" i="52254"/>
  <c r="C82" i="52254"/>
  <c r="D82" i="52254" s="1"/>
  <c r="L82" i="3"/>
  <c r="N82" i="3" s="1"/>
  <c r="M82" i="3"/>
  <c r="O82" i="3" s="1"/>
  <c r="D81" i="3"/>
  <c r="E81" i="3"/>
  <c r="G81" i="3" s="1"/>
  <c r="A83" i="52254"/>
  <c r="B83" i="52254" s="1"/>
  <c r="K83" i="3"/>
  <c r="A84" i="3"/>
  <c r="D83" i="3"/>
  <c r="H82" i="3"/>
  <c r="J82" i="3" s="1"/>
  <c r="K79" i="52254" l="1"/>
  <c r="T81" i="3"/>
  <c r="S81" i="52254" s="1"/>
  <c r="H19" i="52252"/>
  <c r="I19" i="52252" s="1"/>
  <c r="H82" i="52254"/>
  <c r="E82" i="52254"/>
  <c r="C83" i="52254"/>
  <c r="E83" i="52254" s="1"/>
  <c r="R83" i="52254"/>
  <c r="P82" i="3"/>
  <c r="Q82" i="3" s="1"/>
  <c r="R82" i="3" s="1"/>
  <c r="S82" i="3" s="1"/>
  <c r="S80" i="52254"/>
  <c r="V80" i="3"/>
  <c r="K80" i="52254" s="1"/>
  <c r="M83" i="3"/>
  <c r="O83" i="3" s="1"/>
  <c r="L83" i="3"/>
  <c r="N83" i="3" s="1"/>
  <c r="A84" i="52254"/>
  <c r="B84" i="52254" s="1"/>
  <c r="R84" i="52254" s="1"/>
  <c r="K84" i="3"/>
  <c r="B84" i="3"/>
  <c r="C84" i="3" s="1"/>
  <c r="E84" i="3" s="1"/>
  <c r="G84" i="3" s="1"/>
  <c r="A85" i="3"/>
  <c r="B85" i="3" s="1"/>
  <c r="C85" i="3" s="1"/>
  <c r="D85" i="3" s="1"/>
  <c r="F85" i="3" s="1"/>
  <c r="I85" i="3" s="1"/>
  <c r="F81" i="3"/>
  <c r="I81" i="3" s="1"/>
  <c r="H81" i="3"/>
  <c r="F83" i="3"/>
  <c r="I83" i="3" s="1"/>
  <c r="H83" i="3"/>
  <c r="J83" i="3" l="1"/>
  <c r="U81" i="3"/>
  <c r="C84" i="52254"/>
  <c r="E84" i="52254" s="1"/>
  <c r="V81" i="3"/>
  <c r="T82" i="3"/>
  <c r="S82" i="52254" s="1"/>
  <c r="D83" i="52254"/>
  <c r="P83" i="3"/>
  <c r="Q83" i="3" s="1"/>
  <c r="R83" i="3" s="1"/>
  <c r="S83" i="3" s="1"/>
  <c r="E85" i="3"/>
  <c r="G85" i="3" s="1"/>
  <c r="A85" i="52254"/>
  <c r="B85" i="52254" s="1"/>
  <c r="C85" i="52254" s="1"/>
  <c r="D85" i="52254" s="1"/>
  <c r="A86" i="3"/>
  <c r="B86" i="3" s="1"/>
  <c r="G20" i="52252" s="1"/>
  <c r="K85" i="3"/>
  <c r="D84" i="3"/>
  <c r="F84" i="3" s="1"/>
  <c r="I84" i="3" s="1"/>
  <c r="J19" i="52252"/>
  <c r="J81" i="3"/>
  <c r="L84" i="3"/>
  <c r="N84" i="3" s="1"/>
  <c r="M84" i="3"/>
  <c r="O84" i="3" s="1"/>
  <c r="H85" i="3"/>
  <c r="J85" i="3" s="1"/>
  <c r="K81" i="52254" l="1"/>
  <c r="D84" i="52254"/>
  <c r="U82" i="3"/>
  <c r="V82" i="3"/>
  <c r="H83" i="52254"/>
  <c r="R85" i="52254"/>
  <c r="T83" i="3"/>
  <c r="P84" i="3"/>
  <c r="Q84" i="3" s="1"/>
  <c r="R84" i="3" s="1"/>
  <c r="S84" i="3" s="1"/>
  <c r="C86" i="3"/>
  <c r="E86" i="3" s="1"/>
  <c r="G86" i="3" s="1"/>
  <c r="O19" i="52252"/>
  <c r="K19" i="52252"/>
  <c r="M19" i="52252" s="1"/>
  <c r="A86" i="52254"/>
  <c r="B86" i="52254" s="1"/>
  <c r="R86" i="52254" s="1"/>
  <c r="K86" i="3"/>
  <c r="A87" i="3"/>
  <c r="M85" i="3"/>
  <c r="O85" i="3" s="1"/>
  <c r="L85" i="3"/>
  <c r="N85" i="3" s="1"/>
  <c r="H84" i="3"/>
  <c r="J84" i="3" s="1"/>
  <c r="E85" i="52254"/>
  <c r="H85" i="52254"/>
  <c r="K82" i="52254" l="1"/>
  <c r="H84" i="52254"/>
  <c r="S83" i="52254"/>
  <c r="U83" i="3"/>
  <c r="V83" i="3"/>
  <c r="T84" i="3"/>
  <c r="S84" i="52254" s="1"/>
  <c r="C86" i="52254"/>
  <c r="E86" i="52254" s="1"/>
  <c r="G20" i="52256"/>
  <c r="P85" i="3"/>
  <c r="Q85" i="3" s="1"/>
  <c r="R85" i="3" s="1"/>
  <c r="D86" i="3"/>
  <c r="F86" i="3" s="1"/>
  <c r="I86" i="3" s="1"/>
  <c r="A87" i="52254"/>
  <c r="B87" i="52254" s="1"/>
  <c r="R87" i="52254" s="1"/>
  <c r="B87" i="3"/>
  <c r="C87" i="3" s="1"/>
  <c r="K87" i="3"/>
  <c r="A88" i="3"/>
  <c r="B88" i="3" s="1"/>
  <c r="C88" i="3" s="1"/>
  <c r="L86" i="3"/>
  <c r="N86" i="3" s="1"/>
  <c r="M86" i="3"/>
  <c r="O86" i="3" s="1"/>
  <c r="K83" i="52254" l="1"/>
  <c r="D86" i="52254"/>
  <c r="V84" i="3"/>
  <c r="U84" i="3"/>
  <c r="H86" i="3"/>
  <c r="J86" i="3" s="1"/>
  <c r="S85" i="3"/>
  <c r="T85" i="3"/>
  <c r="E87" i="3"/>
  <c r="G87" i="3" s="1"/>
  <c r="D87" i="3"/>
  <c r="L87" i="3"/>
  <c r="N87" i="3" s="1"/>
  <c r="M87" i="3"/>
  <c r="O87" i="3" s="1"/>
  <c r="C87" i="52254"/>
  <c r="P86" i="3"/>
  <c r="Q86" i="3" s="1"/>
  <c r="R86" i="3" s="1"/>
  <c r="A88" i="52254"/>
  <c r="B88" i="52254" s="1"/>
  <c r="A89" i="3"/>
  <c r="K88" i="3"/>
  <c r="E88" i="3"/>
  <c r="G88" i="3" s="1"/>
  <c r="D88" i="3"/>
  <c r="F88" i="3" s="1"/>
  <c r="I88" i="3" s="1"/>
  <c r="K84" i="52254" l="1"/>
  <c r="H86" i="52254"/>
  <c r="J20" i="52252"/>
  <c r="O20" i="52252" s="1"/>
  <c r="S85" i="52254"/>
  <c r="V85" i="3"/>
  <c r="U85" i="3"/>
  <c r="K85" i="52254" s="1"/>
  <c r="P87" i="3"/>
  <c r="Q87" i="3" s="1"/>
  <c r="R87" i="3" s="1"/>
  <c r="T87" i="3" s="1"/>
  <c r="S87" i="52254" s="1"/>
  <c r="R88" i="52254"/>
  <c r="C88" i="52254"/>
  <c r="D88" i="52254" s="1"/>
  <c r="A89" i="52254"/>
  <c r="B89" i="52254" s="1"/>
  <c r="C89" i="52254" s="1"/>
  <c r="D89" i="52254" s="1"/>
  <c r="K89" i="3"/>
  <c r="B89" i="3"/>
  <c r="C89" i="3" s="1"/>
  <c r="A90" i="3"/>
  <c r="B90" i="3" s="1"/>
  <c r="C90" i="3" s="1"/>
  <c r="E87" i="52254"/>
  <c r="D87" i="52254"/>
  <c r="M88" i="3"/>
  <c r="O88" i="3" s="1"/>
  <c r="L88" i="3"/>
  <c r="N88" i="3" s="1"/>
  <c r="F87" i="3"/>
  <c r="I87" i="3" s="1"/>
  <c r="H87" i="3"/>
  <c r="T86" i="3"/>
  <c r="S86" i="3"/>
  <c r="H20" i="52252"/>
  <c r="I20" i="52252" s="1"/>
  <c r="H88" i="3"/>
  <c r="J88" i="3" s="1"/>
  <c r="J87" i="3" l="1"/>
  <c r="K20" i="52252"/>
  <c r="M20" i="52252" s="1"/>
  <c r="E88" i="52254"/>
  <c r="P88" i="3"/>
  <c r="Q88" i="3" s="1"/>
  <c r="R88" i="3" s="1"/>
  <c r="S88" i="3" s="1"/>
  <c r="S87" i="3"/>
  <c r="R89" i="52254"/>
  <c r="H88" i="52254"/>
  <c r="S86" i="52254"/>
  <c r="V86" i="3"/>
  <c r="U86" i="3"/>
  <c r="E89" i="3"/>
  <c r="G89" i="3" s="1"/>
  <c r="D89" i="3"/>
  <c r="F89" i="3" s="1"/>
  <c r="I89" i="3" s="1"/>
  <c r="A90" i="52254"/>
  <c r="B90" i="52254" s="1"/>
  <c r="R90" i="52254" s="1"/>
  <c r="A91" i="3"/>
  <c r="B91" i="3" s="1"/>
  <c r="C91" i="3" s="1"/>
  <c r="K90" i="3"/>
  <c r="H87" i="52254"/>
  <c r="L89" i="3"/>
  <c r="N89" i="3" s="1"/>
  <c r="M89" i="3"/>
  <c r="O89" i="3" s="1"/>
  <c r="E89" i="52254"/>
  <c r="V87" i="3"/>
  <c r="U87" i="3"/>
  <c r="D90" i="3"/>
  <c r="F90" i="3" s="1"/>
  <c r="I90" i="3" s="1"/>
  <c r="E90" i="3"/>
  <c r="G90" i="3" s="1"/>
  <c r="H89" i="52254"/>
  <c r="K87" i="52254" l="1"/>
  <c r="K86" i="52254"/>
  <c r="H89" i="3"/>
  <c r="J89" i="3" s="1"/>
  <c r="T88" i="3"/>
  <c r="V88" i="3" s="1"/>
  <c r="G21" i="52252"/>
  <c r="C90" i="52254"/>
  <c r="E90" i="52254" s="1"/>
  <c r="A91" i="52254"/>
  <c r="B91" i="52254" s="1"/>
  <c r="R91" i="52254" s="1"/>
  <c r="K91" i="3"/>
  <c r="A92" i="3"/>
  <c r="P89" i="3"/>
  <c r="Q89" i="3" s="1"/>
  <c r="R89" i="3" s="1"/>
  <c r="S89" i="3" s="1"/>
  <c r="M90" i="3"/>
  <c r="O90" i="3" s="1"/>
  <c r="L90" i="3"/>
  <c r="N90" i="3" s="1"/>
  <c r="H90" i="3"/>
  <c r="J90" i="3" s="1"/>
  <c r="E91" i="3"/>
  <c r="G91" i="3" s="1"/>
  <c r="D91" i="3"/>
  <c r="F91" i="3" s="1"/>
  <c r="I91" i="3" s="1"/>
  <c r="S88" i="52254" l="1"/>
  <c r="U88" i="3"/>
  <c r="K88" i="52254" s="1"/>
  <c r="C91" i="52254"/>
  <c r="E91" i="52254" s="1"/>
  <c r="D90" i="52254"/>
  <c r="M91" i="3"/>
  <c r="O91" i="3" s="1"/>
  <c r="L91" i="3"/>
  <c r="N91" i="3" s="1"/>
  <c r="A92" i="52254"/>
  <c r="B92" i="52254" s="1"/>
  <c r="R92" i="52254" s="1"/>
  <c r="B92" i="3"/>
  <c r="C92" i="3" s="1"/>
  <c r="E92" i="3" s="1"/>
  <c r="G92" i="3" s="1"/>
  <c r="A93" i="3"/>
  <c r="K92" i="3"/>
  <c r="G21" i="52256"/>
  <c r="T89" i="3"/>
  <c r="P90" i="3"/>
  <c r="Q90" i="3" s="1"/>
  <c r="R90" i="3" s="1"/>
  <c r="H91" i="3"/>
  <c r="C92" i="52254" l="1"/>
  <c r="E92" i="52254" s="1"/>
  <c r="P91" i="3"/>
  <c r="Q91" i="3" s="1"/>
  <c r="R91" i="3" s="1"/>
  <c r="H21" i="52252" s="1"/>
  <c r="I21" i="52252" s="1"/>
  <c r="D92" i="3"/>
  <c r="F92" i="3" s="1"/>
  <c r="I92" i="3" s="1"/>
  <c r="D91" i="52254"/>
  <c r="H90" i="52254"/>
  <c r="S89" i="52254"/>
  <c r="U89" i="3"/>
  <c r="V89" i="3"/>
  <c r="A93" i="52254"/>
  <c r="B93" i="52254" s="1"/>
  <c r="R93" i="52254" s="1"/>
  <c r="K93" i="3"/>
  <c r="A94" i="3"/>
  <c r="B94" i="3" s="1"/>
  <c r="C94" i="3" s="1"/>
  <c r="D94" i="3" s="1"/>
  <c r="B93" i="3"/>
  <c r="C93" i="3" s="1"/>
  <c r="L92" i="3"/>
  <c r="N92" i="3" s="1"/>
  <c r="M92" i="3"/>
  <c r="O92" i="3" s="1"/>
  <c r="S90" i="3"/>
  <c r="T90" i="3"/>
  <c r="J21" i="52252"/>
  <c r="J91" i="3"/>
  <c r="K89" i="52254" l="1"/>
  <c r="H92" i="3"/>
  <c r="J92" i="3" s="1"/>
  <c r="D92" i="52254"/>
  <c r="T91" i="3"/>
  <c r="V91" i="3" s="1"/>
  <c r="S91" i="3"/>
  <c r="H91" i="52254"/>
  <c r="P92" i="3"/>
  <c r="Q92" i="3" s="1"/>
  <c r="R92" i="3" s="1"/>
  <c r="T92" i="3" s="1"/>
  <c r="E94" i="3"/>
  <c r="G94" i="3" s="1"/>
  <c r="F94" i="3"/>
  <c r="I94" i="3" s="1"/>
  <c r="H94" i="3"/>
  <c r="M93" i="3"/>
  <c r="O93" i="3" s="1"/>
  <c r="L93" i="3"/>
  <c r="N93" i="3" s="1"/>
  <c r="A94" i="52254"/>
  <c r="B94" i="52254" s="1"/>
  <c r="K94" i="3"/>
  <c r="A95" i="3"/>
  <c r="B95" i="3" s="1"/>
  <c r="C95" i="3" s="1"/>
  <c r="E95" i="3" s="1"/>
  <c r="G95" i="3" s="1"/>
  <c r="S90" i="52254"/>
  <c r="U90" i="3"/>
  <c r="V90" i="3"/>
  <c r="E93" i="3"/>
  <c r="G93" i="3" s="1"/>
  <c r="D93" i="3"/>
  <c r="C93" i="52254"/>
  <c r="D93" i="52254" s="1"/>
  <c r="O21" i="52252"/>
  <c r="K21" i="52252"/>
  <c r="M21" i="52252" s="1"/>
  <c r="K90" i="52254" l="1"/>
  <c r="J94" i="3"/>
  <c r="U92" i="3"/>
  <c r="E93" i="52254"/>
  <c r="H92" i="52254"/>
  <c r="U91" i="3"/>
  <c r="K91" i="52254" s="1"/>
  <c r="S91" i="52254"/>
  <c r="P93" i="3"/>
  <c r="Q93" i="3" s="1"/>
  <c r="R93" i="3" s="1"/>
  <c r="S93" i="3" s="1"/>
  <c r="S92" i="3"/>
  <c r="R94" i="52254"/>
  <c r="C94" i="52254"/>
  <c r="D94" i="52254" s="1"/>
  <c r="D95" i="3"/>
  <c r="F95" i="3" s="1"/>
  <c r="I95" i="3" s="1"/>
  <c r="L94" i="3"/>
  <c r="N94" i="3" s="1"/>
  <c r="M94" i="3"/>
  <c r="O94" i="3" s="1"/>
  <c r="A95" i="52254"/>
  <c r="B95" i="52254" s="1"/>
  <c r="R95" i="52254" s="1"/>
  <c r="K95" i="3"/>
  <c r="A96" i="3"/>
  <c r="F93" i="3"/>
  <c r="I93" i="3" s="1"/>
  <c r="H93" i="3"/>
  <c r="H93" i="52254"/>
  <c r="V92" i="3"/>
  <c r="S92" i="52254"/>
  <c r="J93" i="3" l="1"/>
  <c r="K92" i="52254"/>
  <c r="T93" i="3"/>
  <c r="S93" i="52254" s="1"/>
  <c r="H95" i="3"/>
  <c r="J95" i="3" s="1"/>
  <c r="P94" i="3"/>
  <c r="Q94" i="3" s="1"/>
  <c r="R94" i="3" s="1"/>
  <c r="S94" i="3" s="1"/>
  <c r="C95" i="52254"/>
  <c r="D95" i="52254" s="1"/>
  <c r="H94" i="52254"/>
  <c r="E94" i="52254"/>
  <c r="A96" i="52254"/>
  <c r="B96" i="52254" s="1"/>
  <c r="R96" i="52254" s="1"/>
  <c r="K96" i="3"/>
  <c r="A97" i="3"/>
  <c r="B96" i="3"/>
  <c r="L95" i="3"/>
  <c r="N95" i="3" s="1"/>
  <c r="M95" i="3"/>
  <c r="O95" i="3" s="1"/>
  <c r="U93" i="3" l="1"/>
  <c r="H95" i="52254"/>
  <c r="V93" i="3"/>
  <c r="T94" i="3"/>
  <c r="V94" i="3" s="1"/>
  <c r="G22" i="52256"/>
  <c r="E95" i="52254"/>
  <c r="M96" i="3"/>
  <c r="O96" i="3" s="1"/>
  <c r="L96" i="3"/>
  <c r="N96" i="3" s="1"/>
  <c r="A97" i="52254"/>
  <c r="K97" i="3"/>
  <c r="A98" i="3"/>
  <c r="B97" i="3"/>
  <c r="C97" i="3" s="1"/>
  <c r="C96" i="52254"/>
  <c r="D96" i="52254" s="1"/>
  <c r="P95" i="3"/>
  <c r="Q95" i="3" s="1"/>
  <c r="R95" i="3" s="1"/>
  <c r="C96" i="3"/>
  <c r="G22" i="52252"/>
  <c r="K93" i="52254" l="1"/>
  <c r="S94" i="52254"/>
  <c r="U94" i="3"/>
  <c r="K94" i="52254" s="1"/>
  <c r="P96" i="3"/>
  <c r="Q96" i="3" s="1"/>
  <c r="R96" i="3" s="1"/>
  <c r="S96" i="3" s="1"/>
  <c r="T95" i="3"/>
  <c r="S95" i="3"/>
  <c r="M97" i="3"/>
  <c r="O97" i="3" s="1"/>
  <c r="L97" i="3"/>
  <c r="N97" i="3" s="1"/>
  <c r="D96" i="3"/>
  <c r="F96" i="3" s="1"/>
  <c r="I96" i="3" s="1"/>
  <c r="E96" i="3"/>
  <c r="G96" i="3" s="1"/>
  <c r="A98" i="52254"/>
  <c r="B98" i="52254" s="1"/>
  <c r="B98" i="3"/>
  <c r="C98" i="3" s="1"/>
  <c r="E98" i="3" s="1"/>
  <c r="G98" i="3" s="1"/>
  <c r="K98" i="3"/>
  <c r="A99" i="3"/>
  <c r="D97" i="3"/>
  <c r="E97" i="3"/>
  <c r="G97" i="3" s="1"/>
  <c r="B97" i="52254"/>
  <c r="H96" i="52254"/>
  <c r="E96" i="52254"/>
  <c r="H96" i="3" l="1"/>
  <c r="J96" i="3" s="1"/>
  <c r="T96" i="3"/>
  <c r="S96" i="52254" s="1"/>
  <c r="P97" i="3"/>
  <c r="Q97" i="3" s="1"/>
  <c r="R97" i="3" s="1"/>
  <c r="T97" i="3" s="1"/>
  <c r="S97" i="52254" s="1"/>
  <c r="H22" i="52252"/>
  <c r="I22" i="52252" s="1"/>
  <c r="D98" i="3"/>
  <c r="F98" i="3" s="1"/>
  <c r="I98" i="3" s="1"/>
  <c r="C98" i="52254"/>
  <c r="R98" i="52254"/>
  <c r="R97" i="52254"/>
  <c r="C97" i="52254"/>
  <c r="M98" i="3"/>
  <c r="O98" i="3" s="1"/>
  <c r="L98" i="3"/>
  <c r="N98" i="3" s="1"/>
  <c r="U95" i="3"/>
  <c r="S95" i="52254"/>
  <c r="V95" i="3"/>
  <c r="A99" i="52254"/>
  <c r="B99" i="52254" s="1"/>
  <c r="C99" i="52254" s="1"/>
  <c r="D99" i="52254" s="1"/>
  <c r="B99" i="3"/>
  <c r="C99" i="3" s="1"/>
  <c r="K99" i="3"/>
  <c r="A100" i="3"/>
  <c r="F97" i="3"/>
  <c r="I97" i="3" s="1"/>
  <c r="H97" i="3"/>
  <c r="J97" i="3" l="1"/>
  <c r="K95" i="52254"/>
  <c r="J22" i="52252"/>
  <c r="O22" i="52252" s="1"/>
  <c r="U96" i="3"/>
  <c r="V96" i="3"/>
  <c r="S97" i="3"/>
  <c r="V97" i="3"/>
  <c r="H98" i="3"/>
  <c r="J98" i="3" s="1"/>
  <c r="R99" i="52254"/>
  <c r="P98" i="3"/>
  <c r="Q98" i="3" s="1"/>
  <c r="R98" i="3" s="1"/>
  <c r="A100" i="52254"/>
  <c r="B100" i="52254" s="1"/>
  <c r="R100" i="52254" s="1"/>
  <c r="K100" i="3"/>
  <c r="B100" i="3"/>
  <c r="C100" i="3" s="1"/>
  <c r="D100" i="3" s="1"/>
  <c r="F100" i="3" s="1"/>
  <c r="I100" i="3" s="1"/>
  <c r="A101" i="3"/>
  <c r="D98" i="52254"/>
  <c r="E98" i="52254"/>
  <c r="E99" i="3"/>
  <c r="G99" i="3" s="1"/>
  <c r="D99" i="3"/>
  <c r="U97" i="3"/>
  <c r="L99" i="3"/>
  <c r="N99" i="3" s="1"/>
  <c r="M99" i="3"/>
  <c r="O99" i="3" s="1"/>
  <c r="E97" i="52254"/>
  <c r="D97" i="52254"/>
  <c r="E99" i="52254"/>
  <c r="H99" i="52254"/>
  <c r="K96" i="52254" l="1"/>
  <c r="K97" i="52254"/>
  <c r="K22" i="52252"/>
  <c r="M22" i="52252" s="1"/>
  <c r="E100" i="3"/>
  <c r="G100" i="3" s="1"/>
  <c r="H97" i="52254"/>
  <c r="T98" i="3"/>
  <c r="S98" i="3"/>
  <c r="P99" i="3"/>
  <c r="Q99" i="3" s="1"/>
  <c r="R99" i="3" s="1"/>
  <c r="T99" i="3" s="1"/>
  <c r="S99" i="52254" s="1"/>
  <c r="C100" i="52254"/>
  <c r="F99" i="3"/>
  <c r="I99" i="3" s="1"/>
  <c r="H99" i="3"/>
  <c r="A101" i="52254"/>
  <c r="B101" i="52254" s="1"/>
  <c r="R101" i="52254" s="1"/>
  <c r="A102" i="3"/>
  <c r="K101" i="3"/>
  <c r="M100" i="3"/>
  <c r="O100" i="3" s="1"/>
  <c r="L100" i="3"/>
  <c r="N100" i="3" s="1"/>
  <c r="H98" i="52254"/>
  <c r="B101" i="3"/>
  <c r="H100" i="3"/>
  <c r="J100" i="3" s="1"/>
  <c r="J99" i="3" l="1"/>
  <c r="S99" i="3"/>
  <c r="C101" i="52254"/>
  <c r="D101" i="52254" s="1"/>
  <c r="G23" i="52256"/>
  <c r="U98" i="3"/>
  <c r="S98" i="52254"/>
  <c r="V98" i="3"/>
  <c r="P100" i="3"/>
  <c r="Q100" i="3" s="1"/>
  <c r="R100" i="3" s="1"/>
  <c r="D100" i="52254"/>
  <c r="E100" i="52254"/>
  <c r="C101" i="3"/>
  <c r="G23" i="52252"/>
  <c r="M101" i="3"/>
  <c r="O101" i="3" s="1"/>
  <c r="L101" i="3"/>
  <c r="N101" i="3" s="1"/>
  <c r="A102" i="52254"/>
  <c r="B102" i="52254" s="1"/>
  <c r="R102" i="52254" s="1"/>
  <c r="B102" i="3"/>
  <c r="C102" i="3" s="1"/>
  <c r="E102" i="3" s="1"/>
  <c r="G102" i="3" s="1"/>
  <c r="A103" i="3"/>
  <c r="K102" i="3"/>
  <c r="V99" i="3"/>
  <c r="U99" i="3"/>
  <c r="K98" i="52254" l="1"/>
  <c r="K99" i="52254"/>
  <c r="H101" i="52254"/>
  <c r="D102" i="3"/>
  <c r="F102" i="3" s="1"/>
  <c r="I102" i="3" s="1"/>
  <c r="E101" i="52254"/>
  <c r="S100" i="3"/>
  <c r="T100" i="3"/>
  <c r="H100" i="52254"/>
  <c r="M102" i="3"/>
  <c r="O102" i="3" s="1"/>
  <c r="L102" i="3"/>
  <c r="N102" i="3" s="1"/>
  <c r="E101" i="3"/>
  <c r="G101" i="3" s="1"/>
  <c r="D101" i="3"/>
  <c r="A103" i="52254"/>
  <c r="B103" i="52254" s="1"/>
  <c r="R103" i="52254" s="1"/>
  <c r="A104" i="3"/>
  <c r="K103" i="3"/>
  <c r="B103" i="3"/>
  <c r="C103" i="3" s="1"/>
  <c r="E103" i="3" s="1"/>
  <c r="G103" i="3" s="1"/>
  <c r="C102" i="52254"/>
  <c r="P101" i="3"/>
  <c r="Q101" i="3" s="1"/>
  <c r="R101" i="3" s="1"/>
  <c r="H102" i="3" l="1"/>
  <c r="J102" i="3" s="1"/>
  <c r="S100" i="52254"/>
  <c r="V100" i="3"/>
  <c r="U100" i="3"/>
  <c r="K100" i="52254" s="1"/>
  <c r="P102" i="3"/>
  <c r="Q102" i="3" s="1"/>
  <c r="R102" i="3" s="1"/>
  <c r="S102" i="3" s="1"/>
  <c r="D103" i="3"/>
  <c r="F103" i="3" s="1"/>
  <c r="I103" i="3" s="1"/>
  <c r="E102" i="52254"/>
  <c r="D102" i="52254"/>
  <c r="A104" i="52254"/>
  <c r="B104" i="52254" s="1"/>
  <c r="K104" i="3"/>
  <c r="B104" i="3"/>
  <c r="C104" i="3" s="1"/>
  <c r="A105" i="3"/>
  <c r="S101" i="3"/>
  <c r="H23" i="52252"/>
  <c r="I23" i="52252" s="1"/>
  <c r="T101" i="3"/>
  <c r="S101" i="52254" s="1"/>
  <c r="M103" i="3"/>
  <c r="O103" i="3" s="1"/>
  <c r="L103" i="3"/>
  <c r="N103" i="3" s="1"/>
  <c r="C103" i="52254"/>
  <c r="F101" i="3"/>
  <c r="I101" i="3" s="1"/>
  <c r="H101" i="3"/>
  <c r="H102" i="52254" l="1"/>
  <c r="V101" i="3"/>
  <c r="P103" i="3"/>
  <c r="Q103" i="3" s="1"/>
  <c r="R103" i="3" s="1"/>
  <c r="S103" i="3" s="1"/>
  <c r="T102" i="3"/>
  <c r="C104" i="52254"/>
  <c r="E104" i="52254" s="1"/>
  <c r="R104" i="52254"/>
  <c r="H103" i="3"/>
  <c r="J103" i="3" s="1"/>
  <c r="J23" i="52252"/>
  <c r="J101" i="3"/>
  <c r="U101" i="3"/>
  <c r="K101" i="52254" s="1"/>
  <c r="L104" i="3"/>
  <c r="N104" i="3" s="1"/>
  <c r="M104" i="3"/>
  <c r="O104" i="3" s="1"/>
  <c r="D104" i="3"/>
  <c r="E104" i="3"/>
  <c r="G104" i="3" s="1"/>
  <c r="D103" i="52254"/>
  <c r="E103" i="52254"/>
  <c r="A106" i="3"/>
  <c r="A105" i="52254"/>
  <c r="B105" i="52254" s="1"/>
  <c r="K105" i="3"/>
  <c r="B105" i="3"/>
  <c r="C105" i="3" s="1"/>
  <c r="T103" i="3" l="1"/>
  <c r="U103" i="3" s="1"/>
  <c r="V102" i="3"/>
  <c r="U102" i="3"/>
  <c r="K102" i="52254" s="1"/>
  <c r="S102" i="52254"/>
  <c r="D104" i="52254"/>
  <c r="P104" i="3"/>
  <c r="Q104" i="3" s="1"/>
  <c r="R104" i="3" s="1"/>
  <c r="S104" i="3" s="1"/>
  <c r="R105" i="52254"/>
  <c r="C105" i="52254"/>
  <c r="E105" i="52254" s="1"/>
  <c r="E105" i="3"/>
  <c r="G105" i="3" s="1"/>
  <c r="D105" i="3"/>
  <c r="M105" i="3"/>
  <c r="O105" i="3" s="1"/>
  <c r="L105" i="3"/>
  <c r="N105" i="3" s="1"/>
  <c r="H103" i="52254"/>
  <c r="K23" i="52252"/>
  <c r="M23" i="52252" s="1"/>
  <c r="O23" i="52252"/>
  <c r="A106" i="52254"/>
  <c r="B106" i="52254" s="1"/>
  <c r="R106" i="52254" s="1"/>
  <c r="B106" i="3"/>
  <c r="K106" i="3"/>
  <c r="A107" i="3"/>
  <c r="B107" i="3" s="1"/>
  <c r="C107" i="3" s="1"/>
  <c r="F104" i="3"/>
  <c r="I104" i="3" s="1"/>
  <c r="H104" i="3"/>
  <c r="J104" i="3" l="1"/>
  <c r="H104" i="52254"/>
  <c r="V103" i="3"/>
  <c r="K103" i="52254" s="1"/>
  <c r="S103" i="52254"/>
  <c r="G24" i="52256"/>
  <c r="T104" i="3"/>
  <c r="V104" i="3" s="1"/>
  <c r="M106" i="3"/>
  <c r="O106" i="3" s="1"/>
  <c r="L106" i="3"/>
  <c r="N106" i="3" s="1"/>
  <c r="C106" i="52254"/>
  <c r="D106" i="52254" s="1"/>
  <c r="P105" i="3"/>
  <c r="Q105" i="3" s="1"/>
  <c r="R105" i="3" s="1"/>
  <c r="A107" i="52254"/>
  <c r="B107" i="52254" s="1"/>
  <c r="C107" i="52254" s="1"/>
  <c r="A108" i="3"/>
  <c r="K107" i="3"/>
  <c r="G24" i="52252"/>
  <c r="C106" i="3"/>
  <c r="F105" i="3"/>
  <c r="I105" i="3" s="1"/>
  <c r="H105" i="3"/>
  <c r="D105" i="52254"/>
  <c r="E107" i="3"/>
  <c r="G107" i="3" s="1"/>
  <c r="D107" i="3"/>
  <c r="F107" i="3" s="1"/>
  <c r="I107" i="3" s="1"/>
  <c r="J105" i="3" l="1"/>
  <c r="H105" i="52254"/>
  <c r="H106" i="52254"/>
  <c r="R107" i="52254"/>
  <c r="U104" i="3"/>
  <c r="K104" i="52254" s="1"/>
  <c r="S104" i="52254"/>
  <c r="E106" i="52254"/>
  <c r="E107" i="52254"/>
  <c r="D107" i="52254"/>
  <c r="D106" i="3"/>
  <c r="E106" i="3"/>
  <c r="G106" i="3" s="1"/>
  <c r="P106" i="3"/>
  <c r="Q106" i="3" s="1"/>
  <c r="R106" i="3" s="1"/>
  <c r="A108" i="52254"/>
  <c r="B108" i="52254" s="1"/>
  <c r="C108" i="52254" s="1"/>
  <c r="D108" i="52254" s="1"/>
  <c r="K108" i="3"/>
  <c r="A109" i="3"/>
  <c r="M107" i="3"/>
  <c r="O107" i="3" s="1"/>
  <c r="L107" i="3"/>
  <c r="N107" i="3" s="1"/>
  <c r="S105" i="3"/>
  <c r="T105" i="3"/>
  <c r="B108" i="3"/>
  <c r="C108" i="3" s="1"/>
  <c r="D108" i="3" s="1"/>
  <c r="F108" i="3" s="1"/>
  <c r="I108" i="3" s="1"/>
  <c r="H107" i="3"/>
  <c r="R108" i="52254" l="1"/>
  <c r="H107" i="52254"/>
  <c r="P107" i="3"/>
  <c r="Q107" i="3" s="1"/>
  <c r="R107" i="3" s="1"/>
  <c r="S107" i="3" s="1"/>
  <c r="S105" i="52254"/>
  <c r="V105" i="3"/>
  <c r="U105" i="3"/>
  <c r="K105" i="52254" s="1"/>
  <c r="A109" i="52254"/>
  <c r="B109" i="52254" s="1"/>
  <c r="C109" i="52254" s="1"/>
  <c r="D109" i="52254" s="1"/>
  <c r="A110" i="3"/>
  <c r="K109" i="3"/>
  <c r="T106" i="3"/>
  <c r="S106" i="52254" s="1"/>
  <c r="H24" i="52252"/>
  <c r="I24" i="52252" s="1"/>
  <c r="S106" i="3"/>
  <c r="M108" i="3"/>
  <c r="O108" i="3" s="1"/>
  <c r="L108" i="3"/>
  <c r="N108" i="3" s="1"/>
  <c r="F106" i="3"/>
  <c r="I106" i="3" s="1"/>
  <c r="H106" i="3"/>
  <c r="E108" i="3"/>
  <c r="G108" i="3" s="1"/>
  <c r="B109" i="3"/>
  <c r="C109" i="3" s="1"/>
  <c r="E109" i="3" s="1"/>
  <c r="G109" i="3" s="1"/>
  <c r="E108" i="52254"/>
  <c r="H108" i="52254"/>
  <c r="H108" i="3"/>
  <c r="J108" i="3" s="1"/>
  <c r="J107" i="3"/>
  <c r="R109" i="52254" l="1"/>
  <c r="T107" i="3"/>
  <c r="S107" i="52254" s="1"/>
  <c r="D109" i="3"/>
  <c r="F109" i="3" s="1"/>
  <c r="I109" i="3" s="1"/>
  <c r="U106" i="3"/>
  <c r="J106" i="3"/>
  <c r="J24" i="52252"/>
  <c r="A110" i="52254"/>
  <c r="B110" i="52254" s="1"/>
  <c r="C110" i="52254" s="1"/>
  <c r="D110" i="52254" s="1"/>
  <c r="A111" i="3"/>
  <c r="K110" i="3"/>
  <c r="B110" i="3"/>
  <c r="C110" i="3" s="1"/>
  <c r="D110" i="3" s="1"/>
  <c r="F110" i="3" s="1"/>
  <c r="I110" i="3" s="1"/>
  <c r="L109" i="3"/>
  <c r="N109" i="3" s="1"/>
  <c r="M109" i="3"/>
  <c r="O109" i="3" s="1"/>
  <c r="P108" i="3"/>
  <c r="Q108" i="3" s="1"/>
  <c r="R108" i="3" s="1"/>
  <c r="V106" i="3"/>
  <c r="E109" i="52254"/>
  <c r="H109" i="52254"/>
  <c r="K106" i="52254" l="1"/>
  <c r="R110" i="52254"/>
  <c r="V107" i="3"/>
  <c r="U107" i="3"/>
  <c r="K107" i="52254" s="1"/>
  <c r="H109" i="3"/>
  <c r="J109" i="3" s="1"/>
  <c r="P109" i="3"/>
  <c r="Q109" i="3" s="1"/>
  <c r="R109" i="3" s="1"/>
  <c r="S109" i="3" s="1"/>
  <c r="E110" i="3"/>
  <c r="G110" i="3" s="1"/>
  <c r="A111" i="52254"/>
  <c r="B111" i="52254" s="1"/>
  <c r="R111" i="52254" s="1"/>
  <c r="K111" i="3"/>
  <c r="A112" i="3"/>
  <c r="B111" i="3"/>
  <c r="M110" i="3"/>
  <c r="O110" i="3" s="1"/>
  <c r="L110" i="3"/>
  <c r="N110" i="3" s="1"/>
  <c r="S108" i="3"/>
  <c r="T108" i="3"/>
  <c r="K24" i="52252"/>
  <c r="M24" i="52252" s="1"/>
  <c r="O24" i="52252"/>
  <c r="E110" i="52254"/>
  <c r="H110" i="3"/>
  <c r="J110" i="3" s="1"/>
  <c r="H110" i="52254"/>
  <c r="C111" i="52254" l="1"/>
  <c r="D111" i="52254" s="1"/>
  <c r="G25" i="52256"/>
  <c r="T109" i="3"/>
  <c r="S109" i="52254" s="1"/>
  <c r="P110" i="3"/>
  <c r="Q110" i="3" s="1"/>
  <c r="R110" i="3" s="1"/>
  <c r="T110" i="3" s="1"/>
  <c r="S110" i="52254" s="1"/>
  <c r="L111" i="3"/>
  <c r="N111" i="3" s="1"/>
  <c r="M111" i="3"/>
  <c r="O111" i="3" s="1"/>
  <c r="A112" i="52254"/>
  <c r="B112" i="52254" s="1"/>
  <c r="C112" i="52254" s="1"/>
  <c r="A113" i="3"/>
  <c r="B112" i="3"/>
  <c r="C112" i="3" s="1"/>
  <c r="K112" i="3"/>
  <c r="S108" i="52254"/>
  <c r="U108" i="3"/>
  <c r="V108" i="3"/>
  <c r="C111" i="3"/>
  <c r="G25" i="52252"/>
  <c r="K108" i="52254" l="1"/>
  <c r="R112" i="52254"/>
  <c r="E111" i="52254"/>
  <c r="H111" i="52254"/>
  <c r="S110" i="3"/>
  <c r="U109" i="3"/>
  <c r="V109" i="3"/>
  <c r="D112" i="52254"/>
  <c r="E112" i="52254"/>
  <c r="P111" i="3"/>
  <c r="Q111" i="3" s="1"/>
  <c r="R111" i="3" s="1"/>
  <c r="S111" i="3" s="1"/>
  <c r="E112" i="3"/>
  <c r="G112" i="3" s="1"/>
  <c r="D112" i="3"/>
  <c r="F112" i="3" s="1"/>
  <c r="I112" i="3" s="1"/>
  <c r="D111" i="3"/>
  <c r="F111" i="3" s="1"/>
  <c r="I111" i="3" s="1"/>
  <c r="E111" i="3"/>
  <c r="G111" i="3" s="1"/>
  <c r="M112" i="3"/>
  <c r="O112" i="3" s="1"/>
  <c r="L112" i="3"/>
  <c r="N112" i="3" s="1"/>
  <c r="A113" i="52254"/>
  <c r="B113" i="52254" s="1"/>
  <c r="R113" i="52254" s="1"/>
  <c r="A114" i="3"/>
  <c r="B113" i="3"/>
  <c r="C113" i="3" s="1"/>
  <c r="E113" i="3" s="1"/>
  <c r="G113" i="3" s="1"/>
  <c r="K113" i="3"/>
  <c r="V110" i="3"/>
  <c r="U110" i="3"/>
  <c r="K110" i="52254" l="1"/>
  <c r="K109" i="52254"/>
  <c r="C113" i="52254"/>
  <c r="D113" i="52254" s="1"/>
  <c r="T111" i="3"/>
  <c r="S111" i="52254" s="1"/>
  <c r="H112" i="52254"/>
  <c r="P112" i="3"/>
  <c r="Q112" i="3" s="1"/>
  <c r="R112" i="3" s="1"/>
  <c r="S112" i="3" s="1"/>
  <c r="H25" i="52252"/>
  <c r="I25" i="52252" s="1"/>
  <c r="H112" i="3"/>
  <c r="J112" i="3" s="1"/>
  <c r="D113" i="3"/>
  <c r="F113" i="3" s="1"/>
  <c r="I113" i="3" s="1"/>
  <c r="H111" i="3"/>
  <c r="J111" i="3" s="1"/>
  <c r="B114" i="3"/>
  <c r="C114" i="3" s="1"/>
  <c r="A115" i="3"/>
  <c r="B115" i="3" s="1"/>
  <c r="C115" i="3" s="1"/>
  <c r="A114" i="52254"/>
  <c r="B114" i="52254" s="1"/>
  <c r="C114" i="52254" s="1"/>
  <c r="K114" i="3"/>
  <c r="L113" i="3"/>
  <c r="N113" i="3" s="1"/>
  <c r="M113" i="3"/>
  <c r="O113" i="3" s="1"/>
  <c r="H113" i="3" l="1"/>
  <c r="J113" i="3" s="1"/>
  <c r="V111" i="3"/>
  <c r="H113" i="52254"/>
  <c r="E113" i="52254"/>
  <c r="R114" i="52254"/>
  <c r="P113" i="3"/>
  <c r="Q113" i="3" s="1"/>
  <c r="R113" i="3" s="1"/>
  <c r="S113" i="3" s="1"/>
  <c r="U111" i="3"/>
  <c r="D114" i="52254"/>
  <c r="E114" i="52254"/>
  <c r="E115" i="3"/>
  <c r="G115" i="3" s="1"/>
  <c r="D115" i="3"/>
  <c r="F115" i="3" s="1"/>
  <c r="I115" i="3" s="1"/>
  <c r="T112" i="3"/>
  <c r="J25" i="52252"/>
  <c r="E114" i="3"/>
  <c r="G114" i="3" s="1"/>
  <c r="D114" i="3"/>
  <c r="A115" i="52254"/>
  <c r="B115" i="52254" s="1"/>
  <c r="C115" i="52254" s="1"/>
  <c r="D115" i="52254" s="1"/>
  <c r="K115" i="3"/>
  <c r="A116" i="3"/>
  <c r="M114" i="3"/>
  <c r="O114" i="3" s="1"/>
  <c r="L114" i="3"/>
  <c r="N114" i="3" s="1"/>
  <c r="K111" i="52254" l="1"/>
  <c r="H114" i="52254"/>
  <c r="R115" i="52254"/>
  <c r="T113" i="3"/>
  <c r="U113" i="3" s="1"/>
  <c r="H115" i="3"/>
  <c r="J115" i="3" s="1"/>
  <c r="S112" i="52254"/>
  <c r="U112" i="3"/>
  <c r="P114" i="3"/>
  <c r="Q114" i="3" s="1"/>
  <c r="R114" i="3" s="1"/>
  <c r="S114" i="3" s="1"/>
  <c r="V112" i="3"/>
  <c r="O25" i="52252"/>
  <c r="K25" i="52252"/>
  <c r="M25" i="52252" s="1"/>
  <c r="A116" i="52254"/>
  <c r="B116" i="52254" s="1"/>
  <c r="R116" i="52254" s="1"/>
  <c r="A117" i="3"/>
  <c r="B116" i="3"/>
  <c r="K116" i="3"/>
  <c r="F114" i="3"/>
  <c r="I114" i="3" s="1"/>
  <c r="H114" i="3"/>
  <c r="M115" i="3"/>
  <c r="O115" i="3" s="1"/>
  <c r="L115" i="3"/>
  <c r="N115" i="3" s="1"/>
  <c r="E115" i="52254"/>
  <c r="H115" i="52254"/>
  <c r="J114" i="3" l="1"/>
  <c r="K112" i="52254"/>
  <c r="G26" i="52256"/>
  <c r="C116" i="52254"/>
  <c r="E116" i="52254" s="1"/>
  <c r="T114" i="3"/>
  <c r="S114" i="52254" s="1"/>
  <c r="S113" i="52254"/>
  <c r="V113" i="3"/>
  <c r="K113" i="52254" s="1"/>
  <c r="P115" i="3"/>
  <c r="Q115" i="3" s="1"/>
  <c r="R115" i="3" s="1"/>
  <c r="S115" i="3" s="1"/>
  <c r="L116" i="3"/>
  <c r="N116" i="3" s="1"/>
  <c r="M116" i="3"/>
  <c r="O116" i="3" s="1"/>
  <c r="A117" i="52254"/>
  <c r="B117" i="52254" s="1"/>
  <c r="A118" i="3"/>
  <c r="B118" i="3" s="1"/>
  <c r="C118" i="3" s="1"/>
  <c r="E118" i="3" s="1"/>
  <c r="G118" i="3" s="1"/>
  <c r="K117" i="3"/>
  <c r="G26" i="52252"/>
  <c r="C116" i="3"/>
  <c r="B117" i="3"/>
  <c r="C117" i="3" s="1"/>
  <c r="D116" i="52254" l="1"/>
  <c r="U114" i="3"/>
  <c r="V114" i="3"/>
  <c r="D118" i="3"/>
  <c r="F118" i="3" s="1"/>
  <c r="I118" i="3" s="1"/>
  <c r="T115" i="3"/>
  <c r="S115" i="52254" s="1"/>
  <c r="P116" i="3"/>
  <c r="Q116" i="3" s="1"/>
  <c r="R116" i="3" s="1"/>
  <c r="T116" i="3" s="1"/>
  <c r="S116" i="52254" s="1"/>
  <c r="R117" i="52254"/>
  <c r="C117" i="52254"/>
  <c r="D117" i="52254" s="1"/>
  <c r="M117" i="3"/>
  <c r="O117" i="3" s="1"/>
  <c r="L117" i="3"/>
  <c r="N117" i="3" s="1"/>
  <c r="E117" i="3"/>
  <c r="G117" i="3" s="1"/>
  <c r="D117" i="3"/>
  <c r="D116" i="3"/>
  <c r="E116" i="3"/>
  <c r="G116" i="3" s="1"/>
  <c r="A118" i="52254"/>
  <c r="B118" i="52254" s="1"/>
  <c r="C118" i="52254" s="1"/>
  <c r="D118" i="52254" s="1"/>
  <c r="K118" i="3"/>
  <c r="A119" i="3"/>
  <c r="K114" i="52254" l="1"/>
  <c r="H116" i="52254"/>
  <c r="U115" i="3"/>
  <c r="P117" i="3"/>
  <c r="Q117" i="3" s="1"/>
  <c r="R117" i="3" s="1"/>
  <c r="T117" i="3" s="1"/>
  <c r="S117" i="52254" s="1"/>
  <c r="V115" i="3"/>
  <c r="H118" i="3"/>
  <c r="J118" i="3" s="1"/>
  <c r="E117" i="52254"/>
  <c r="S116" i="3"/>
  <c r="H26" i="52252"/>
  <c r="I26" i="52252" s="1"/>
  <c r="R118" i="52254"/>
  <c r="L118" i="3"/>
  <c r="N118" i="3" s="1"/>
  <c r="M118" i="3"/>
  <c r="O118" i="3" s="1"/>
  <c r="F117" i="3"/>
  <c r="I117" i="3" s="1"/>
  <c r="H117" i="3"/>
  <c r="A119" i="52254"/>
  <c r="B119" i="52254" s="1"/>
  <c r="C119" i="52254" s="1"/>
  <c r="E119" i="52254" s="1"/>
  <c r="K119" i="3"/>
  <c r="A120" i="3"/>
  <c r="B119" i="3"/>
  <c r="C119" i="3" s="1"/>
  <c r="E119" i="3" s="1"/>
  <c r="G119" i="3" s="1"/>
  <c r="F116" i="3"/>
  <c r="I116" i="3" s="1"/>
  <c r="V116" i="3" s="1"/>
  <c r="H116" i="3"/>
  <c r="E118" i="52254"/>
  <c r="J117" i="3" l="1"/>
  <c r="K115" i="52254"/>
  <c r="H118" i="52254"/>
  <c r="H117" i="52254"/>
  <c r="S117" i="3"/>
  <c r="V117" i="3"/>
  <c r="P118" i="3"/>
  <c r="Q118" i="3" s="1"/>
  <c r="R118" i="3" s="1"/>
  <c r="T118" i="3" s="1"/>
  <c r="S118" i="52254" s="1"/>
  <c r="A120" i="52254"/>
  <c r="B120" i="52254" s="1"/>
  <c r="A121" i="3"/>
  <c r="B120" i="3"/>
  <c r="C120" i="3" s="1"/>
  <c r="E120" i="3" s="1"/>
  <c r="G120" i="3" s="1"/>
  <c r="K120" i="3"/>
  <c r="D119" i="3"/>
  <c r="F119" i="3" s="1"/>
  <c r="I119" i="3" s="1"/>
  <c r="R119" i="52254"/>
  <c r="U117" i="3"/>
  <c r="K117" i="52254" s="1"/>
  <c r="J116" i="3"/>
  <c r="J26" i="52252"/>
  <c r="U116" i="3"/>
  <c r="K116" i="52254" s="1"/>
  <c r="M119" i="3"/>
  <c r="O119" i="3" s="1"/>
  <c r="L119" i="3"/>
  <c r="N119" i="3" s="1"/>
  <c r="D119" i="52254"/>
  <c r="P119" i="3" l="1"/>
  <c r="Q119" i="3" s="1"/>
  <c r="R119" i="3" s="1"/>
  <c r="T119" i="3" s="1"/>
  <c r="S119" i="52254" s="1"/>
  <c r="S118" i="3"/>
  <c r="R120" i="52254"/>
  <c r="C120" i="52254"/>
  <c r="D120" i="52254" s="1"/>
  <c r="K26" i="52252"/>
  <c r="M26" i="52252" s="1"/>
  <c r="O26" i="52252"/>
  <c r="A121" i="52254"/>
  <c r="B121" i="52254" s="1"/>
  <c r="R121" i="52254" s="1"/>
  <c r="A122" i="3"/>
  <c r="B121" i="3"/>
  <c r="K121" i="3"/>
  <c r="D120" i="3"/>
  <c r="F120" i="3" s="1"/>
  <c r="I120" i="3" s="1"/>
  <c r="L120" i="3"/>
  <c r="N120" i="3" s="1"/>
  <c r="M120" i="3"/>
  <c r="O120" i="3" s="1"/>
  <c r="H119" i="3"/>
  <c r="J119" i="3" s="1"/>
  <c r="H119" i="52254"/>
  <c r="V118" i="3"/>
  <c r="U118" i="3"/>
  <c r="K118" i="52254" l="1"/>
  <c r="E120" i="52254"/>
  <c r="S119" i="3"/>
  <c r="H120" i="52254"/>
  <c r="G27" i="52256"/>
  <c r="P120" i="3"/>
  <c r="Q120" i="3" s="1"/>
  <c r="R120" i="3" s="1"/>
  <c r="S120" i="3" s="1"/>
  <c r="G27" i="52252"/>
  <c r="C121" i="3"/>
  <c r="M121" i="3"/>
  <c r="O121" i="3" s="1"/>
  <c r="L121" i="3"/>
  <c r="N121" i="3" s="1"/>
  <c r="A122" i="52254"/>
  <c r="B122" i="52254" s="1"/>
  <c r="R122" i="52254" s="1"/>
  <c r="B122" i="3"/>
  <c r="C122" i="3" s="1"/>
  <c r="K122" i="3"/>
  <c r="A123" i="3"/>
  <c r="C121" i="52254"/>
  <c r="H120" i="3"/>
  <c r="J120" i="3" s="1"/>
  <c r="V119" i="3"/>
  <c r="U119" i="3"/>
  <c r="K119" i="52254" l="1"/>
  <c r="P121" i="3"/>
  <c r="Q121" i="3" s="1"/>
  <c r="R121" i="3" s="1"/>
  <c r="H27" i="52252" s="1"/>
  <c r="I27" i="52252" s="1"/>
  <c r="T120" i="3"/>
  <c r="U120" i="3" s="1"/>
  <c r="C122" i="52254"/>
  <c r="E122" i="52254" s="1"/>
  <c r="D122" i="3"/>
  <c r="F122" i="3" s="1"/>
  <c r="E122" i="3"/>
  <c r="G122" i="3" s="1"/>
  <c r="E121" i="3"/>
  <c r="G121" i="3" s="1"/>
  <c r="D121" i="3"/>
  <c r="F121" i="3" s="1"/>
  <c r="M122" i="3"/>
  <c r="O122" i="3" s="1"/>
  <c r="L122" i="3"/>
  <c r="N122" i="3" s="1"/>
  <c r="E121" i="52254"/>
  <c r="D121" i="52254"/>
  <c r="A123" i="52254"/>
  <c r="B123" i="52254" s="1"/>
  <c r="C123" i="52254" s="1"/>
  <c r="B123" i="3"/>
  <c r="C123" i="3" s="1"/>
  <c r="E123" i="3" s="1"/>
  <c r="G123" i="3" s="1"/>
  <c r="K123" i="3"/>
  <c r="A124" i="3"/>
  <c r="I122" i="3" l="1"/>
  <c r="I121" i="3"/>
  <c r="D122" i="52254"/>
  <c r="T121" i="3"/>
  <c r="S121" i="52254" s="1"/>
  <c r="S121" i="3"/>
  <c r="D123" i="3"/>
  <c r="F123" i="3" s="1"/>
  <c r="I123" i="3" s="1"/>
  <c r="H121" i="3"/>
  <c r="J27" i="52252" s="1"/>
  <c r="O27" i="52252" s="1"/>
  <c r="V120" i="3"/>
  <c r="K120" i="52254" s="1"/>
  <c r="S120" i="52254"/>
  <c r="H122" i="3"/>
  <c r="E123" i="52254"/>
  <c r="D123" i="52254"/>
  <c r="A124" i="52254"/>
  <c r="B124" i="52254" s="1"/>
  <c r="R124" i="52254" s="1"/>
  <c r="K124" i="3"/>
  <c r="B124" i="3"/>
  <c r="C124" i="3" s="1"/>
  <c r="A125" i="3"/>
  <c r="B125" i="3" s="1"/>
  <c r="C125" i="3" s="1"/>
  <c r="L123" i="3"/>
  <c r="N123" i="3" s="1"/>
  <c r="M123" i="3"/>
  <c r="O123" i="3" s="1"/>
  <c r="R123" i="52254"/>
  <c r="H121" i="52254"/>
  <c r="P122" i="3"/>
  <c r="Q122" i="3" s="1"/>
  <c r="R122" i="3" s="1"/>
  <c r="S122" i="3" s="1"/>
  <c r="J122" i="3" l="1"/>
  <c r="H122" i="52254"/>
  <c r="H123" i="52254"/>
  <c r="J121" i="3"/>
  <c r="U121" i="3"/>
  <c r="V121" i="3"/>
  <c r="C124" i="52254"/>
  <c r="E124" i="52254" s="1"/>
  <c r="H123" i="3"/>
  <c r="J123" i="3" s="1"/>
  <c r="E124" i="3"/>
  <c r="G124" i="3" s="1"/>
  <c r="D124" i="3"/>
  <c r="A125" i="52254"/>
  <c r="B125" i="52254" s="1"/>
  <c r="R125" i="52254" s="1"/>
  <c r="A126" i="3"/>
  <c r="K125" i="3"/>
  <c r="T122" i="3"/>
  <c r="P123" i="3"/>
  <c r="Q123" i="3" s="1"/>
  <c r="R123" i="3" s="1"/>
  <c r="K27" i="52252"/>
  <c r="M27" i="52252" s="1"/>
  <c r="M124" i="3"/>
  <c r="O124" i="3" s="1"/>
  <c r="L124" i="3"/>
  <c r="N124" i="3" s="1"/>
  <c r="E125" i="3"/>
  <c r="G125" i="3" s="1"/>
  <c r="D125" i="3"/>
  <c r="F125" i="3" s="1"/>
  <c r="K121" i="52254" l="1"/>
  <c r="D124" i="52254"/>
  <c r="C125" i="52254"/>
  <c r="E125" i="52254" s="1"/>
  <c r="P124" i="3"/>
  <c r="Q124" i="3" s="1"/>
  <c r="R124" i="3" s="1"/>
  <c r="S124" i="3" s="1"/>
  <c r="S122" i="52254"/>
  <c r="V122" i="3"/>
  <c r="U122" i="3"/>
  <c r="K122" i="52254" s="1"/>
  <c r="F124" i="3"/>
  <c r="I124" i="3" s="1"/>
  <c r="H124" i="3"/>
  <c r="T123" i="3"/>
  <c r="S123" i="3"/>
  <c r="A126" i="52254"/>
  <c r="B126" i="52254" s="1"/>
  <c r="R126" i="52254" s="1"/>
  <c r="B126" i="3"/>
  <c r="K126" i="3"/>
  <c r="A127" i="3"/>
  <c r="L125" i="3"/>
  <c r="N125" i="3" s="1"/>
  <c r="M125" i="3"/>
  <c r="O125" i="3" s="1"/>
  <c r="I125" i="3"/>
  <c r="H125" i="3"/>
  <c r="J125" i="3" l="1"/>
  <c r="J124" i="3"/>
  <c r="H124" i="52254"/>
  <c r="G28" i="52256"/>
  <c r="D125" i="52254"/>
  <c r="T124" i="3"/>
  <c r="V124" i="3" s="1"/>
  <c r="G28" i="52252"/>
  <c r="C126" i="3"/>
  <c r="M126" i="3"/>
  <c r="O126" i="3" s="1"/>
  <c r="L126" i="3"/>
  <c r="N126" i="3" s="1"/>
  <c r="S123" i="52254"/>
  <c r="U123" i="3"/>
  <c r="V123" i="3"/>
  <c r="A127" i="52254"/>
  <c r="A128" i="3"/>
  <c r="K127" i="3"/>
  <c r="B127" i="3"/>
  <c r="C127" i="3" s="1"/>
  <c r="D127" i="3" s="1"/>
  <c r="F127" i="3" s="1"/>
  <c r="P125" i="3"/>
  <c r="Q125" i="3" s="1"/>
  <c r="R125" i="3" s="1"/>
  <c r="S125" i="3" s="1"/>
  <c r="C126" i="52254"/>
  <c r="D126" i="52254" s="1"/>
  <c r="K123" i="52254" l="1"/>
  <c r="H125" i="52254"/>
  <c r="E127" i="3"/>
  <c r="G127" i="3" s="1"/>
  <c r="S124" i="52254"/>
  <c r="U124" i="3"/>
  <c r="K124" i="52254" s="1"/>
  <c r="E126" i="52254"/>
  <c r="A128" i="52254"/>
  <c r="B128" i="52254" s="1"/>
  <c r="A129" i="3"/>
  <c r="B128" i="3"/>
  <c r="C128" i="3" s="1"/>
  <c r="K128" i="3"/>
  <c r="L127" i="3"/>
  <c r="N127" i="3" s="1"/>
  <c r="M127" i="3"/>
  <c r="O127" i="3" s="1"/>
  <c r="D126" i="3"/>
  <c r="E126" i="3"/>
  <c r="G126" i="3" s="1"/>
  <c r="T125" i="3"/>
  <c r="B127" i="52254"/>
  <c r="P126" i="3"/>
  <c r="Q126" i="3" s="1"/>
  <c r="R126" i="3" s="1"/>
  <c r="I127" i="3"/>
  <c r="H127" i="3"/>
  <c r="C128" i="52254" l="1"/>
  <c r="E128" i="52254" s="1"/>
  <c r="R128" i="52254"/>
  <c r="H126" i="52254"/>
  <c r="R127" i="52254"/>
  <c r="C127" i="52254"/>
  <c r="F126" i="3"/>
  <c r="I126" i="3" s="1"/>
  <c r="H126" i="3"/>
  <c r="D128" i="3"/>
  <c r="F128" i="3" s="1"/>
  <c r="E128" i="3"/>
  <c r="G128" i="3" s="1"/>
  <c r="S126" i="3"/>
  <c r="H28" i="52252"/>
  <c r="I28" i="52252" s="1"/>
  <c r="L128" i="3"/>
  <c r="N128" i="3" s="1"/>
  <c r="M128" i="3"/>
  <c r="O128" i="3" s="1"/>
  <c r="S125" i="52254"/>
  <c r="U125" i="3"/>
  <c r="V125" i="3"/>
  <c r="A129" i="52254"/>
  <c r="B129" i="52254" s="1"/>
  <c r="R129" i="52254" s="1"/>
  <c r="A130" i="3"/>
  <c r="K129" i="3"/>
  <c r="B129" i="3"/>
  <c r="C129" i="3" s="1"/>
  <c r="E129" i="3" s="1"/>
  <c r="G129" i="3" s="1"/>
  <c r="T126" i="3"/>
  <c r="S126" i="52254" s="1"/>
  <c r="P127" i="3"/>
  <c r="Q127" i="3" s="1"/>
  <c r="R127" i="3" s="1"/>
  <c r="J127" i="3"/>
  <c r="K125" i="52254" l="1"/>
  <c r="I128" i="3"/>
  <c r="D129" i="3"/>
  <c r="F129" i="3" s="1"/>
  <c r="I129" i="3" s="1"/>
  <c r="D128" i="52254"/>
  <c r="C129" i="52254"/>
  <c r="E129" i="52254" s="1"/>
  <c r="L129" i="3"/>
  <c r="N129" i="3" s="1"/>
  <c r="M129" i="3"/>
  <c r="O129" i="3" s="1"/>
  <c r="J28" i="52252"/>
  <c r="J126" i="3"/>
  <c r="U126" i="3"/>
  <c r="S127" i="3"/>
  <c r="T127" i="3"/>
  <c r="E127" i="52254"/>
  <c r="D127" i="52254"/>
  <c r="A130" i="52254"/>
  <c r="B130" i="52254" s="1"/>
  <c r="R130" i="52254" s="1"/>
  <c r="K130" i="3"/>
  <c r="A131" i="3"/>
  <c r="B130" i="3"/>
  <c r="C130" i="3" s="1"/>
  <c r="H128" i="3"/>
  <c r="J128" i="3" s="1"/>
  <c r="P128" i="3"/>
  <c r="Q128" i="3" s="1"/>
  <c r="R128" i="3" s="1"/>
  <c r="V126" i="3"/>
  <c r="K126" i="52254" l="1"/>
  <c r="H128" i="52254"/>
  <c r="H129" i="3"/>
  <c r="J129" i="3" s="1"/>
  <c r="D129" i="52254"/>
  <c r="S128" i="3"/>
  <c r="T128" i="3"/>
  <c r="U128" i="3" s="1"/>
  <c r="M130" i="3"/>
  <c r="O130" i="3" s="1"/>
  <c r="L130" i="3"/>
  <c r="N130" i="3" s="1"/>
  <c r="A131" i="52254"/>
  <c r="B131" i="52254" s="1"/>
  <c r="A132" i="3"/>
  <c r="B132" i="3" s="1"/>
  <c r="C132" i="3" s="1"/>
  <c r="K131" i="3"/>
  <c r="B131" i="3"/>
  <c r="E130" i="3"/>
  <c r="G130" i="3" s="1"/>
  <c r="D130" i="3"/>
  <c r="S127" i="52254"/>
  <c r="U127" i="3"/>
  <c r="V127" i="3"/>
  <c r="K28" i="52252"/>
  <c r="M28" i="52252" s="1"/>
  <c r="O28" i="52252"/>
  <c r="C130" i="52254"/>
  <c r="P129" i="3"/>
  <c r="Q129" i="3" s="1"/>
  <c r="R129" i="3" s="1"/>
  <c r="H127" i="52254"/>
  <c r="K127" i="52254" l="1"/>
  <c r="H129" i="52254"/>
  <c r="R131" i="52254"/>
  <c r="C131" i="52254"/>
  <c r="D131" i="52254" s="1"/>
  <c r="G29" i="52256"/>
  <c r="G29" i="52252"/>
  <c r="C131" i="3"/>
  <c r="E130" i="52254"/>
  <c r="D130" i="52254"/>
  <c r="F130" i="3"/>
  <c r="I130" i="3" s="1"/>
  <c r="H130" i="3"/>
  <c r="A132" i="52254"/>
  <c r="B132" i="52254" s="1"/>
  <c r="C132" i="52254" s="1"/>
  <c r="D132" i="52254" s="1"/>
  <c r="A133" i="3"/>
  <c r="K132" i="3"/>
  <c r="S128" i="52254"/>
  <c r="V128" i="3"/>
  <c r="K128" i="52254" s="1"/>
  <c r="S129" i="3"/>
  <c r="T129" i="3"/>
  <c r="L131" i="3"/>
  <c r="N131" i="3" s="1"/>
  <c r="M131" i="3"/>
  <c r="O131" i="3" s="1"/>
  <c r="P130" i="3"/>
  <c r="Q130" i="3" s="1"/>
  <c r="R130" i="3" s="1"/>
  <c r="E132" i="3"/>
  <c r="G132" i="3" s="1"/>
  <c r="D132" i="3"/>
  <c r="F132" i="3" s="1"/>
  <c r="J130" i="3" l="1"/>
  <c r="E131" i="52254"/>
  <c r="R132" i="52254"/>
  <c r="S130" i="3"/>
  <c r="T130" i="3"/>
  <c r="S130" i="52254" s="1"/>
  <c r="S129" i="52254"/>
  <c r="U129" i="3"/>
  <c r="V129" i="3"/>
  <c r="H130" i="52254"/>
  <c r="P131" i="3"/>
  <c r="Q131" i="3" s="1"/>
  <c r="R131" i="3" s="1"/>
  <c r="L132" i="3"/>
  <c r="N132" i="3" s="1"/>
  <c r="M132" i="3"/>
  <c r="O132" i="3" s="1"/>
  <c r="E131" i="3"/>
  <c r="G131" i="3" s="1"/>
  <c r="D131" i="3"/>
  <c r="A133" i="52254"/>
  <c r="B133" i="52254" s="1"/>
  <c r="C133" i="52254" s="1"/>
  <c r="E133" i="52254" s="1"/>
  <c r="A134" i="3"/>
  <c r="B133" i="3"/>
  <c r="C133" i="3" s="1"/>
  <c r="D133" i="3" s="1"/>
  <c r="F133" i="3" s="1"/>
  <c r="K133" i="3"/>
  <c r="E132" i="52254"/>
  <c r="I132" i="3"/>
  <c r="H132" i="3"/>
  <c r="J132" i="3" l="1"/>
  <c r="K129" i="52254"/>
  <c r="H131" i="52254"/>
  <c r="H132" i="52254"/>
  <c r="P132" i="3"/>
  <c r="Q132" i="3" s="1"/>
  <c r="R132" i="3" s="1"/>
  <c r="S132" i="3" s="1"/>
  <c r="R133" i="52254"/>
  <c r="U130" i="3"/>
  <c r="V130" i="3"/>
  <c r="L133" i="3"/>
  <c r="N133" i="3" s="1"/>
  <c r="M133" i="3"/>
  <c r="O133" i="3" s="1"/>
  <c r="F131" i="3"/>
  <c r="I131" i="3" s="1"/>
  <c r="H131" i="3"/>
  <c r="S131" i="3"/>
  <c r="H29" i="52252"/>
  <c r="I29" i="52252" s="1"/>
  <c r="T131" i="3"/>
  <c r="S131" i="52254" s="1"/>
  <c r="E133" i="3"/>
  <c r="G133" i="3" s="1"/>
  <c r="I133" i="3" s="1"/>
  <c r="A134" i="52254"/>
  <c r="B134" i="52254" s="1"/>
  <c r="C134" i="52254" s="1"/>
  <c r="D134" i="52254" s="1"/>
  <c r="K134" i="3"/>
  <c r="A135" i="3"/>
  <c r="B134" i="3"/>
  <c r="C134" i="3" s="1"/>
  <c r="D133" i="52254"/>
  <c r="K130" i="52254" l="1"/>
  <c r="H133" i="3"/>
  <c r="J133" i="3" s="1"/>
  <c r="H133" i="52254"/>
  <c r="R134" i="52254"/>
  <c r="T132" i="3"/>
  <c r="D134" i="3"/>
  <c r="F134" i="3" s="1"/>
  <c r="E134" i="3"/>
  <c r="G134" i="3" s="1"/>
  <c r="J29" i="52252"/>
  <c r="J131" i="3"/>
  <c r="U131" i="3"/>
  <c r="M134" i="3"/>
  <c r="O134" i="3" s="1"/>
  <c r="L134" i="3"/>
  <c r="N134" i="3" s="1"/>
  <c r="P133" i="3"/>
  <c r="Q133" i="3" s="1"/>
  <c r="R133" i="3" s="1"/>
  <c r="A135" i="52254"/>
  <c r="B135" i="52254" s="1"/>
  <c r="C135" i="52254" s="1"/>
  <c r="E135" i="52254" s="1"/>
  <c r="A136" i="3"/>
  <c r="B135" i="3"/>
  <c r="C135" i="3" s="1"/>
  <c r="E135" i="3" s="1"/>
  <c r="G135" i="3" s="1"/>
  <c r="K135" i="3"/>
  <c r="V131" i="3"/>
  <c r="E134" i="52254"/>
  <c r="K131" i="52254" l="1"/>
  <c r="I134" i="3"/>
  <c r="H134" i="3"/>
  <c r="R135" i="52254"/>
  <c r="H134" i="52254"/>
  <c r="D135" i="3"/>
  <c r="F135" i="3" s="1"/>
  <c r="I135" i="3" s="1"/>
  <c r="S132" i="52254"/>
  <c r="V132" i="3"/>
  <c r="U132" i="3"/>
  <c r="P134" i="3"/>
  <c r="Q134" i="3" s="1"/>
  <c r="R134" i="3" s="1"/>
  <c r="T133" i="3"/>
  <c r="S133" i="3"/>
  <c r="A136" i="52254"/>
  <c r="B136" i="52254" s="1"/>
  <c r="R136" i="52254" s="1"/>
  <c r="K136" i="3"/>
  <c r="A137" i="3"/>
  <c r="B136" i="3"/>
  <c r="M135" i="3"/>
  <c r="O135" i="3" s="1"/>
  <c r="L135" i="3"/>
  <c r="N135" i="3" s="1"/>
  <c r="O29" i="52252"/>
  <c r="K29" i="52252"/>
  <c r="M29" i="52252" s="1"/>
  <c r="D135" i="52254"/>
  <c r="J134" i="3" l="1"/>
  <c r="K132" i="52254"/>
  <c r="H135" i="52254"/>
  <c r="H135" i="3"/>
  <c r="J135" i="3" s="1"/>
  <c r="C136" i="52254"/>
  <c r="D136" i="52254" s="1"/>
  <c r="G30" i="52256"/>
  <c r="S134" i="3"/>
  <c r="T134" i="3"/>
  <c r="A138" i="3"/>
  <c r="A137" i="52254"/>
  <c r="B137" i="52254" s="1"/>
  <c r="C137" i="52254" s="1"/>
  <c r="D137" i="52254" s="1"/>
  <c r="B137" i="3"/>
  <c r="C137" i="3" s="1"/>
  <c r="K137" i="3"/>
  <c r="G30" i="52252"/>
  <c r="C136" i="3"/>
  <c r="P135" i="3"/>
  <c r="Q135" i="3" s="1"/>
  <c r="R135" i="3" s="1"/>
  <c r="S133" i="52254"/>
  <c r="U133" i="3"/>
  <c r="V133" i="3"/>
  <c r="L136" i="3"/>
  <c r="N136" i="3" s="1"/>
  <c r="M136" i="3"/>
  <c r="O136" i="3" s="1"/>
  <c r="K133" i="52254" l="1"/>
  <c r="E136" i="52254"/>
  <c r="R137" i="52254"/>
  <c r="U134" i="3"/>
  <c r="V134" i="3"/>
  <c r="S134" i="52254"/>
  <c r="P136" i="3"/>
  <c r="Q136" i="3" s="1"/>
  <c r="R136" i="3" s="1"/>
  <c r="H30" i="52252" s="1"/>
  <c r="I30" i="52252" s="1"/>
  <c r="A138" i="52254"/>
  <c r="B138" i="52254" s="1"/>
  <c r="R138" i="52254" s="1"/>
  <c r="A139" i="3"/>
  <c r="B139" i="3" s="1"/>
  <c r="C139" i="3" s="1"/>
  <c r="K138" i="3"/>
  <c r="E136" i="3"/>
  <c r="G136" i="3" s="1"/>
  <c r="D136" i="3"/>
  <c r="F136" i="3" s="1"/>
  <c r="D137" i="3"/>
  <c r="E137" i="3"/>
  <c r="G137" i="3" s="1"/>
  <c r="E137" i="52254"/>
  <c r="B138" i="3"/>
  <c r="C138" i="3" s="1"/>
  <c r="D138" i="3" s="1"/>
  <c r="F138" i="3" s="1"/>
  <c r="S135" i="3"/>
  <c r="T135" i="3"/>
  <c r="M137" i="3"/>
  <c r="O137" i="3" s="1"/>
  <c r="L137" i="3"/>
  <c r="N137" i="3" s="1"/>
  <c r="K134" i="52254" l="1"/>
  <c r="I136" i="3"/>
  <c r="H136" i="52254"/>
  <c r="T136" i="3"/>
  <c r="S136" i="52254" s="1"/>
  <c r="C138" i="52254"/>
  <c r="E138" i="52254" s="1"/>
  <c r="S136" i="3"/>
  <c r="P137" i="3"/>
  <c r="Q137" i="3" s="1"/>
  <c r="R137" i="3" s="1"/>
  <c r="S137" i="3" s="1"/>
  <c r="E138" i="3"/>
  <c r="G138" i="3" s="1"/>
  <c r="I138" i="3" s="1"/>
  <c r="H137" i="52254"/>
  <c r="F137" i="3"/>
  <c r="I137" i="3" s="1"/>
  <c r="H137" i="3"/>
  <c r="L138" i="3"/>
  <c r="N138" i="3" s="1"/>
  <c r="M138" i="3"/>
  <c r="O138" i="3" s="1"/>
  <c r="S135" i="52254"/>
  <c r="U135" i="3"/>
  <c r="V135" i="3"/>
  <c r="A139" i="52254"/>
  <c r="B139" i="52254" s="1"/>
  <c r="C139" i="52254" s="1"/>
  <c r="E139" i="52254" s="1"/>
  <c r="A140" i="3"/>
  <c r="K139" i="3"/>
  <c r="H136" i="3"/>
  <c r="D139" i="3"/>
  <c r="F139" i="3" s="1"/>
  <c r="E139" i="3"/>
  <c r="G139" i="3" s="1"/>
  <c r="J137" i="3" l="1"/>
  <c r="K135" i="52254"/>
  <c r="H138" i="3"/>
  <c r="J138" i="3" s="1"/>
  <c r="V136" i="3"/>
  <c r="U136" i="3"/>
  <c r="D138" i="52254"/>
  <c r="T137" i="3"/>
  <c r="S137" i="52254" s="1"/>
  <c r="P138" i="3"/>
  <c r="Q138" i="3" s="1"/>
  <c r="R138" i="3" s="1"/>
  <c r="S138" i="3" s="1"/>
  <c r="A140" i="52254"/>
  <c r="B140" i="52254" s="1"/>
  <c r="B140" i="3"/>
  <c r="C140" i="3" s="1"/>
  <c r="A141" i="3"/>
  <c r="K140" i="3"/>
  <c r="M139" i="3"/>
  <c r="O139" i="3" s="1"/>
  <c r="L139" i="3"/>
  <c r="N139" i="3" s="1"/>
  <c r="R139" i="52254"/>
  <c r="J30" i="52252"/>
  <c r="J136" i="3"/>
  <c r="D139" i="52254"/>
  <c r="H139" i="52254" s="1"/>
  <c r="I139" i="3"/>
  <c r="H139" i="3"/>
  <c r="K136" i="52254" l="1"/>
  <c r="J139" i="3"/>
  <c r="H138" i="52254"/>
  <c r="U137" i="3"/>
  <c r="T138" i="3"/>
  <c r="S138" i="52254" s="1"/>
  <c r="V137" i="3"/>
  <c r="C140" i="52254"/>
  <c r="E140" i="52254" s="1"/>
  <c r="R140" i="52254"/>
  <c r="M140" i="3"/>
  <c r="O140" i="3" s="1"/>
  <c r="L140" i="3"/>
  <c r="N140" i="3" s="1"/>
  <c r="O30" i="52252"/>
  <c r="K30" i="52252"/>
  <c r="M30" i="52252" s="1"/>
  <c r="P139" i="3"/>
  <c r="Q139" i="3" s="1"/>
  <c r="R139" i="3" s="1"/>
  <c r="D140" i="3"/>
  <c r="F140" i="3" s="1"/>
  <c r="E140" i="3"/>
  <c r="A141" i="52254"/>
  <c r="B141" i="52254" s="1"/>
  <c r="R141" i="52254" s="1"/>
  <c r="K141" i="3"/>
  <c r="A142" i="3"/>
  <c r="B141" i="3"/>
  <c r="K137" i="52254" l="1"/>
  <c r="U138" i="3"/>
  <c r="D140" i="52254"/>
  <c r="V138" i="3"/>
  <c r="P140" i="3"/>
  <c r="Q140" i="3" s="1"/>
  <c r="R140" i="3" s="1"/>
  <c r="S140" i="3" s="1"/>
  <c r="C141" i="52254"/>
  <c r="G31" i="52256"/>
  <c r="M141" i="3"/>
  <c r="O141" i="3" s="1"/>
  <c r="L141" i="3"/>
  <c r="N141" i="3" s="1"/>
  <c r="S139" i="3"/>
  <c r="T139" i="3"/>
  <c r="A142" i="52254"/>
  <c r="B142" i="52254" s="1"/>
  <c r="R142" i="52254" s="1"/>
  <c r="B142" i="3"/>
  <c r="C142" i="3" s="1"/>
  <c r="A143" i="3"/>
  <c r="K142" i="3"/>
  <c r="C141" i="3"/>
  <c r="G31" i="52252"/>
  <c r="G140" i="3"/>
  <c r="I140" i="3" s="1"/>
  <c r="H140" i="3"/>
  <c r="J140" i="3" s="1"/>
  <c r="H140" i="52254" l="1"/>
  <c r="K138" i="52254"/>
  <c r="T140" i="3"/>
  <c r="S140" i="52254" s="1"/>
  <c r="C142" i="52254"/>
  <c r="E142" i="52254" s="1"/>
  <c r="E141" i="52254"/>
  <c r="D141" i="52254"/>
  <c r="P141" i="3"/>
  <c r="Q141" i="3" s="1"/>
  <c r="R141" i="3" s="1"/>
  <c r="S141" i="3" s="1"/>
  <c r="D141" i="3"/>
  <c r="F141" i="3" s="1"/>
  <c r="E141" i="3"/>
  <c r="G141" i="3" s="1"/>
  <c r="A143" i="52254"/>
  <c r="B143" i="52254" s="1"/>
  <c r="A144" i="3"/>
  <c r="K143" i="3"/>
  <c r="B143" i="3"/>
  <c r="C143" i="3" s="1"/>
  <c r="D143" i="3" s="1"/>
  <c r="F143" i="3" s="1"/>
  <c r="E142" i="3"/>
  <c r="D142" i="3"/>
  <c r="F142" i="3" s="1"/>
  <c r="M142" i="3"/>
  <c r="O142" i="3" s="1"/>
  <c r="L142" i="3"/>
  <c r="N142" i="3" s="1"/>
  <c r="V139" i="3"/>
  <c r="S139" i="52254"/>
  <c r="U139" i="3"/>
  <c r="K139" i="52254" s="1"/>
  <c r="I141" i="3" l="1"/>
  <c r="D142" i="52254"/>
  <c r="R143" i="52254"/>
  <c r="C143" i="52254"/>
  <c r="E143" i="52254" s="1"/>
  <c r="U140" i="3"/>
  <c r="V140" i="3"/>
  <c r="H31" i="52252"/>
  <c r="I31" i="52252" s="1"/>
  <c r="H141" i="3"/>
  <c r="J141" i="3" s="1"/>
  <c r="E143" i="3"/>
  <c r="G143" i="3" s="1"/>
  <c r="I143" i="3" s="1"/>
  <c r="H141" i="52254"/>
  <c r="P142" i="3"/>
  <c r="Q142" i="3" s="1"/>
  <c r="R142" i="3" s="1"/>
  <c r="S142" i="3" s="1"/>
  <c r="T141" i="3"/>
  <c r="S141" i="52254" s="1"/>
  <c r="L143" i="3"/>
  <c r="N143" i="3" s="1"/>
  <c r="M143" i="3"/>
  <c r="O143" i="3" s="1"/>
  <c r="G142" i="3"/>
  <c r="I142" i="3" s="1"/>
  <c r="H142" i="3"/>
  <c r="J142" i="3" s="1"/>
  <c r="A144" i="52254"/>
  <c r="B144" i="52254" s="1"/>
  <c r="R144" i="52254" s="1"/>
  <c r="B144" i="3"/>
  <c r="C144" i="3" s="1"/>
  <c r="A145" i="3"/>
  <c r="K144" i="3"/>
  <c r="K140" i="52254" l="1"/>
  <c r="H142" i="52254"/>
  <c r="J31" i="52252"/>
  <c r="O31" i="52252" s="1"/>
  <c r="D143" i="52254"/>
  <c r="U141" i="3"/>
  <c r="T142" i="3"/>
  <c r="S142" i="52254" s="1"/>
  <c r="C144" i="52254"/>
  <c r="E144" i="52254" s="1"/>
  <c r="H143" i="3"/>
  <c r="J143" i="3" s="1"/>
  <c r="V141" i="3"/>
  <c r="M144" i="3"/>
  <c r="O144" i="3" s="1"/>
  <c r="L144" i="3"/>
  <c r="N144" i="3" s="1"/>
  <c r="P143" i="3"/>
  <c r="Q143" i="3" s="1"/>
  <c r="R143" i="3" s="1"/>
  <c r="E144" i="3"/>
  <c r="G144" i="3" s="1"/>
  <c r="I144" i="3" s="1"/>
  <c r="D144" i="3"/>
  <c r="F144" i="3" s="1"/>
  <c r="A145" i="52254"/>
  <c r="B145" i="52254" s="1"/>
  <c r="R145" i="52254" s="1"/>
  <c r="B145" i="3"/>
  <c r="C145" i="3" s="1"/>
  <c r="K145" i="3"/>
  <c r="A146" i="3"/>
  <c r="B146" i="3" s="1"/>
  <c r="K141" i="52254" l="1"/>
  <c r="H143" i="52254"/>
  <c r="K31" i="52252"/>
  <c r="M31" i="52252" s="1"/>
  <c r="D144" i="52254"/>
  <c r="H144" i="52254" s="1"/>
  <c r="P144" i="3"/>
  <c r="Q144" i="3" s="1"/>
  <c r="R144" i="3" s="1"/>
  <c r="S144" i="3" s="1"/>
  <c r="U142" i="3"/>
  <c r="V142" i="3"/>
  <c r="H144" i="3"/>
  <c r="J144" i="3" s="1"/>
  <c r="S143" i="3"/>
  <c r="T143" i="3"/>
  <c r="L145" i="3"/>
  <c r="N145" i="3" s="1"/>
  <c r="M145" i="3"/>
  <c r="O145" i="3" s="1"/>
  <c r="C145" i="52254"/>
  <c r="E145" i="52254" s="1"/>
  <c r="G32" i="52252"/>
  <c r="C146" i="3"/>
  <c r="E145" i="3"/>
  <c r="G145" i="3" s="1"/>
  <c r="I145" i="3" s="1"/>
  <c r="D145" i="3"/>
  <c r="F145" i="3" s="1"/>
  <c r="A146" i="52254"/>
  <c r="B146" i="52254" s="1"/>
  <c r="R146" i="52254" s="1"/>
  <c r="A147" i="3"/>
  <c r="K146" i="3"/>
  <c r="K142" i="52254" l="1"/>
  <c r="G32" i="52256"/>
  <c r="T144" i="3"/>
  <c r="S144" i="52254" s="1"/>
  <c r="P145" i="3"/>
  <c r="Q145" i="3" s="1"/>
  <c r="R145" i="3" s="1"/>
  <c r="S145" i="3" s="1"/>
  <c r="S143" i="52254"/>
  <c r="V143" i="3"/>
  <c r="U143" i="3"/>
  <c r="A148" i="3"/>
  <c r="K147" i="3"/>
  <c r="A147" i="52254"/>
  <c r="B147" i="52254" s="1"/>
  <c r="C147" i="52254" s="1"/>
  <c r="E147" i="52254" s="1"/>
  <c r="B147" i="3"/>
  <c r="C147" i="3" s="1"/>
  <c r="E146" i="3"/>
  <c r="D146" i="3"/>
  <c r="F146" i="3" s="1"/>
  <c r="H145" i="3"/>
  <c r="J145" i="3" s="1"/>
  <c r="D145" i="52254"/>
  <c r="H145" i="52254" s="1"/>
  <c r="L146" i="3"/>
  <c r="N146" i="3" s="1"/>
  <c r="M146" i="3"/>
  <c r="O146" i="3" s="1"/>
  <c r="C146" i="52254"/>
  <c r="D146" i="52254" s="1"/>
  <c r="K143" i="52254" l="1"/>
  <c r="R147" i="52254"/>
  <c r="U144" i="3"/>
  <c r="V144" i="3"/>
  <c r="T145" i="3"/>
  <c r="S145" i="52254" s="1"/>
  <c r="E146" i="52254"/>
  <c r="E147" i="3"/>
  <c r="D147" i="3"/>
  <c r="F147" i="3" s="1"/>
  <c r="P146" i="3"/>
  <c r="Q146" i="3" s="1"/>
  <c r="R146" i="3" s="1"/>
  <c r="T146" i="3" s="1"/>
  <c r="L147" i="3"/>
  <c r="N147" i="3" s="1"/>
  <c r="M147" i="3"/>
  <c r="O147" i="3" s="1"/>
  <c r="G146" i="3"/>
  <c r="I146" i="3" s="1"/>
  <c r="H146" i="3"/>
  <c r="A148" i="52254"/>
  <c r="B148" i="52254" s="1"/>
  <c r="R148" i="52254" s="1"/>
  <c r="A149" i="3"/>
  <c r="K148" i="3"/>
  <c r="B148" i="3"/>
  <c r="C148" i="3" s="1"/>
  <c r="D148" i="3" s="1"/>
  <c r="F148" i="3" s="1"/>
  <c r="D147" i="52254"/>
  <c r="K144" i="52254" l="1"/>
  <c r="H147" i="52254"/>
  <c r="V145" i="3"/>
  <c r="U145" i="3"/>
  <c r="K145" i="52254" s="1"/>
  <c r="U146" i="3"/>
  <c r="V146" i="3"/>
  <c r="H146" i="52254"/>
  <c r="E148" i="3"/>
  <c r="G148" i="3" s="1"/>
  <c r="I148" i="3" s="1"/>
  <c r="G147" i="3"/>
  <c r="I147" i="3" s="1"/>
  <c r="H147" i="3"/>
  <c r="M148" i="3"/>
  <c r="O148" i="3" s="1"/>
  <c r="L148" i="3"/>
  <c r="N148" i="3" s="1"/>
  <c r="H32" i="52252"/>
  <c r="I32" i="52252" s="1"/>
  <c r="S146" i="3"/>
  <c r="S146" i="52254"/>
  <c r="P147" i="3"/>
  <c r="Q147" i="3" s="1"/>
  <c r="R147" i="3" s="1"/>
  <c r="S147" i="3" s="1"/>
  <c r="C148" i="52254"/>
  <c r="A149" i="52254"/>
  <c r="B149" i="52254" s="1"/>
  <c r="K149" i="3"/>
  <c r="B149" i="3"/>
  <c r="C149" i="3" s="1"/>
  <c r="D149" i="3" s="1"/>
  <c r="F149" i="3" s="1"/>
  <c r="A150" i="3"/>
  <c r="J146" i="3"/>
  <c r="J32" i="52252"/>
  <c r="J147" i="3" l="1"/>
  <c r="K146" i="52254"/>
  <c r="H148" i="3"/>
  <c r="J148" i="3" s="1"/>
  <c r="E149" i="3"/>
  <c r="G149" i="3" s="1"/>
  <c r="I149" i="3" s="1"/>
  <c r="C149" i="52254"/>
  <c r="E149" i="52254" s="1"/>
  <c r="R149" i="52254"/>
  <c r="D148" i="52254"/>
  <c r="E148" i="52254"/>
  <c r="T147" i="3"/>
  <c r="S147" i="52254" s="1"/>
  <c r="P148" i="3"/>
  <c r="Q148" i="3" s="1"/>
  <c r="R148" i="3" s="1"/>
  <c r="S148" i="3" s="1"/>
  <c r="A150" i="52254"/>
  <c r="B150" i="52254" s="1"/>
  <c r="C150" i="52254" s="1"/>
  <c r="E150" i="52254" s="1"/>
  <c r="K150" i="3"/>
  <c r="A151" i="3"/>
  <c r="B151" i="3" s="1"/>
  <c r="B150" i="3"/>
  <c r="C150" i="3" s="1"/>
  <c r="D150" i="3" s="1"/>
  <c r="F150" i="3" s="1"/>
  <c r="K32" i="52252"/>
  <c r="M32" i="52252" s="1"/>
  <c r="O32" i="52252"/>
  <c r="M149" i="3"/>
  <c r="O149" i="3" s="1"/>
  <c r="L149" i="3"/>
  <c r="N149" i="3" s="1"/>
  <c r="U147" i="3" l="1"/>
  <c r="V147" i="3"/>
  <c r="H149" i="3"/>
  <c r="J149" i="3" s="1"/>
  <c r="R150" i="52254"/>
  <c r="G33" i="52252"/>
  <c r="C151" i="3"/>
  <c r="E151" i="3" s="1"/>
  <c r="G151" i="3" s="1"/>
  <c r="I151" i="3" s="1"/>
  <c r="M150" i="3"/>
  <c r="O150" i="3" s="1"/>
  <c r="L150" i="3"/>
  <c r="N150" i="3" s="1"/>
  <c r="E150" i="3"/>
  <c r="G150" i="3" s="1"/>
  <c r="I150" i="3" s="1"/>
  <c r="D149" i="52254"/>
  <c r="H149" i="52254" s="1"/>
  <c r="H148" i="52254"/>
  <c r="A151" i="52254"/>
  <c r="B151" i="52254" s="1"/>
  <c r="R151" i="52254" s="1"/>
  <c r="K151" i="3"/>
  <c r="A152" i="3"/>
  <c r="P149" i="3"/>
  <c r="Q149" i="3" s="1"/>
  <c r="R149" i="3" s="1"/>
  <c r="T148" i="3"/>
  <c r="D150" i="52254"/>
  <c r="H150" i="52254" s="1"/>
  <c r="K147" i="52254" l="1"/>
  <c r="H150" i="3"/>
  <c r="J150" i="3" s="1"/>
  <c r="G33" i="52256"/>
  <c r="S149" i="3"/>
  <c r="T149" i="3"/>
  <c r="S148" i="52254"/>
  <c r="U148" i="3"/>
  <c r="V148" i="3"/>
  <c r="M151" i="3"/>
  <c r="O151" i="3" s="1"/>
  <c r="L151" i="3"/>
  <c r="N151" i="3" s="1"/>
  <c r="D151" i="3"/>
  <c r="F151" i="3" s="1"/>
  <c r="P150" i="3"/>
  <c r="Q150" i="3" s="1"/>
  <c r="R150" i="3" s="1"/>
  <c r="S150" i="3" s="1"/>
  <c r="A152" i="52254"/>
  <c r="B152" i="52254" s="1"/>
  <c r="C152" i="52254" s="1"/>
  <c r="E152" i="52254" s="1"/>
  <c r="B152" i="3"/>
  <c r="C152" i="3" s="1"/>
  <c r="D152" i="3" s="1"/>
  <c r="F152" i="3" s="1"/>
  <c r="A153" i="3"/>
  <c r="K152" i="3"/>
  <c r="C151" i="52254"/>
  <c r="D151" i="52254" s="1"/>
  <c r="H151" i="3"/>
  <c r="J33" i="52252" s="1"/>
  <c r="K148" i="52254" l="1"/>
  <c r="E151" i="52254"/>
  <c r="T150" i="3"/>
  <c r="V150" i="3" s="1"/>
  <c r="A153" i="52254"/>
  <c r="B153" i="52254" s="1"/>
  <c r="C153" i="52254" s="1"/>
  <c r="D153" i="52254" s="1"/>
  <c r="A154" i="3"/>
  <c r="K153" i="3"/>
  <c r="B153" i="3"/>
  <c r="C153" i="3" s="1"/>
  <c r="E153" i="3" s="1"/>
  <c r="G153" i="3" s="1"/>
  <c r="I153" i="3" s="1"/>
  <c r="L152" i="3"/>
  <c r="N152" i="3" s="1"/>
  <c r="M152" i="3"/>
  <c r="O152" i="3" s="1"/>
  <c r="V149" i="3"/>
  <c r="U149" i="3"/>
  <c r="S149" i="52254"/>
  <c r="E152" i="3"/>
  <c r="G152" i="3" s="1"/>
  <c r="I152" i="3" s="1"/>
  <c r="R152" i="52254"/>
  <c r="P151" i="3"/>
  <c r="Q151" i="3" s="1"/>
  <c r="R151" i="3" s="1"/>
  <c r="J151" i="3"/>
  <c r="D152" i="52254"/>
  <c r="O33" i="52252"/>
  <c r="H152" i="52254"/>
  <c r="K149" i="52254" l="1"/>
  <c r="R153" i="52254"/>
  <c r="D153" i="3"/>
  <c r="F153" i="3" s="1"/>
  <c r="H151" i="52254"/>
  <c r="U150" i="3"/>
  <c r="K150" i="52254" s="1"/>
  <c r="S150" i="52254"/>
  <c r="A154" i="52254"/>
  <c r="B154" i="52254" s="1"/>
  <c r="C154" i="52254" s="1"/>
  <c r="E154" i="52254" s="1"/>
  <c r="K154" i="3"/>
  <c r="B154" i="3"/>
  <c r="C154" i="3" s="1"/>
  <c r="A155" i="3"/>
  <c r="M153" i="3"/>
  <c r="O153" i="3" s="1"/>
  <c r="L153" i="3"/>
  <c r="N153" i="3" s="1"/>
  <c r="P152" i="3"/>
  <c r="Q152" i="3" s="1"/>
  <c r="R152" i="3" s="1"/>
  <c r="S152" i="3" s="1"/>
  <c r="H152" i="3"/>
  <c r="J152" i="3" s="1"/>
  <c r="H33" i="52252"/>
  <c r="I33" i="52252" s="1"/>
  <c r="K33" i="52252" s="1"/>
  <c r="M33" i="52252" s="1"/>
  <c r="T151" i="3"/>
  <c r="S151" i="3"/>
  <c r="E153" i="52254"/>
  <c r="H153" i="3"/>
  <c r="J153" i="3" s="1"/>
  <c r="P153" i="3" l="1"/>
  <c r="Q153" i="3" s="1"/>
  <c r="R153" i="3" s="1"/>
  <c r="T153" i="3" s="1"/>
  <c r="V153" i="3" s="1"/>
  <c r="R154" i="52254"/>
  <c r="T152" i="3"/>
  <c r="V152" i="3" s="1"/>
  <c r="A155" i="52254"/>
  <c r="B155" i="52254" s="1"/>
  <c r="C155" i="52254" s="1"/>
  <c r="D155" i="52254" s="1"/>
  <c r="A156" i="3"/>
  <c r="B156" i="3" s="1"/>
  <c r="B155" i="3"/>
  <c r="C155" i="3" s="1"/>
  <c r="D155" i="3" s="1"/>
  <c r="F155" i="3" s="1"/>
  <c r="K155" i="3"/>
  <c r="L154" i="3"/>
  <c r="N154" i="3" s="1"/>
  <c r="M154" i="3"/>
  <c r="O154" i="3" s="1"/>
  <c r="S151" i="52254"/>
  <c r="U151" i="3"/>
  <c r="V151" i="3"/>
  <c r="E154" i="3"/>
  <c r="D154" i="3"/>
  <c r="F154" i="3" s="1"/>
  <c r="D154" i="52254"/>
  <c r="H153" i="52254"/>
  <c r="H154" i="52254"/>
  <c r="K151" i="52254" l="1"/>
  <c r="G34" i="52252"/>
  <c r="C156" i="3"/>
  <c r="E156" i="3" s="1"/>
  <c r="G156" i="3" s="1"/>
  <c r="I156" i="3" s="1"/>
  <c r="E155" i="3"/>
  <c r="G155" i="3" s="1"/>
  <c r="I155" i="3" s="1"/>
  <c r="S152" i="52254"/>
  <c r="S153" i="52254"/>
  <c r="P154" i="3"/>
  <c r="Q154" i="3" s="1"/>
  <c r="R154" i="3" s="1"/>
  <c r="S154" i="3" s="1"/>
  <c r="U153" i="3"/>
  <c r="K153" i="52254" s="1"/>
  <c r="U152" i="3"/>
  <c r="K152" i="52254" s="1"/>
  <c r="S153" i="3"/>
  <c r="R155" i="52254"/>
  <c r="A156" i="52254"/>
  <c r="B156" i="52254" s="1"/>
  <c r="K156" i="3"/>
  <c r="A157" i="3"/>
  <c r="G154" i="3"/>
  <c r="I154" i="3" s="1"/>
  <c r="H154" i="3"/>
  <c r="L155" i="3"/>
  <c r="N155" i="3" s="1"/>
  <c r="M155" i="3"/>
  <c r="O155" i="3" s="1"/>
  <c r="E155" i="52254"/>
  <c r="J154" i="3" l="1"/>
  <c r="D156" i="3"/>
  <c r="F156" i="3" s="1"/>
  <c r="H156" i="3"/>
  <c r="J156" i="3" s="1"/>
  <c r="H155" i="3"/>
  <c r="J155" i="3" s="1"/>
  <c r="T154" i="3"/>
  <c r="U154" i="3" s="1"/>
  <c r="R156" i="52254"/>
  <c r="C156" i="52254"/>
  <c r="E156" i="52254" s="1"/>
  <c r="L156" i="3"/>
  <c r="N156" i="3" s="1"/>
  <c r="M156" i="3"/>
  <c r="O156" i="3" s="1"/>
  <c r="A157" i="52254"/>
  <c r="B157" i="52254" s="1"/>
  <c r="C157" i="52254" s="1"/>
  <c r="E157" i="52254" s="1"/>
  <c r="A158" i="3"/>
  <c r="K157" i="3"/>
  <c r="G34" i="52256"/>
  <c r="P155" i="3"/>
  <c r="Q155" i="3" s="1"/>
  <c r="R155" i="3" s="1"/>
  <c r="B157" i="3"/>
  <c r="C157" i="3" s="1"/>
  <c r="E157" i="3" s="1"/>
  <c r="G157" i="3" s="1"/>
  <c r="I157" i="3" s="1"/>
  <c r="H155" i="52254"/>
  <c r="R157" i="52254" l="1"/>
  <c r="J34" i="52252"/>
  <c r="O34" i="52252" s="1"/>
  <c r="V154" i="3"/>
  <c r="K154" i="52254" s="1"/>
  <c r="S154" i="52254"/>
  <c r="D156" i="52254"/>
  <c r="H156" i="52254"/>
  <c r="L157" i="3"/>
  <c r="N157" i="3" s="1"/>
  <c r="M157" i="3"/>
  <c r="O157" i="3" s="1"/>
  <c r="P156" i="3"/>
  <c r="Q156" i="3" s="1"/>
  <c r="R156" i="3" s="1"/>
  <c r="T156" i="3" s="1"/>
  <c r="S156" i="52254" s="1"/>
  <c r="D157" i="3"/>
  <c r="F157" i="3" s="1"/>
  <c r="T155" i="3"/>
  <c r="S155" i="3"/>
  <c r="A158" i="52254"/>
  <c r="B158" i="52254" s="1"/>
  <c r="R158" i="52254" s="1"/>
  <c r="B158" i="3"/>
  <c r="C158" i="3" s="1"/>
  <c r="A159" i="3"/>
  <c r="K158" i="3"/>
  <c r="D157" i="52254"/>
  <c r="H157" i="3"/>
  <c r="H157" i="52254"/>
  <c r="U156" i="3" l="1"/>
  <c r="C158" i="52254"/>
  <c r="E158" i="52254" s="1"/>
  <c r="V156" i="3"/>
  <c r="A159" i="52254"/>
  <c r="B159" i="52254" s="1"/>
  <c r="C159" i="52254" s="1"/>
  <c r="D159" i="52254" s="1"/>
  <c r="B159" i="3"/>
  <c r="C159" i="3" s="1"/>
  <c r="D159" i="3" s="1"/>
  <c r="F159" i="3" s="1"/>
  <c r="K159" i="3"/>
  <c r="A160" i="3"/>
  <c r="V155" i="3"/>
  <c r="U155" i="3"/>
  <c r="S155" i="52254"/>
  <c r="L158" i="3"/>
  <c r="N158" i="3" s="1"/>
  <c r="M158" i="3"/>
  <c r="O158" i="3" s="1"/>
  <c r="P157" i="3"/>
  <c r="Q157" i="3" s="1"/>
  <c r="R157" i="3" s="1"/>
  <c r="D158" i="3"/>
  <c r="F158" i="3" s="1"/>
  <c r="E158" i="3"/>
  <c r="G158" i="3" s="1"/>
  <c r="I158" i="3" s="1"/>
  <c r="H34" i="52252"/>
  <c r="I34" i="52252" s="1"/>
  <c r="K34" i="52252" s="1"/>
  <c r="M34" i="52252" s="1"/>
  <c r="S156" i="3"/>
  <c r="J157" i="3"/>
  <c r="K155" i="52254" l="1"/>
  <c r="K156" i="52254"/>
  <c r="E159" i="3"/>
  <c r="G159" i="3" s="1"/>
  <c r="I159" i="3" s="1"/>
  <c r="D158" i="52254"/>
  <c r="H158" i="52254"/>
  <c r="R159" i="52254"/>
  <c r="S157" i="3"/>
  <c r="T157" i="3"/>
  <c r="H158" i="3"/>
  <c r="J158" i="3" s="1"/>
  <c r="P158" i="3"/>
  <c r="Q158" i="3" s="1"/>
  <c r="R158" i="3" s="1"/>
  <c r="A160" i="52254"/>
  <c r="B160" i="52254" s="1"/>
  <c r="R160" i="52254" s="1"/>
  <c r="A161" i="3"/>
  <c r="B161" i="3" s="1"/>
  <c r="G35" i="52252" s="1"/>
  <c r="B160" i="3"/>
  <c r="C160" i="3" s="1"/>
  <c r="D160" i="3" s="1"/>
  <c r="F160" i="3" s="1"/>
  <c r="K160" i="3"/>
  <c r="L159" i="3"/>
  <c r="N159" i="3" s="1"/>
  <c r="M159" i="3"/>
  <c r="O159" i="3" s="1"/>
  <c r="E159" i="52254"/>
  <c r="H159" i="3" l="1"/>
  <c r="J159" i="3" s="1"/>
  <c r="E160" i="3"/>
  <c r="G160" i="3" s="1"/>
  <c r="I160" i="3" s="1"/>
  <c r="P159" i="3"/>
  <c r="Q159" i="3" s="1"/>
  <c r="R159" i="3" s="1"/>
  <c r="T159" i="3" s="1"/>
  <c r="M160" i="3"/>
  <c r="O160" i="3" s="1"/>
  <c r="L160" i="3"/>
  <c r="N160" i="3" s="1"/>
  <c r="A161" i="52254"/>
  <c r="B161" i="52254" s="1"/>
  <c r="R161" i="52254" s="1"/>
  <c r="A162" i="3"/>
  <c r="K161" i="3"/>
  <c r="S157" i="52254"/>
  <c r="U157" i="3"/>
  <c r="V157" i="3"/>
  <c r="C161" i="3"/>
  <c r="D161" i="3" s="1"/>
  <c r="F161" i="3" s="1"/>
  <c r="C160" i="52254"/>
  <c r="E160" i="52254" s="1"/>
  <c r="S158" i="3"/>
  <c r="T158" i="3"/>
  <c r="H159" i="52254"/>
  <c r="K157" i="52254" l="1"/>
  <c r="D160" i="52254"/>
  <c r="H160" i="3"/>
  <c r="J160" i="3" s="1"/>
  <c r="U159" i="3"/>
  <c r="C161" i="52254"/>
  <c r="D161" i="52254" s="1"/>
  <c r="S159" i="3"/>
  <c r="G35" i="52256"/>
  <c r="P160" i="3"/>
  <c r="Q160" i="3" s="1"/>
  <c r="R160" i="3" s="1"/>
  <c r="S160" i="3" s="1"/>
  <c r="E161" i="3"/>
  <c r="G161" i="3" s="1"/>
  <c r="I161" i="3" s="1"/>
  <c r="H160" i="52254"/>
  <c r="A162" i="52254"/>
  <c r="B162" i="52254" s="1"/>
  <c r="R162" i="52254" s="1"/>
  <c r="K162" i="3"/>
  <c r="A163" i="3"/>
  <c r="B163" i="3" s="1"/>
  <c r="C163" i="3" s="1"/>
  <c r="B162" i="3"/>
  <c r="C162" i="3" s="1"/>
  <c r="M161" i="3"/>
  <c r="O161" i="3" s="1"/>
  <c r="L161" i="3"/>
  <c r="N161" i="3" s="1"/>
  <c r="S158" i="52254"/>
  <c r="V158" i="3"/>
  <c r="U158" i="3"/>
  <c r="V159" i="3"/>
  <c r="S159" i="52254"/>
  <c r="K159" i="52254" l="1"/>
  <c r="K158" i="52254"/>
  <c r="H161" i="3"/>
  <c r="J161" i="3" s="1"/>
  <c r="E161" i="52254"/>
  <c r="P161" i="3"/>
  <c r="Q161" i="3" s="1"/>
  <c r="R161" i="3" s="1"/>
  <c r="H35" i="52252" s="1"/>
  <c r="I35" i="52252" s="1"/>
  <c r="T160" i="3"/>
  <c r="M162" i="3"/>
  <c r="O162" i="3" s="1"/>
  <c r="L162" i="3"/>
  <c r="N162" i="3" s="1"/>
  <c r="A163" i="52254"/>
  <c r="B163" i="52254" s="1"/>
  <c r="C163" i="52254" s="1"/>
  <c r="E163" i="52254" s="1"/>
  <c r="A164" i="3"/>
  <c r="K163" i="3"/>
  <c r="C162" i="52254"/>
  <c r="D162" i="3"/>
  <c r="F162" i="3" s="1"/>
  <c r="E162" i="3"/>
  <c r="E163" i="3"/>
  <c r="G163" i="3" s="1"/>
  <c r="I163" i="3" s="1"/>
  <c r="D163" i="3"/>
  <c r="F163" i="3" s="1"/>
  <c r="J35" i="52252" l="1"/>
  <c r="O35" i="52252" s="1"/>
  <c r="H161" i="52254"/>
  <c r="R163" i="52254"/>
  <c r="T161" i="3"/>
  <c r="S161" i="52254" s="1"/>
  <c r="S161" i="3"/>
  <c r="V160" i="3"/>
  <c r="S160" i="52254"/>
  <c r="U160" i="3"/>
  <c r="P162" i="3"/>
  <c r="Q162" i="3" s="1"/>
  <c r="R162" i="3" s="1"/>
  <c r="S162" i="3" s="1"/>
  <c r="A164" i="52254"/>
  <c r="B164" i="52254" s="1"/>
  <c r="R164" i="52254" s="1"/>
  <c r="K164" i="3"/>
  <c r="A165" i="3"/>
  <c r="B164" i="3"/>
  <c r="C164" i="3" s="1"/>
  <c r="D162" i="52254"/>
  <c r="E162" i="52254"/>
  <c r="G162" i="3"/>
  <c r="I162" i="3" s="1"/>
  <c r="H162" i="3"/>
  <c r="L163" i="3"/>
  <c r="N163" i="3" s="1"/>
  <c r="M163" i="3"/>
  <c r="O163" i="3" s="1"/>
  <c r="D163" i="52254"/>
  <c r="H163" i="3"/>
  <c r="J163" i="3" s="1"/>
  <c r="H163" i="52254"/>
  <c r="K160" i="52254" l="1"/>
  <c r="J162" i="3"/>
  <c r="K35" i="52252"/>
  <c r="M35" i="52252" s="1"/>
  <c r="U161" i="3"/>
  <c r="V161" i="3"/>
  <c r="T162" i="3"/>
  <c r="S162" i="52254" s="1"/>
  <c r="M164" i="3"/>
  <c r="O164" i="3" s="1"/>
  <c r="L164" i="3"/>
  <c r="N164" i="3" s="1"/>
  <c r="A165" i="52254"/>
  <c r="B165" i="52254" s="1"/>
  <c r="R165" i="52254" s="1"/>
  <c r="A166" i="3"/>
  <c r="K165" i="3"/>
  <c r="B165" i="3"/>
  <c r="C165" i="3" s="1"/>
  <c r="E165" i="3" s="1"/>
  <c r="G165" i="3" s="1"/>
  <c r="I165" i="3" s="1"/>
  <c r="C164" i="52254"/>
  <c r="E164" i="52254" s="1"/>
  <c r="P163" i="3"/>
  <c r="Q163" i="3" s="1"/>
  <c r="R163" i="3" s="1"/>
  <c r="H162" i="52254"/>
  <c r="E164" i="3"/>
  <c r="D164" i="3"/>
  <c r="F164" i="3" s="1"/>
  <c r="K161" i="52254" l="1"/>
  <c r="D165" i="3"/>
  <c r="F165" i="3" s="1"/>
  <c r="D164" i="52254"/>
  <c r="U162" i="3"/>
  <c r="V162" i="3"/>
  <c r="H164" i="52254"/>
  <c r="C165" i="52254"/>
  <c r="D165" i="52254" s="1"/>
  <c r="P164" i="3"/>
  <c r="Q164" i="3" s="1"/>
  <c r="R164" i="3" s="1"/>
  <c r="S164" i="3" s="1"/>
  <c r="S163" i="3"/>
  <c r="T163" i="3"/>
  <c r="L165" i="3"/>
  <c r="N165" i="3" s="1"/>
  <c r="M165" i="3"/>
  <c r="O165" i="3" s="1"/>
  <c r="G164" i="3"/>
  <c r="I164" i="3" s="1"/>
  <c r="H164" i="3"/>
  <c r="A166" i="52254"/>
  <c r="B166" i="52254" s="1"/>
  <c r="R166" i="52254" s="1"/>
  <c r="A167" i="3"/>
  <c r="B166" i="3"/>
  <c r="K166" i="3"/>
  <c r="H165" i="3"/>
  <c r="J165" i="3" s="1"/>
  <c r="K162" i="52254" l="1"/>
  <c r="J164" i="3"/>
  <c r="T164" i="3"/>
  <c r="S164" i="52254" s="1"/>
  <c r="P165" i="3"/>
  <c r="Q165" i="3" s="1"/>
  <c r="R165" i="3" s="1"/>
  <c r="S165" i="3" s="1"/>
  <c r="E165" i="52254"/>
  <c r="A167" i="52254"/>
  <c r="B167" i="3"/>
  <c r="C167" i="3" s="1"/>
  <c r="K167" i="3"/>
  <c r="A168" i="3"/>
  <c r="G36" i="52252"/>
  <c r="C166" i="3"/>
  <c r="S163" i="52254"/>
  <c r="U163" i="3"/>
  <c r="V163" i="3"/>
  <c r="G36" i="52256"/>
  <c r="L166" i="3"/>
  <c r="N166" i="3" s="1"/>
  <c r="M166" i="3"/>
  <c r="O166" i="3" s="1"/>
  <c r="C166" i="52254"/>
  <c r="E166" i="52254" s="1"/>
  <c r="K163" i="52254" l="1"/>
  <c r="U164" i="3"/>
  <c r="V164" i="3"/>
  <c r="D166" i="52254"/>
  <c r="H165" i="52254"/>
  <c r="T165" i="3"/>
  <c r="H166" i="52254"/>
  <c r="P166" i="3"/>
  <c r="Q166" i="3" s="1"/>
  <c r="R166" i="3" s="1"/>
  <c r="H36" i="52252" s="1"/>
  <c r="I36" i="52252" s="1"/>
  <c r="D166" i="3"/>
  <c r="F166" i="3" s="1"/>
  <c r="E166" i="3"/>
  <c r="G166" i="3" s="1"/>
  <c r="I166" i="3" s="1"/>
  <c r="E167" i="3"/>
  <c r="D167" i="3"/>
  <c r="F167" i="3" s="1"/>
  <c r="L167" i="3"/>
  <c r="N167" i="3" s="1"/>
  <c r="M167" i="3"/>
  <c r="O167" i="3" s="1"/>
  <c r="B167" i="52254"/>
  <c r="A168" i="52254"/>
  <c r="B168" i="52254" s="1"/>
  <c r="A169" i="3"/>
  <c r="K168" i="3"/>
  <c r="B168" i="3"/>
  <c r="C168" i="3" s="1"/>
  <c r="E168" i="3" s="1"/>
  <c r="G168" i="3" s="1"/>
  <c r="I168" i="3" s="1"/>
  <c r="K164" i="52254" l="1"/>
  <c r="H166" i="3"/>
  <c r="J36" i="52252" s="1"/>
  <c r="T166" i="3"/>
  <c r="S166" i="52254" s="1"/>
  <c r="S166" i="3"/>
  <c r="S165" i="52254"/>
  <c r="V165" i="3"/>
  <c r="U165" i="3"/>
  <c r="K165" i="52254" s="1"/>
  <c r="D168" i="3"/>
  <c r="F168" i="3" s="1"/>
  <c r="R168" i="52254"/>
  <c r="C168" i="52254"/>
  <c r="E168" i="52254" s="1"/>
  <c r="M168" i="3"/>
  <c r="O168" i="3" s="1"/>
  <c r="L168" i="3"/>
  <c r="N168" i="3" s="1"/>
  <c r="G167" i="3"/>
  <c r="I167" i="3" s="1"/>
  <c r="H167" i="3"/>
  <c r="A169" i="52254"/>
  <c r="B169" i="52254" s="1"/>
  <c r="R169" i="52254" s="1"/>
  <c r="A170" i="3"/>
  <c r="B169" i="3"/>
  <c r="C169" i="3" s="1"/>
  <c r="K169" i="3"/>
  <c r="C167" i="52254"/>
  <c r="R167" i="52254"/>
  <c r="P167" i="3"/>
  <c r="Q167" i="3" s="1"/>
  <c r="R167" i="3" s="1"/>
  <c r="H168" i="3"/>
  <c r="J167" i="3" l="1"/>
  <c r="J166" i="3"/>
  <c r="U166" i="3"/>
  <c r="C169" i="52254"/>
  <c r="D169" i="52254" s="1"/>
  <c r="V166" i="3"/>
  <c r="H168" i="52254"/>
  <c r="D168" i="52254"/>
  <c r="T167" i="3"/>
  <c r="S167" i="3"/>
  <c r="A170" i="52254"/>
  <c r="B170" i="52254" s="1"/>
  <c r="R170" i="52254" s="1"/>
  <c r="B170" i="3"/>
  <c r="C170" i="3" s="1"/>
  <c r="K170" i="3"/>
  <c r="A171" i="3"/>
  <c r="B171" i="3" s="1"/>
  <c r="D169" i="3"/>
  <c r="F169" i="3" s="1"/>
  <c r="E169" i="3"/>
  <c r="L169" i="3"/>
  <c r="N169" i="3" s="1"/>
  <c r="M169" i="3"/>
  <c r="O169" i="3" s="1"/>
  <c r="K36" i="52252"/>
  <c r="M36" i="52252" s="1"/>
  <c r="O36" i="52252"/>
  <c r="D167" i="52254"/>
  <c r="E167" i="52254"/>
  <c r="P168" i="3"/>
  <c r="Q168" i="3" s="1"/>
  <c r="R168" i="3" s="1"/>
  <c r="J168" i="3"/>
  <c r="K166" i="52254" l="1"/>
  <c r="E169" i="52254"/>
  <c r="G37" i="52252"/>
  <c r="C171" i="3"/>
  <c r="D171" i="3" s="1"/>
  <c r="F171" i="3" s="1"/>
  <c r="P169" i="3"/>
  <c r="Q169" i="3" s="1"/>
  <c r="R169" i="3" s="1"/>
  <c r="S169" i="3" s="1"/>
  <c r="H167" i="52254"/>
  <c r="C170" i="52254"/>
  <c r="D170" i="52254" s="1"/>
  <c r="T168" i="3"/>
  <c r="S168" i="3"/>
  <c r="L170" i="3"/>
  <c r="N170" i="3" s="1"/>
  <c r="M170" i="3"/>
  <c r="O170" i="3" s="1"/>
  <c r="S167" i="52254"/>
  <c r="V167" i="3"/>
  <c r="U167" i="3"/>
  <c r="A171" i="52254"/>
  <c r="B171" i="52254" s="1"/>
  <c r="R171" i="52254" s="1"/>
  <c r="K171" i="3"/>
  <c r="A172" i="3"/>
  <c r="G169" i="3"/>
  <c r="I169" i="3" s="1"/>
  <c r="H169" i="3"/>
  <c r="J169" i="3" s="1"/>
  <c r="D170" i="3"/>
  <c r="F170" i="3" s="1"/>
  <c r="E170" i="3"/>
  <c r="K167" i="52254" l="1"/>
  <c r="H169" i="52254"/>
  <c r="E171" i="3"/>
  <c r="G171" i="3" s="1"/>
  <c r="I171" i="3" s="1"/>
  <c r="E170" i="52254"/>
  <c r="C171" i="52254"/>
  <c r="D171" i="52254" s="1"/>
  <c r="T169" i="3"/>
  <c r="S169" i="52254" s="1"/>
  <c r="P170" i="3"/>
  <c r="Q170" i="3" s="1"/>
  <c r="R170" i="3" s="1"/>
  <c r="G37" i="52256"/>
  <c r="M171" i="3"/>
  <c r="O171" i="3" s="1"/>
  <c r="L171" i="3"/>
  <c r="N171" i="3" s="1"/>
  <c r="S168" i="52254"/>
  <c r="U168" i="3"/>
  <c r="V168" i="3"/>
  <c r="A172" i="52254"/>
  <c r="B172" i="52254" s="1"/>
  <c r="C172" i="52254" s="1"/>
  <c r="E172" i="52254" s="1"/>
  <c r="A173" i="3"/>
  <c r="B173" i="3" s="1"/>
  <c r="C173" i="3" s="1"/>
  <c r="B172" i="3"/>
  <c r="C172" i="3" s="1"/>
  <c r="D172" i="3" s="1"/>
  <c r="F172" i="3" s="1"/>
  <c r="K172" i="3"/>
  <c r="G170" i="3"/>
  <c r="I170" i="3" s="1"/>
  <c r="H170" i="3"/>
  <c r="K168" i="52254" l="1"/>
  <c r="J170" i="3"/>
  <c r="H171" i="3"/>
  <c r="J171" i="3" s="1"/>
  <c r="E172" i="3"/>
  <c r="G172" i="3" s="1"/>
  <c r="I172" i="3" s="1"/>
  <c r="H170" i="52254"/>
  <c r="U169" i="3"/>
  <c r="V169" i="3"/>
  <c r="E171" i="52254"/>
  <c r="S170" i="3"/>
  <c r="T170" i="3"/>
  <c r="V170" i="3" s="1"/>
  <c r="R172" i="52254"/>
  <c r="P171" i="3"/>
  <c r="Q171" i="3" s="1"/>
  <c r="R171" i="3" s="1"/>
  <c r="T171" i="3" s="1"/>
  <c r="S171" i="52254" s="1"/>
  <c r="L172" i="3"/>
  <c r="N172" i="3" s="1"/>
  <c r="M172" i="3"/>
  <c r="O172" i="3" s="1"/>
  <c r="A173" i="52254"/>
  <c r="B173" i="52254" s="1"/>
  <c r="C173" i="52254" s="1"/>
  <c r="K173" i="3"/>
  <c r="A174" i="3"/>
  <c r="D172" i="52254"/>
  <c r="D173" i="3"/>
  <c r="F173" i="3" s="1"/>
  <c r="E173" i="3"/>
  <c r="G173" i="3" s="1"/>
  <c r="I173" i="3" s="1"/>
  <c r="H172" i="52254"/>
  <c r="K169" i="52254" l="1"/>
  <c r="H171" i="52254"/>
  <c r="J37" i="52252"/>
  <c r="O37" i="52252" s="1"/>
  <c r="H172" i="3"/>
  <c r="J172" i="3" s="1"/>
  <c r="S171" i="3"/>
  <c r="V171" i="3"/>
  <c r="H37" i="52252"/>
  <c r="I37" i="52252" s="1"/>
  <c r="U171" i="3"/>
  <c r="K171" i="52254" s="1"/>
  <c r="S170" i="52254"/>
  <c r="U170" i="3"/>
  <c r="K170" i="52254" s="1"/>
  <c r="E173" i="52254"/>
  <c r="D173" i="52254"/>
  <c r="B174" i="3"/>
  <c r="C174" i="3" s="1"/>
  <c r="A175" i="3"/>
  <c r="A174" i="52254"/>
  <c r="B174" i="52254" s="1"/>
  <c r="R174" i="52254" s="1"/>
  <c r="K174" i="3"/>
  <c r="P172" i="3"/>
  <c r="Q172" i="3" s="1"/>
  <c r="R172" i="3" s="1"/>
  <c r="R173" i="52254"/>
  <c r="M173" i="3"/>
  <c r="O173" i="3" s="1"/>
  <c r="L173" i="3"/>
  <c r="N173" i="3" s="1"/>
  <c r="H173" i="3"/>
  <c r="K37" i="52252" l="1"/>
  <c r="M37" i="52252" s="1"/>
  <c r="H173" i="52254"/>
  <c r="C174" i="52254"/>
  <c r="D174" i="52254" s="1"/>
  <c r="P173" i="3"/>
  <c r="Q173" i="3" s="1"/>
  <c r="R173" i="3" s="1"/>
  <c r="S173" i="3" s="1"/>
  <c r="L174" i="3"/>
  <c r="N174" i="3" s="1"/>
  <c r="M174" i="3"/>
  <c r="O174" i="3" s="1"/>
  <c r="S172" i="3"/>
  <c r="T172" i="3"/>
  <c r="E174" i="3"/>
  <c r="D174" i="3"/>
  <c r="F174" i="3" s="1"/>
  <c r="A175" i="52254"/>
  <c r="B175" i="52254" s="1"/>
  <c r="A176" i="3"/>
  <c r="K175" i="3"/>
  <c r="B175" i="3"/>
  <c r="C175" i="3" s="1"/>
  <c r="J173" i="3"/>
  <c r="E174" i="52254" l="1"/>
  <c r="T173" i="3"/>
  <c r="U173" i="3" s="1"/>
  <c r="R175" i="52254"/>
  <c r="C175" i="52254"/>
  <c r="E175" i="52254" s="1"/>
  <c r="M175" i="3"/>
  <c r="O175" i="3" s="1"/>
  <c r="L175" i="3"/>
  <c r="N175" i="3" s="1"/>
  <c r="G174" i="3"/>
  <c r="I174" i="3" s="1"/>
  <c r="H174" i="3"/>
  <c r="E175" i="3"/>
  <c r="D175" i="3"/>
  <c r="F175" i="3" s="1"/>
  <c r="P174" i="3"/>
  <c r="Q174" i="3" s="1"/>
  <c r="R174" i="3" s="1"/>
  <c r="S174" i="3" s="1"/>
  <c r="A176" i="52254"/>
  <c r="B176" i="52254" s="1"/>
  <c r="R176" i="52254" s="1"/>
  <c r="K176" i="3"/>
  <c r="B176" i="3"/>
  <c r="A177" i="3"/>
  <c r="B177" i="3" s="1"/>
  <c r="C177" i="3" s="1"/>
  <c r="S172" i="52254"/>
  <c r="V172" i="3"/>
  <c r="U172" i="3"/>
  <c r="J174" i="3" l="1"/>
  <c r="K172" i="52254"/>
  <c r="H174" i="52254"/>
  <c r="D175" i="52254"/>
  <c r="H175" i="52254"/>
  <c r="S173" i="52254"/>
  <c r="G38" i="52256"/>
  <c r="V173" i="3"/>
  <c r="K173" i="52254" s="1"/>
  <c r="E177" i="3"/>
  <c r="G177" i="3" s="1"/>
  <c r="I177" i="3" s="1"/>
  <c r="D177" i="3"/>
  <c r="F177" i="3" s="1"/>
  <c r="C176" i="52254"/>
  <c r="P175" i="3"/>
  <c r="Q175" i="3" s="1"/>
  <c r="R175" i="3" s="1"/>
  <c r="S175" i="3" s="1"/>
  <c r="G175" i="3"/>
  <c r="I175" i="3" s="1"/>
  <c r="H175" i="3"/>
  <c r="A177" i="52254"/>
  <c r="B177" i="52254" s="1"/>
  <c r="C177" i="52254" s="1"/>
  <c r="D177" i="52254" s="1"/>
  <c r="A178" i="3"/>
  <c r="B178" i="3" s="1"/>
  <c r="C178" i="3" s="1"/>
  <c r="D178" i="3" s="1"/>
  <c r="F178" i="3" s="1"/>
  <c r="K177" i="3"/>
  <c r="T174" i="3"/>
  <c r="L176" i="3"/>
  <c r="N176" i="3" s="1"/>
  <c r="M176" i="3"/>
  <c r="O176" i="3" s="1"/>
  <c r="C176" i="3"/>
  <c r="G38" i="52252"/>
  <c r="J175" i="3" l="1"/>
  <c r="H177" i="3"/>
  <c r="J177" i="3" s="1"/>
  <c r="R177" i="52254"/>
  <c r="P176" i="3"/>
  <c r="Q176" i="3" s="1"/>
  <c r="R176" i="3" s="1"/>
  <c r="T176" i="3" s="1"/>
  <c r="S176" i="52254" s="1"/>
  <c r="D176" i="52254"/>
  <c r="E176" i="52254"/>
  <c r="T175" i="3"/>
  <c r="S175" i="52254" s="1"/>
  <c r="A178" i="52254"/>
  <c r="B178" i="52254" s="1"/>
  <c r="R178" i="52254" s="1"/>
  <c r="K178" i="3"/>
  <c r="A179" i="3"/>
  <c r="B179" i="3" s="1"/>
  <c r="C179" i="3" s="1"/>
  <c r="E176" i="3"/>
  <c r="D176" i="3"/>
  <c r="F176" i="3" s="1"/>
  <c r="M177" i="3"/>
  <c r="O177" i="3" s="1"/>
  <c r="L177" i="3"/>
  <c r="N177" i="3" s="1"/>
  <c r="S174" i="52254"/>
  <c r="V174" i="3"/>
  <c r="U174" i="3"/>
  <c r="E178" i="3"/>
  <c r="G178" i="3" s="1"/>
  <c r="I178" i="3" s="1"/>
  <c r="E177" i="52254"/>
  <c r="K174" i="52254" l="1"/>
  <c r="C178" i="52254"/>
  <c r="D178" i="52254" s="1"/>
  <c r="U175" i="3"/>
  <c r="P177" i="3"/>
  <c r="Q177" i="3" s="1"/>
  <c r="R177" i="3" s="1"/>
  <c r="S177" i="3" s="1"/>
  <c r="H38" i="52252"/>
  <c r="I38" i="52252" s="1"/>
  <c r="S176" i="3"/>
  <c r="H176" i="52254"/>
  <c r="V175" i="3"/>
  <c r="G176" i="3"/>
  <c r="I176" i="3" s="1"/>
  <c r="V176" i="3" s="1"/>
  <c r="H176" i="3"/>
  <c r="L178" i="3"/>
  <c r="N178" i="3" s="1"/>
  <c r="M178" i="3"/>
  <c r="O178" i="3" s="1"/>
  <c r="A179" i="52254"/>
  <c r="B179" i="52254" s="1"/>
  <c r="C179" i="52254" s="1"/>
  <c r="D179" i="52254" s="1"/>
  <c r="K179" i="3"/>
  <c r="A180" i="3"/>
  <c r="H178" i="3"/>
  <c r="J178" i="3" s="1"/>
  <c r="H177" i="52254"/>
  <c r="D179" i="3"/>
  <c r="F179" i="3" s="1"/>
  <c r="E179" i="3"/>
  <c r="G179" i="3" s="1"/>
  <c r="I179" i="3" s="1"/>
  <c r="K175" i="52254" l="1"/>
  <c r="E178" i="52254"/>
  <c r="R179" i="52254"/>
  <c r="T177" i="3"/>
  <c r="S177" i="52254" s="1"/>
  <c r="P178" i="3"/>
  <c r="Q178" i="3" s="1"/>
  <c r="R178" i="3" s="1"/>
  <c r="S178" i="3" s="1"/>
  <c r="L179" i="3"/>
  <c r="N179" i="3" s="1"/>
  <c r="M179" i="3"/>
  <c r="O179" i="3" s="1"/>
  <c r="J176" i="3"/>
  <c r="J38" i="52252"/>
  <c r="U176" i="3"/>
  <c r="K176" i="52254" s="1"/>
  <c r="A180" i="52254"/>
  <c r="B180" i="52254" s="1"/>
  <c r="C180" i="52254" s="1"/>
  <c r="D180" i="52254" s="1"/>
  <c r="A181" i="3"/>
  <c r="B180" i="3"/>
  <c r="C180" i="3" s="1"/>
  <c r="K180" i="3"/>
  <c r="E179" i="52254"/>
  <c r="H179" i="3"/>
  <c r="H178" i="52254" l="1"/>
  <c r="U177" i="3"/>
  <c r="V177" i="3"/>
  <c r="P179" i="3"/>
  <c r="Q179" i="3" s="1"/>
  <c r="R179" i="3" s="1"/>
  <c r="S179" i="3" s="1"/>
  <c r="H179" i="52254"/>
  <c r="T178" i="3"/>
  <c r="S178" i="52254" s="1"/>
  <c r="E180" i="3"/>
  <c r="D180" i="3"/>
  <c r="F180" i="3" s="1"/>
  <c r="K38" i="52252"/>
  <c r="M38" i="52252" s="1"/>
  <c r="O38" i="52252"/>
  <c r="L180" i="3"/>
  <c r="N180" i="3" s="1"/>
  <c r="M180" i="3"/>
  <c r="O180" i="3" s="1"/>
  <c r="R180" i="52254"/>
  <c r="A181" i="52254"/>
  <c r="B181" i="52254" s="1"/>
  <c r="K181" i="3"/>
  <c r="B181" i="3"/>
  <c r="A182" i="3"/>
  <c r="E180" i="52254"/>
  <c r="J179" i="3"/>
  <c r="K177" i="52254" l="1"/>
  <c r="T179" i="3"/>
  <c r="U179" i="3" s="1"/>
  <c r="V178" i="3"/>
  <c r="U178" i="3"/>
  <c r="K178" i="52254" s="1"/>
  <c r="R181" i="52254"/>
  <c r="C181" i="52254"/>
  <c r="D181" i="52254" s="1"/>
  <c r="G39" i="52256"/>
  <c r="M181" i="3"/>
  <c r="O181" i="3" s="1"/>
  <c r="L181" i="3"/>
  <c r="N181" i="3" s="1"/>
  <c r="G180" i="3"/>
  <c r="I180" i="3" s="1"/>
  <c r="H180" i="3"/>
  <c r="K182" i="3"/>
  <c r="B182" i="3"/>
  <c r="C182" i="3" s="1"/>
  <c r="A182" i="52254"/>
  <c r="B182" i="52254" s="1"/>
  <c r="R182" i="52254" s="1"/>
  <c r="A183" i="3"/>
  <c r="C181" i="3"/>
  <c r="G39" i="52252"/>
  <c r="P180" i="3"/>
  <c r="Q180" i="3" s="1"/>
  <c r="R180" i="3" s="1"/>
  <c r="S180" i="3" s="1"/>
  <c r="H180" i="52254"/>
  <c r="J180" i="3" l="1"/>
  <c r="S179" i="52254"/>
  <c r="V179" i="3"/>
  <c r="K179" i="52254" s="1"/>
  <c r="T180" i="3"/>
  <c r="S180" i="52254" s="1"/>
  <c r="C182" i="52254"/>
  <c r="E182" i="52254" s="1"/>
  <c r="E181" i="52254"/>
  <c r="D182" i="3"/>
  <c r="F182" i="3" s="1"/>
  <c r="E182" i="3"/>
  <c r="A183" i="52254"/>
  <c r="B183" i="52254" s="1"/>
  <c r="R183" i="52254" s="1"/>
  <c r="K183" i="3"/>
  <c r="B183" i="3"/>
  <c r="C183" i="3" s="1"/>
  <c r="E183" i="3" s="1"/>
  <c r="G183" i="3" s="1"/>
  <c r="I183" i="3" s="1"/>
  <c r="A184" i="3"/>
  <c r="E181" i="3"/>
  <c r="G181" i="3" s="1"/>
  <c r="I181" i="3" s="1"/>
  <c r="D181" i="3"/>
  <c r="F181" i="3" s="1"/>
  <c r="M182" i="3"/>
  <c r="O182" i="3" s="1"/>
  <c r="L182" i="3"/>
  <c r="N182" i="3" s="1"/>
  <c r="P181" i="3"/>
  <c r="Q181" i="3" s="1"/>
  <c r="R181" i="3" s="1"/>
  <c r="T181" i="3" s="1"/>
  <c r="S181" i="52254" s="1"/>
  <c r="H181" i="52254" l="1"/>
  <c r="D183" i="3"/>
  <c r="F183" i="3" s="1"/>
  <c r="V180" i="3"/>
  <c r="U180" i="3"/>
  <c r="K180" i="52254" s="1"/>
  <c r="V181" i="3"/>
  <c r="P182" i="3"/>
  <c r="Q182" i="3" s="1"/>
  <c r="R182" i="3" s="1"/>
  <c r="S182" i="3" s="1"/>
  <c r="C183" i="52254"/>
  <c r="D183" i="52254" s="1"/>
  <c r="H182" i="52254"/>
  <c r="D182" i="52254"/>
  <c r="H181" i="3"/>
  <c r="J39" i="52252" s="1"/>
  <c r="O39" i="52252" s="1"/>
  <c r="A185" i="3"/>
  <c r="B184" i="3"/>
  <c r="C184" i="3" s="1"/>
  <c r="A184" i="52254"/>
  <c r="B184" i="52254" s="1"/>
  <c r="R184" i="52254" s="1"/>
  <c r="K184" i="3"/>
  <c r="G182" i="3"/>
  <c r="I182" i="3" s="1"/>
  <c r="H182" i="3"/>
  <c r="H39" i="52252"/>
  <c r="S181" i="3"/>
  <c r="L183" i="3"/>
  <c r="N183" i="3" s="1"/>
  <c r="M183" i="3"/>
  <c r="O183" i="3" s="1"/>
  <c r="H183" i="3"/>
  <c r="J183" i="3" s="1"/>
  <c r="J182" i="3" l="1"/>
  <c r="T182" i="3"/>
  <c r="S182" i="52254" s="1"/>
  <c r="U181" i="3"/>
  <c r="K181" i="52254" s="1"/>
  <c r="J181" i="3"/>
  <c r="E183" i="52254"/>
  <c r="C184" i="52254"/>
  <c r="E184" i="52254" s="1"/>
  <c r="L184" i="3"/>
  <c r="N184" i="3" s="1"/>
  <c r="M184" i="3"/>
  <c r="O184" i="3" s="1"/>
  <c r="B185" i="3"/>
  <c r="C185" i="3" s="1"/>
  <c r="A185" i="52254"/>
  <c r="B186" i="52254" s="1"/>
  <c r="R186" i="52254" s="1"/>
  <c r="B186" i="3"/>
  <c r="K185" i="3"/>
  <c r="I39" i="52252"/>
  <c r="K39" i="52252" s="1"/>
  <c r="M39" i="52252" s="1"/>
  <c r="I40" i="52252"/>
  <c r="D184" i="3"/>
  <c r="F184" i="3" s="1"/>
  <c r="E184" i="3"/>
  <c r="P183" i="3"/>
  <c r="Q183" i="3" s="1"/>
  <c r="R183" i="3" s="1"/>
  <c r="U182" i="3" l="1"/>
  <c r="V182" i="3"/>
  <c r="H183" i="52254"/>
  <c r="C186" i="52254"/>
  <c r="D186" i="52254" s="1"/>
  <c r="D184" i="52254"/>
  <c r="H184" i="52254"/>
  <c r="G40" i="52256"/>
  <c r="C186" i="3"/>
  <c r="G40" i="52252"/>
  <c r="E185" i="3"/>
  <c r="D185" i="3"/>
  <c r="F185" i="3" s="1"/>
  <c r="P184" i="3"/>
  <c r="Q184" i="3" s="1"/>
  <c r="R184" i="3" s="1"/>
  <c r="S184" i="3" s="1"/>
  <c r="B185" i="52254"/>
  <c r="T183" i="3"/>
  <c r="S183" i="3"/>
  <c r="L185" i="3"/>
  <c r="N185" i="3" s="1"/>
  <c r="M185" i="3"/>
  <c r="O185" i="3" s="1"/>
  <c r="G184" i="3"/>
  <c r="I184" i="3" s="1"/>
  <c r="H184" i="3"/>
  <c r="J184" i="3" s="1"/>
  <c r="K182" i="52254" l="1"/>
  <c r="T184" i="3"/>
  <c r="S184" i="52254" s="1"/>
  <c r="E186" i="52254"/>
  <c r="H186" i="52254" s="1"/>
  <c r="P185" i="3"/>
  <c r="Q185" i="3" s="1"/>
  <c r="R185" i="3" s="1"/>
  <c r="C185" i="52254"/>
  <c r="R185" i="52254"/>
  <c r="S183" i="52254"/>
  <c r="V183" i="3"/>
  <c r="U183" i="3"/>
  <c r="G185" i="3"/>
  <c r="I185" i="3" s="1"/>
  <c r="H185" i="3"/>
  <c r="E186" i="3"/>
  <c r="G186" i="3" s="1"/>
  <c r="I186" i="3" s="1"/>
  <c r="D186" i="3"/>
  <c r="F186" i="3" s="1"/>
  <c r="J185" i="3" l="1"/>
  <c r="K183" i="52254"/>
  <c r="U184" i="3"/>
  <c r="V184" i="3"/>
  <c r="S185" i="3"/>
  <c r="T186" i="3"/>
  <c r="S186" i="52254" s="1"/>
  <c r="T185" i="3"/>
  <c r="H186" i="3"/>
  <c r="J186" i="3" s="1"/>
  <c r="D185" i="52254"/>
  <c r="E185" i="52254"/>
  <c r="K184" i="52254" l="1"/>
  <c r="S185" i="52254"/>
  <c r="T187" i="3"/>
  <c r="J40" i="52252"/>
  <c r="O40" i="52252" s="1"/>
  <c r="V185" i="3"/>
  <c r="U185" i="3"/>
  <c r="V186" i="3"/>
  <c r="H185" i="52254"/>
  <c r="U186" i="3"/>
  <c r="K185" i="52254" l="1"/>
  <c r="K186" i="52254"/>
  <c r="K187" i="52254"/>
  <c r="L186" i="52254" s="1"/>
  <c r="N186" i="52254" s="1"/>
  <c r="U187" i="3"/>
  <c r="U189" i="3" s="1"/>
  <c r="U191" i="3" s="1"/>
  <c r="V187" i="3"/>
  <c r="V189" i="3" s="1"/>
  <c r="K40" i="52252"/>
  <c r="M40" i="52252" s="1"/>
  <c r="L161" i="52254" l="1"/>
  <c r="N161" i="52254" s="1"/>
  <c r="L167" i="52254"/>
  <c r="L120" i="52254"/>
  <c r="N120" i="52254" s="1"/>
  <c r="L132" i="52254"/>
  <c r="L138" i="52254"/>
  <c r="N138" i="52254" s="1"/>
  <c r="L123" i="52254"/>
  <c r="N123" i="52254" s="1"/>
  <c r="L182" i="52254"/>
  <c r="L164" i="52254"/>
  <c r="N164" i="52254" s="1"/>
  <c r="L86" i="52254"/>
  <c r="L91" i="52254"/>
  <c r="L94" i="52254"/>
  <c r="N94" i="52254" s="1"/>
  <c r="L85" i="52254"/>
  <c r="L83" i="52254"/>
  <c r="L152" i="52254"/>
  <c r="L184" i="52254"/>
  <c r="N184" i="52254" s="1"/>
  <c r="L82" i="52254"/>
  <c r="L125" i="52254"/>
  <c r="N125" i="52254" s="1"/>
  <c r="L150" i="52254"/>
  <c r="L128" i="52254"/>
  <c r="L79" i="52254"/>
  <c r="L158" i="52254"/>
  <c r="L81" i="52254"/>
  <c r="N81" i="52254" s="1"/>
  <c r="L118" i="52254"/>
  <c r="L140" i="52254"/>
  <c r="L87" i="52254"/>
  <c r="L131" i="52254"/>
  <c r="N131" i="52254" s="1"/>
  <c r="L119" i="52254"/>
  <c r="L171" i="52254"/>
  <c r="L84" i="52254"/>
  <c r="N84" i="52254" s="1"/>
  <c r="L117" i="52254"/>
  <c r="N117" i="52254" s="1"/>
  <c r="L76" i="52254"/>
  <c r="N76" i="52254" s="1"/>
  <c r="L113" i="52254"/>
  <c r="L153" i="52254"/>
  <c r="N153" i="52254" s="1"/>
  <c r="L78" i="52254"/>
  <c r="L111" i="52254"/>
  <c r="L142" i="52254"/>
  <c r="L174" i="52254"/>
  <c r="L151" i="52254"/>
  <c r="N151" i="52254" s="1"/>
  <c r="L116" i="52254"/>
  <c r="L185" i="52254"/>
  <c r="N185" i="52254" s="1"/>
  <c r="L115" i="52254"/>
  <c r="N115" i="52254" s="1"/>
  <c r="L155" i="52254"/>
  <c r="N155" i="52254" s="1"/>
  <c r="L80" i="52254"/>
  <c r="N80" i="52254" s="1"/>
  <c r="L112" i="52254"/>
  <c r="N112" i="52254" s="1"/>
  <c r="L143" i="52254"/>
  <c r="L175" i="52254"/>
  <c r="N175" i="52254" s="1"/>
  <c r="L110" i="52254"/>
  <c r="L176" i="52254"/>
  <c r="L124" i="52254"/>
  <c r="L180" i="52254"/>
  <c r="N180" i="52254" s="1"/>
  <c r="L107" i="52254"/>
  <c r="N107" i="52254" s="1"/>
  <c r="L149" i="52254"/>
  <c r="L181" i="52254"/>
  <c r="L97" i="52254"/>
  <c r="L114" i="52254"/>
  <c r="N114" i="52254" s="1"/>
  <c r="L146" i="52254"/>
  <c r="L77" i="52254"/>
  <c r="L109" i="52254"/>
  <c r="N109" i="52254" s="1"/>
  <c r="L141" i="52254"/>
  <c r="L103" i="52254"/>
  <c r="N103" i="52254" s="1"/>
  <c r="L145" i="52254"/>
  <c r="N145" i="52254" s="1"/>
  <c r="L178" i="52254"/>
  <c r="N178" i="52254" s="1"/>
  <c r="L102" i="52254"/>
  <c r="L134" i="52254"/>
  <c r="N134" i="52254" s="1"/>
  <c r="L166" i="52254"/>
  <c r="L121" i="52254"/>
  <c r="N121" i="52254" s="1"/>
  <c r="L100" i="52254"/>
  <c r="N100" i="52254" s="1"/>
  <c r="L172" i="52254"/>
  <c r="N172" i="52254" s="1"/>
  <c r="L105" i="52254"/>
  <c r="N105" i="52254" s="1"/>
  <c r="L147" i="52254"/>
  <c r="N147" i="52254" s="1"/>
  <c r="L179" i="52254"/>
  <c r="N179" i="52254" s="1"/>
  <c r="L104" i="52254"/>
  <c r="L135" i="52254"/>
  <c r="L168" i="52254"/>
  <c r="L99" i="52254"/>
  <c r="N99" i="52254" s="1"/>
  <c r="L160" i="52254"/>
  <c r="L108" i="52254"/>
  <c r="N108" i="52254" s="1"/>
  <c r="L163" i="52254"/>
  <c r="N163" i="52254" s="1"/>
  <c r="L98" i="52254"/>
  <c r="L139" i="52254"/>
  <c r="N139" i="52254" s="1"/>
  <c r="L173" i="52254"/>
  <c r="N173" i="52254" s="1"/>
  <c r="L154" i="52254"/>
  <c r="L130" i="52254"/>
  <c r="N130" i="52254" s="1"/>
  <c r="L162" i="52254"/>
  <c r="N162" i="52254" s="1"/>
  <c r="L101" i="52254"/>
  <c r="L133" i="52254"/>
  <c r="L90" i="52254"/>
  <c r="L136" i="52254"/>
  <c r="L170" i="52254"/>
  <c r="N170" i="52254" s="1"/>
  <c r="L93" i="52254"/>
  <c r="L126" i="52254"/>
  <c r="L157" i="52254"/>
  <c r="N157" i="52254" s="1"/>
  <c r="L183" i="52254"/>
  <c r="L156" i="52254"/>
  <c r="N156" i="52254" s="1"/>
  <c r="L95" i="52254"/>
  <c r="L137" i="52254"/>
  <c r="L169" i="52254"/>
  <c r="L96" i="52254"/>
  <c r="N96" i="52254" s="1"/>
  <c r="L127" i="52254"/>
  <c r="L159" i="52254"/>
  <c r="L89" i="52254"/>
  <c r="L144" i="52254"/>
  <c r="L92" i="52254"/>
  <c r="N92" i="52254" s="1"/>
  <c r="L148" i="52254"/>
  <c r="N148" i="52254" s="1"/>
  <c r="L88" i="52254"/>
  <c r="L129" i="52254"/>
  <c r="N129" i="52254" s="1"/>
  <c r="L165" i="52254"/>
  <c r="L122" i="52254"/>
  <c r="L177" i="52254"/>
  <c r="L106" i="52254"/>
  <c r="V192" i="3"/>
  <c r="V191" i="3"/>
  <c r="V190" i="3"/>
  <c r="U192" i="3"/>
  <c r="V42" i="52252"/>
  <c r="V42" i="52256"/>
  <c r="U190" i="3"/>
  <c r="W190" i="3" s="1"/>
  <c r="C27" i="2" s="1"/>
  <c r="K41" i="52252"/>
  <c r="D17" i="52252" s="1"/>
  <c r="D31" i="52255" s="1"/>
  <c r="U42" i="52252"/>
  <c r="W189" i="3"/>
  <c r="W191" i="3" s="1"/>
  <c r="C30" i="2" s="1"/>
  <c r="V20" i="2" s="1"/>
  <c r="D25" i="52255" s="1"/>
  <c r="W192" i="3" l="1"/>
  <c r="C31" i="2" s="1"/>
  <c r="W20" i="2" s="1"/>
  <c r="F13" i="52256" s="1"/>
  <c r="N79" i="52254"/>
  <c r="N104" i="52254"/>
  <c r="N128" i="52254"/>
  <c r="N93" i="52254"/>
  <c r="N113" i="52254"/>
  <c r="N127" i="52254"/>
  <c r="N142" i="52254"/>
  <c r="N176" i="52254"/>
  <c r="N95" i="52254"/>
  <c r="N85" i="52254"/>
  <c r="N140" i="52254"/>
  <c r="N126" i="52254"/>
  <c r="N160" i="52254"/>
  <c r="N152" i="52254"/>
  <c r="N132" i="52254"/>
  <c r="N158" i="52254"/>
  <c r="N171" i="52254"/>
  <c r="N149" i="52254"/>
  <c r="N82" i="52254"/>
  <c r="N83" i="52254"/>
  <c r="N150" i="52254"/>
  <c r="N86" i="52254"/>
  <c r="N177" i="52254"/>
  <c r="N87" i="52254"/>
  <c r="N89" i="52254"/>
  <c r="N167" i="52254"/>
  <c r="N119" i="52254"/>
  <c r="N111" i="52254"/>
  <c r="N91" i="52254"/>
  <c r="N118" i="52254"/>
  <c r="N165" i="52254"/>
  <c r="N90" i="52254"/>
  <c r="N182" i="52254"/>
  <c r="N146" i="52254"/>
  <c r="N116" i="52254"/>
  <c r="N106" i="52254"/>
  <c r="N124" i="52254"/>
  <c r="N183" i="52254"/>
  <c r="N133" i="52254"/>
  <c r="N98" i="52254"/>
  <c r="N169" i="52254"/>
  <c r="N110" i="52254"/>
  <c r="M76" i="52254"/>
  <c r="H18" i="52256" s="1"/>
  <c r="N77" i="52254"/>
  <c r="L187" i="52254"/>
  <c r="N187" i="52254" s="1"/>
  <c r="N174" i="52254"/>
  <c r="N166" i="52254"/>
  <c r="N159" i="52254"/>
  <c r="N136" i="52254"/>
  <c r="N168" i="52254"/>
  <c r="N78" i="52254"/>
  <c r="N101" i="52254"/>
  <c r="N122" i="52254"/>
  <c r="N135" i="52254"/>
  <c r="N143" i="52254"/>
  <c r="N181" i="52254"/>
  <c r="N102" i="52254"/>
  <c r="N141" i="52254"/>
  <c r="N144" i="52254"/>
  <c r="N88" i="52254"/>
  <c r="I18" i="52256"/>
  <c r="N154" i="52254"/>
  <c r="N137" i="52254"/>
  <c r="N97" i="52254"/>
  <c r="D13" i="52256"/>
  <c r="B58" i="52254"/>
  <c r="L18" i="52252"/>
  <c r="L19" i="52252" s="1"/>
  <c r="L20" i="52252" s="1"/>
  <c r="L21" i="52252" s="1"/>
  <c r="L22" i="52252" s="1"/>
  <c r="L23" i="52252" s="1"/>
  <c r="L24" i="52252" s="1"/>
  <c r="L25" i="52252" s="1"/>
  <c r="L26" i="52252" s="1"/>
  <c r="L27" i="52252" s="1"/>
  <c r="L28" i="52252" s="1"/>
  <c r="L29" i="52252" s="1"/>
  <c r="L30" i="52252" s="1"/>
  <c r="L31" i="52252" s="1"/>
  <c r="L32" i="52252" s="1"/>
  <c r="L33" i="52252" s="1"/>
  <c r="L34" i="52252" s="1"/>
  <c r="L35" i="52252" s="1"/>
  <c r="L36" i="52252" s="1"/>
  <c r="L37" i="52252" s="1"/>
  <c r="L38" i="52252" s="1"/>
  <c r="L39" i="52252" s="1"/>
  <c r="L40" i="52252" s="1"/>
  <c r="D16" i="52252"/>
  <c r="D30" i="52255" s="1"/>
  <c r="D18" i="52252"/>
  <c r="D32" i="52255" s="1"/>
  <c r="M41" i="52252"/>
  <c r="N18" i="52252" s="1"/>
  <c r="N19" i="52252" s="1"/>
  <c r="N20" i="52252" s="1"/>
  <c r="N21" i="52252" s="1"/>
  <c r="N22" i="52252" s="1"/>
  <c r="N23" i="52252" s="1"/>
  <c r="N24" i="52252" s="1"/>
  <c r="N25" i="52252" s="1"/>
  <c r="N26" i="52252" s="1"/>
  <c r="N27" i="52252" s="1"/>
  <c r="N28" i="52252" s="1"/>
  <c r="N29" i="52252" s="1"/>
  <c r="N30" i="52252" s="1"/>
  <c r="N31" i="52252" s="1"/>
  <c r="N32" i="52252" s="1"/>
  <c r="N33" i="52252" s="1"/>
  <c r="N34" i="52252" s="1"/>
  <c r="N35" i="52252" s="1"/>
  <c r="N36" i="52252" s="1"/>
  <c r="N37" i="52252" s="1"/>
  <c r="N38" i="52252" s="1"/>
  <c r="N39" i="52252" s="1"/>
  <c r="N40" i="52252" s="1"/>
  <c r="B62" i="52254" l="1"/>
  <c r="B63" i="52254"/>
  <c r="O187" i="52254"/>
  <c r="M77" i="52254"/>
  <c r="M78" i="52254" s="1"/>
  <c r="M79" i="52254" s="1"/>
  <c r="M80" i="52254" s="1"/>
  <c r="M81" i="52254" s="1"/>
  <c r="N189" i="52254"/>
  <c r="B59" i="52254"/>
  <c r="B61" i="52254"/>
  <c r="B60" i="52254"/>
  <c r="B64" i="52254" l="1"/>
  <c r="G77" i="52254"/>
  <c r="G78" i="52254"/>
  <c r="F76" i="52254"/>
  <c r="I76" i="52254" s="1"/>
  <c r="F77" i="52254"/>
  <c r="I77" i="52254" s="1"/>
  <c r="G76" i="52254"/>
  <c r="F78" i="52254"/>
  <c r="I78" i="52254" s="1"/>
  <c r="F79" i="52254"/>
  <c r="I79" i="52254" s="1"/>
  <c r="G80" i="52254"/>
  <c r="G79" i="52254"/>
  <c r="F80" i="52254"/>
  <c r="I80" i="52254" s="1"/>
  <c r="F81" i="52254"/>
  <c r="I81" i="52254" s="1"/>
  <c r="F82" i="52254"/>
  <c r="I82" i="52254" s="1"/>
  <c r="G81" i="52254"/>
  <c r="G83" i="52254"/>
  <c r="G82" i="52254"/>
  <c r="G84" i="52254"/>
  <c r="F85" i="52254"/>
  <c r="I85" i="52254" s="1"/>
  <c r="F83" i="52254"/>
  <c r="I83" i="52254" s="1"/>
  <c r="F84" i="52254"/>
  <c r="I84" i="52254" s="1"/>
  <c r="G85" i="52254"/>
  <c r="G86" i="52254"/>
  <c r="F86" i="52254"/>
  <c r="I86" i="52254" s="1"/>
  <c r="G87" i="52254"/>
  <c r="F89" i="52254"/>
  <c r="I89" i="52254" s="1"/>
  <c r="F87" i="52254"/>
  <c r="I87" i="52254" s="1"/>
  <c r="F88" i="52254"/>
  <c r="I88" i="52254" s="1"/>
  <c r="G88" i="52254"/>
  <c r="G89" i="52254"/>
  <c r="G90" i="52254"/>
  <c r="G91" i="52254"/>
  <c r="F90" i="52254"/>
  <c r="I90" i="52254" s="1"/>
  <c r="F91" i="52254"/>
  <c r="I91" i="52254" s="1"/>
  <c r="G92" i="52254"/>
  <c r="F92" i="52254"/>
  <c r="I92" i="52254" s="1"/>
  <c r="F93" i="52254"/>
  <c r="I93" i="52254" s="1"/>
  <c r="F94" i="52254"/>
  <c r="I94" i="52254" s="1"/>
  <c r="G93" i="52254"/>
  <c r="G94" i="52254"/>
  <c r="F95" i="52254"/>
  <c r="I95" i="52254" s="1"/>
  <c r="F96" i="52254"/>
  <c r="I96" i="52254" s="1"/>
  <c r="G95" i="52254"/>
  <c r="G96" i="52254"/>
  <c r="F99" i="52254"/>
  <c r="I99" i="52254" s="1"/>
  <c r="F97" i="52254"/>
  <c r="I97" i="52254" s="1"/>
  <c r="G97" i="52254"/>
  <c r="F98" i="52254"/>
  <c r="I98" i="52254" s="1"/>
  <c r="G99" i="52254"/>
  <c r="G98" i="52254"/>
  <c r="F101" i="52254"/>
  <c r="I101" i="52254" s="1"/>
  <c r="F100" i="52254"/>
  <c r="I100" i="52254" s="1"/>
  <c r="G100" i="52254"/>
  <c r="G101" i="52254"/>
  <c r="G102" i="52254"/>
  <c r="F102" i="52254"/>
  <c r="I102" i="52254" s="1"/>
  <c r="G104" i="52254"/>
  <c r="F103" i="52254"/>
  <c r="I103" i="52254" s="1"/>
  <c r="G103" i="52254"/>
  <c r="G105" i="52254"/>
  <c r="F104" i="52254"/>
  <c r="I104" i="52254" s="1"/>
  <c r="F105" i="52254"/>
  <c r="I105" i="52254" s="1"/>
  <c r="F106" i="52254"/>
  <c r="I106" i="52254" s="1"/>
  <c r="F108" i="52254"/>
  <c r="I108" i="52254" s="1"/>
  <c r="F107" i="52254"/>
  <c r="I107" i="52254" s="1"/>
  <c r="G107" i="52254"/>
  <c r="G106" i="52254"/>
  <c r="F109" i="52254"/>
  <c r="I109" i="52254" s="1"/>
  <c r="G108" i="52254"/>
  <c r="G109" i="52254"/>
  <c r="F110" i="52254"/>
  <c r="I110" i="52254" s="1"/>
  <c r="G110" i="52254"/>
  <c r="F111" i="52254"/>
  <c r="I111" i="52254" s="1"/>
  <c r="G111" i="52254"/>
  <c r="G112" i="52254"/>
  <c r="F112" i="52254"/>
  <c r="I112" i="52254" s="1"/>
  <c r="F113" i="52254"/>
  <c r="I113" i="52254" s="1"/>
  <c r="G113" i="52254"/>
  <c r="G114" i="52254"/>
  <c r="F115" i="52254"/>
  <c r="F114" i="52254"/>
  <c r="I114" i="52254" s="1"/>
  <c r="G115" i="52254"/>
  <c r="G116" i="52254"/>
  <c r="F118" i="52254"/>
  <c r="F116" i="52254"/>
  <c r="I116" i="52254" s="1"/>
  <c r="F117" i="52254"/>
  <c r="G118" i="52254"/>
  <c r="I118" i="52254" s="1"/>
  <c r="G119" i="52254"/>
  <c r="G117" i="52254"/>
  <c r="F119" i="52254"/>
  <c r="I119" i="52254" s="1"/>
  <c r="F120" i="52254"/>
  <c r="G120" i="52254"/>
  <c r="I120" i="52254" s="1"/>
  <c r="G122" i="52254"/>
  <c r="G121" i="52254"/>
  <c r="F121" i="52254"/>
  <c r="I121" i="52254" s="1"/>
  <c r="F123" i="52254"/>
  <c r="I123" i="52254" s="1"/>
  <c r="F122" i="52254"/>
  <c r="I122" i="52254" s="1"/>
  <c r="G123" i="52254"/>
  <c r="G124" i="52254"/>
  <c r="G125" i="52254"/>
  <c r="F124" i="52254"/>
  <c r="I124" i="52254" s="1"/>
  <c r="F125" i="52254"/>
  <c r="F126" i="52254"/>
  <c r="G126" i="52254"/>
  <c r="G128" i="52254"/>
  <c r="G129" i="52254"/>
  <c r="F128" i="52254"/>
  <c r="G127" i="52254"/>
  <c r="F127" i="52254"/>
  <c r="I127" i="52254" s="1"/>
  <c r="F129" i="52254"/>
  <c r="I129" i="52254" s="1"/>
  <c r="F131" i="52254"/>
  <c r="F132" i="52254"/>
  <c r="F130" i="52254"/>
  <c r="G130" i="52254"/>
  <c r="G131" i="52254"/>
  <c r="G132" i="52254"/>
  <c r="G133" i="52254"/>
  <c r="F134" i="52254"/>
  <c r="F133" i="52254"/>
  <c r="G134" i="52254"/>
  <c r="G135" i="52254"/>
  <c r="F135" i="52254"/>
  <c r="F136" i="52254"/>
  <c r="F137" i="52254"/>
  <c r="G136" i="52254"/>
  <c r="I136" i="52254" s="1"/>
  <c r="G137" i="52254"/>
  <c r="I137" i="52254" s="1"/>
  <c r="G138" i="52254"/>
  <c r="G139" i="52254"/>
  <c r="F139" i="52254"/>
  <c r="F138" i="52254"/>
  <c r="G140" i="52254"/>
  <c r="F140" i="52254"/>
  <c r="I140" i="52254" s="1"/>
  <c r="G142" i="52254"/>
  <c r="F141" i="52254"/>
  <c r="G141" i="52254"/>
  <c r="I141" i="52254" s="1"/>
  <c r="F142" i="52254"/>
  <c r="G143" i="52254"/>
  <c r="I143" i="52254" s="1"/>
  <c r="F143" i="52254"/>
  <c r="G144" i="52254"/>
  <c r="G145" i="52254"/>
  <c r="F144" i="52254"/>
  <c r="I144" i="52254" s="1"/>
  <c r="F146" i="52254"/>
  <c r="G147" i="52254"/>
  <c r="F145" i="52254"/>
  <c r="F147" i="52254"/>
  <c r="G146" i="52254"/>
  <c r="G150" i="52254"/>
  <c r="G149" i="52254"/>
  <c r="F148" i="52254"/>
  <c r="G148" i="52254"/>
  <c r="F149" i="52254"/>
  <c r="F150" i="52254"/>
  <c r="F151" i="52254"/>
  <c r="G152" i="52254"/>
  <c r="I152" i="52254" s="1"/>
  <c r="F153" i="52254"/>
  <c r="G151" i="52254"/>
  <c r="F152" i="52254"/>
  <c r="G154" i="52254"/>
  <c r="I154" i="52254" s="1"/>
  <c r="G153" i="52254"/>
  <c r="I153" i="52254" s="1"/>
  <c r="F154" i="52254"/>
  <c r="F155" i="52254"/>
  <c r="G155" i="52254"/>
  <c r="I155" i="52254" s="1"/>
  <c r="G156" i="52254"/>
  <c r="I156" i="52254" s="1"/>
  <c r="G157" i="52254"/>
  <c r="I157" i="52254" s="1"/>
  <c r="F156" i="52254"/>
  <c r="F157" i="52254"/>
  <c r="F159" i="52254"/>
  <c r="G158" i="52254"/>
  <c r="I158" i="52254" s="1"/>
  <c r="F158" i="52254"/>
  <c r="G159" i="52254"/>
  <c r="I159" i="52254" s="1"/>
  <c r="G160" i="52254"/>
  <c r="I160" i="52254" s="1"/>
  <c r="F161" i="52254"/>
  <c r="F160" i="52254"/>
  <c r="G161" i="52254"/>
  <c r="I161" i="52254" s="1"/>
  <c r="G163" i="52254"/>
  <c r="I163" i="52254" s="1"/>
  <c r="F162" i="52254"/>
  <c r="G162" i="52254"/>
  <c r="I162" i="52254" s="1"/>
  <c r="F163" i="52254"/>
  <c r="G164" i="52254"/>
  <c r="I164" i="52254" s="1"/>
  <c r="F164" i="52254"/>
  <c r="F165" i="52254"/>
  <c r="G165" i="52254"/>
  <c r="I165" i="52254" s="1"/>
  <c r="G166" i="52254"/>
  <c r="I166" i="52254" s="1"/>
  <c r="F166" i="52254"/>
  <c r="G168" i="52254"/>
  <c r="I168" i="52254" s="1"/>
  <c r="G167" i="52254"/>
  <c r="I167" i="52254" s="1"/>
  <c r="F167" i="52254"/>
  <c r="F169" i="52254"/>
  <c r="F168" i="52254"/>
  <c r="F170" i="52254"/>
  <c r="G169" i="52254"/>
  <c r="I169" i="52254" s="1"/>
  <c r="G170" i="52254"/>
  <c r="I170" i="52254" s="1"/>
  <c r="F171" i="52254"/>
  <c r="G172" i="52254"/>
  <c r="I172" i="52254" s="1"/>
  <c r="F172" i="52254"/>
  <c r="G171" i="52254"/>
  <c r="I171" i="52254" s="1"/>
  <c r="F173" i="52254"/>
  <c r="G173" i="52254"/>
  <c r="I173" i="52254" s="1"/>
  <c r="F174" i="52254"/>
  <c r="G174" i="52254"/>
  <c r="I174" i="52254" s="1"/>
  <c r="G175" i="52254"/>
  <c r="I175" i="52254" s="1"/>
  <c r="F175" i="52254"/>
  <c r="F177" i="52254"/>
  <c r="G177" i="52254"/>
  <c r="I177" i="52254" s="1"/>
  <c r="G176" i="52254"/>
  <c r="I176" i="52254" s="1"/>
  <c r="F176" i="52254"/>
  <c r="F179" i="52254"/>
  <c r="F178" i="52254"/>
  <c r="F180" i="52254"/>
  <c r="G178" i="52254"/>
  <c r="I178" i="52254" s="1"/>
  <c r="G179" i="52254"/>
  <c r="I179" i="52254" s="1"/>
  <c r="G180" i="52254"/>
  <c r="I180" i="52254" s="1"/>
  <c r="F181" i="52254"/>
  <c r="G182" i="52254"/>
  <c r="I182" i="52254" s="1"/>
  <c r="G181" i="52254"/>
  <c r="I181" i="52254" s="1"/>
  <c r="F182" i="52254"/>
  <c r="F183" i="52254"/>
  <c r="G184" i="52254"/>
  <c r="I184" i="52254" s="1"/>
  <c r="G183" i="52254"/>
  <c r="I183" i="52254" s="1"/>
  <c r="F184" i="52254"/>
  <c r="F186" i="52254"/>
  <c r="G186" i="52254"/>
  <c r="I186" i="52254" s="1"/>
  <c r="G185" i="52254"/>
  <c r="I185" i="52254" s="1"/>
  <c r="F185" i="52254"/>
  <c r="N191" i="52254"/>
  <c r="N192" i="52254"/>
  <c r="N190" i="52254"/>
  <c r="H19" i="52256"/>
  <c r="I19" i="52256" s="1"/>
  <c r="M82" i="52254"/>
  <c r="M83" i="52254" s="1"/>
  <c r="M84" i="52254" s="1"/>
  <c r="M85" i="52254" s="1"/>
  <c r="M86" i="52254" s="1"/>
  <c r="U42" i="52256"/>
  <c r="I147" i="52254" l="1"/>
  <c r="I148" i="52254"/>
  <c r="I151" i="52254"/>
  <c r="I149" i="52254"/>
  <c r="I145" i="52254"/>
  <c r="I150" i="52254"/>
  <c r="I146" i="52254"/>
  <c r="I125" i="52254"/>
  <c r="J125" i="52254" s="1"/>
  <c r="I117" i="52254"/>
  <c r="I134" i="52254"/>
  <c r="I128" i="52254"/>
  <c r="I133" i="52254"/>
  <c r="O133" i="52254" s="1"/>
  <c r="T133" i="52254" s="1"/>
  <c r="Q133" i="52254" s="1"/>
  <c r="I142" i="52254"/>
  <c r="O142" i="52254" s="1"/>
  <c r="T142" i="52254" s="1"/>
  <c r="Q142" i="52254" s="1"/>
  <c r="I139" i="52254"/>
  <c r="O139" i="52254" s="1"/>
  <c r="T139" i="52254" s="1"/>
  <c r="Q139" i="52254" s="1"/>
  <c r="J174" i="52254"/>
  <c r="O174" i="52254"/>
  <c r="T174" i="52254" s="1"/>
  <c r="Q174" i="52254" s="1"/>
  <c r="J170" i="52254"/>
  <c r="O170" i="52254"/>
  <c r="T170" i="52254" s="1"/>
  <c r="Q170" i="52254" s="1"/>
  <c r="J158" i="52254"/>
  <c r="O158" i="52254"/>
  <c r="T158" i="52254" s="1"/>
  <c r="Q158" i="52254" s="1"/>
  <c r="J142" i="52254"/>
  <c r="J134" i="52254"/>
  <c r="O134" i="52254"/>
  <c r="T134" i="52254" s="1"/>
  <c r="Q134" i="52254" s="1"/>
  <c r="I126" i="52254"/>
  <c r="J123" i="52254"/>
  <c r="O123" i="52254"/>
  <c r="T123" i="52254" s="1"/>
  <c r="Q123" i="52254" s="1"/>
  <c r="J108" i="52254"/>
  <c r="O108" i="52254"/>
  <c r="T108" i="52254" s="1"/>
  <c r="Q108" i="52254" s="1"/>
  <c r="J102" i="52254"/>
  <c r="O102" i="52254"/>
  <c r="T102" i="52254" s="1"/>
  <c r="Q102" i="52254" s="1"/>
  <c r="J98" i="52254"/>
  <c r="O98" i="52254"/>
  <c r="T98" i="52254" s="1"/>
  <c r="Q98" i="52254" s="1"/>
  <c r="J20" i="52256"/>
  <c r="O20" i="52256" s="1"/>
  <c r="J86" i="52254"/>
  <c r="O86" i="52254"/>
  <c r="T86" i="52254" s="1"/>
  <c r="Q86" i="52254" s="1"/>
  <c r="J78" i="52254"/>
  <c r="O78" i="52254"/>
  <c r="T78" i="52254" s="1"/>
  <c r="Q78" i="52254" s="1"/>
  <c r="J117" i="52254"/>
  <c r="O117" i="52254"/>
  <c r="T117" i="52254" s="1"/>
  <c r="Q117" i="52254" s="1"/>
  <c r="J95" i="52254"/>
  <c r="O95" i="52254"/>
  <c r="T95" i="52254" s="1"/>
  <c r="Q95" i="52254" s="1"/>
  <c r="J169" i="52254"/>
  <c r="O169" i="52254"/>
  <c r="T169" i="52254" s="1"/>
  <c r="Q169" i="52254" s="1"/>
  <c r="J31" i="52256"/>
  <c r="O31" i="52256" s="1"/>
  <c r="J141" i="52254"/>
  <c r="O141" i="52254"/>
  <c r="T141" i="52254" s="1"/>
  <c r="Q141" i="52254" s="1"/>
  <c r="J133" i="52254"/>
  <c r="J27" i="52256"/>
  <c r="O27" i="52256" s="1"/>
  <c r="J121" i="52254"/>
  <c r="O121" i="52254"/>
  <c r="T121" i="52254" s="1"/>
  <c r="Q121" i="52254" s="1"/>
  <c r="J118" i="52254"/>
  <c r="O118" i="52254"/>
  <c r="T118" i="52254" s="1"/>
  <c r="Q118" i="52254" s="1"/>
  <c r="J110" i="52254"/>
  <c r="O110" i="52254"/>
  <c r="T110" i="52254" s="1"/>
  <c r="Q110" i="52254" s="1"/>
  <c r="J24" i="52256"/>
  <c r="O24" i="52256" s="1"/>
  <c r="J106" i="52254"/>
  <c r="O106" i="52254"/>
  <c r="T106" i="52254" s="1"/>
  <c r="Q106" i="52254" s="1"/>
  <c r="J162" i="52254"/>
  <c r="O162" i="52254"/>
  <c r="T162" i="52254" s="1"/>
  <c r="Q162" i="52254" s="1"/>
  <c r="J114" i="52254"/>
  <c r="O114" i="52254"/>
  <c r="T114" i="52254" s="1"/>
  <c r="Q114" i="52254" s="1"/>
  <c r="J163" i="52254"/>
  <c r="O163" i="52254"/>
  <c r="T163" i="52254" s="1"/>
  <c r="Q163" i="52254" s="1"/>
  <c r="J147" i="52254"/>
  <c r="O147" i="52254"/>
  <c r="T147" i="52254" s="1"/>
  <c r="Q147" i="52254" s="1"/>
  <c r="J186" i="52254"/>
  <c r="J40" i="52256"/>
  <c r="O40" i="52256" s="1"/>
  <c r="O186" i="52254"/>
  <c r="T186" i="52254" s="1"/>
  <c r="Q186" i="52254" s="1"/>
  <c r="J182" i="52254"/>
  <c r="O182" i="52254"/>
  <c r="T182" i="52254" s="1"/>
  <c r="Q182" i="52254" s="1"/>
  <c r="J173" i="52254"/>
  <c r="O173" i="52254"/>
  <c r="T173" i="52254" s="1"/>
  <c r="Q173" i="52254" s="1"/>
  <c r="J165" i="52254"/>
  <c r="O165" i="52254"/>
  <c r="T165" i="52254" s="1"/>
  <c r="Q165" i="52254" s="1"/>
  <c r="J35" i="52256"/>
  <c r="O35" i="52256" s="1"/>
  <c r="J161" i="52254"/>
  <c r="O161" i="52254"/>
  <c r="T161" i="52254" s="1"/>
  <c r="Q161" i="52254" s="1"/>
  <c r="J154" i="52254"/>
  <c r="O154" i="52254"/>
  <c r="T154" i="52254" s="1"/>
  <c r="Q154" i="52254" s="1"/>
  <c r="J148" i="52254"/>
  <c r="O148" i="52254"/>
  <c r="T148" i="52254" s="1"/>
  <c r="Q148" i="52254" s="1"/>
  <c r="J137" i="52254"/>
  <c r="O137" i="52254"/>
  <c r="T137" i="52254" s="1"/>
  <c r="Q137" i="52254" s="1"/>
  <c r="J129" i="52254"/>
  <c r="O129" i="52254"/>
  <c r="T129" i="52254" s="1"/>
  <c r="Q129" i="52254" s="1"/>
  <c r="J105" i="52254"/>
  <c r="O105" i="52254"/>
  <c r="T105" i="52254" s="1"/>
  <c r="Q105" i="52254" s="1"/>
  <c r="J97" i="52254"/>
  <c r="O97" i="52254"/>
  <c r="T97" i="52254" s="1"/>
  <c r="Q97" i="52254" s="1"/>
  <c r="J94" i="52254"/>
  <c r="O94" i="52254"/>
  <c r="T94" i="52254" s="1"/>
  <c r="Q94" i="52254" s="1"/>
  <c r="J82" i="52254"/>
  <c r="O82" i="52254"/>
  <c r="T82" i="52254" s="1"/>
  <c r="Q82" i="52254" s="1"/>
  <c r="J77" i="52254"/>
  <c r="O77" i="52254"/>
  <c r="T77" i="52254" s="1"/>
  <c r="Q77" i="52254" s="1"/>
  <c r="J168" i="52254"/>
  <c r="O168" i="52254"/>
  <c r="T168" i="52254" s="1"/>
  <c r="Q168" i="52254" s="1"/>
  <c r="J122" i="52254"/>
  <c r="O122" i="52254"/>
  <c r="T122" i="52254" s="1"/>
  <c r="Q122" i="52254" s="1"/>
  <c r="J90" i="52254"/>
  <c r="O90" i="52254"/>
  <c r="T90" i="52254" s="1"/>
  <c r="Q90" i="52254" s="1"/>
  <c r="J39" i="52256"/>
  <c r="O39" i="52256" s="1"/>
  <c r="J181" i="52254"/>
  <c r="O181" i="52254"/>
  <c r="T181" i="52254" s="1"/>
  <c r="Q181" i="52254" s="1"/>
  <c r="J153" i="52254"/>
  <c r="O153" i="52254"/>
  <c r="T153" i="52254" s="1"/>
  <c r="Q153" i="52254" s="1"/>
  <c r="J176" i="52254"/>
  <c r="J38" i="52256"/>
  <c r="O38" i="52256" s="1"/>
  <c r="O176" i="52254"/>
  <c r="T176" i="52254" s="1"/>
  <c r="Q176" i="52254" s="1"/>
  <c r="J144" i="52254"/>
  <c r="O144" i="52254"/>
  <c r="T144" i="52254" s="1"/>
  <c r="Q144" i="52254" s="1"/>
  <c r="J136" i="52254"/>
  <c r="J30" i="52256"/>
  <c r="O30" i="52256" s="1"/>
  <c r="O136" i="52254"/>
  <c r="T136" i="52254" s="1"/>
  <c r="Q136" i="52254" s="1"/>
  <c r="J127" i="52254"/>
  <c r="O127" i="52254"/>
  <c r="T127" i="52254" s="1"/>
  <c r="Q127" i="52254" s="1"/>
  <c r="J124" i="52254"/>
  <c r="O124" i="52254"/>
  <c r="T124" i="52254" s="1"/>
  <c r="Q124" i="52254" s="1"/>
  <c r="J26" i="52256"/>
  <c r="O26" i="52256" s="1"/>
  <c r="J116" i="52254"/>
  <c r="O116" i="52254"/>
  <c r="T116" i="52254" s="1"/>
  <c r="Q116" i="52254" s="1"/>
  <c r="J113" i="52254"/>
  <c r="O113" i="52254"/>
  <c r="T113" i="52254" s="1"/>
  <c r="Q113" i="52254" s="1"/>
  <c r="J104" i="52254"/>
  <c r="O104" i="52254"/>
  <c r="T104" i="52254" s="1"/>
  <c r="Q104" i="52254" s="1"/>
  <c r="J99" i="52254"/>
  <c r="O99" i="52254"/>
  <c r="T99" i="52254" s="1"/>
  <c r="Q99" i="52254" s="1"/>
  <c r="J93" i="52254"/>
  <c r="O93" i="52254"/>
  <c r="T93" i="52254" s="1"/>
  <c r="Q93" i="52254" s="1"/>
  <c r="J84" i="52254"/>
  <c r="O84" i="52254"/>
  <c r="T84" i="52254" s="1"/>
  <c r="Q84" i="52254" s="1"/>
  <c r="J19" i="52256"/>
  <c r="O19" i="52256" s="1"/>
  <c r="J81" i="52254"/>
  <c r="O81" i="52254"/>
  <c r="T81" i="52254" s="1"/>
  <c r="Q81" i="52254" s="1"/>
  <c r="J18" i="52256"/>
  <c r="J76" i="52254"/>
  <c r="O76" i="52254"/>
  <c r="J175" i="52254"/>
  <c r="O175" i="52254"/>
  <c r="T175" i="52254" s="1"/>
  <c r="Q175" i="52254" s="1"/>
  <c r="J107" i="52254"/>
  <c r="O107" i="52254"/>
  <c r="T107" i="52254" s="1"/>
  <c r="Q107" i="52254" s="1"/>
  <c r="J185" i="52254"/>
  <c r="O185" i="52254"/>
  <c r="T185" i="52254" s="1"/>
  <c r="Q185" i="52254" s="1"/>
  <c r="J37" i="52256"/>
  <c r="O37" i="52256" s="1"/>
  <c r="J171" i="52254"/>
  <c r="O171" i="52254"/>
  <c r="T171" i="52254" s="1"/>
  <c r="Q171" i="52254" s="1"/>
  <c r="J157" i="52254"/>
  <c r="O157" i="52254"/>
  <c r="T157" i="52254" s="1"/>
  <c r="Q157" i="52254" s="1"/>
  <c r="J33" i="52256"/>
  <c r="O33" i="52256" s="1"/>
  <c r="J151" i="52254"/>
  <c r="O151" i="52254"/>
  <c r="T151" i="52254" s="1"/>
  <c r="Q151" i="52254" s="1"/>
  <c r="J149" i="52254"/>
  <c r="O149" i="52254"/>
  <c r="T149" i="52254" s="1"/>
  <c r="Q149" i="52254" s="1"/>
  <c r="J145" i="52254"/>
  <c r="O145" i="52254"/>
  <c r="T145" i="52254" s="1"/>
  <c r="Q145" i="52254" s="1"/>
  <c r="J140" i="52254"/>
  <c r="O140" i="52254"/>
  <c r="T140" i="52254" s="1"/>
  <c r="Q140" i="52254" s="1"/>
  <c r="I132" i="52254"/>
  <c r="J120" i="52254"/>
  <c r="O120" i="52254"/>
  <c r="T120" i="52254" s="1"/>
  <c r="Q120" i="52254" s="1"/>
  <c r="J112" i="52254"/>
  <c r="O112" i="52254"/>
  <c r="T112" i="52254" s="1"/>
  <c r="Q112" i="52254" s="1"/>
  <c r="J109" i="52254"/>
  <c r="O109" i="52254"/>
  <c r="T109" i="52254" s="1"/>
  <c r="Q109" i="52254" s="1"/>
  <c r="J100" i="52254"/>
  <c r="O100" i="52254"/>
  <c r="T100" i="52254" s="1"/>
  <c r="Q100" i="52254" s="1"/>
  <c r="J92" i="52254"/>
  <c r="O92" i="52254"/>
  <c r="T92" i="52254" s="1"/>
  <c r="Q92" i="52254" s="1"/>
  <c r="J88" i="52254"/>
  <c r="O88" i="52254"/>
  <c r="T88" i="52254" s="1"/>
  <c r="Q88" i="52254" s="1"/>
  <c r="J83" i="52254"/>
  <c r="O83" i="52254"/>
  <c r="T83" i="52254" s="1"/>
  <c r="Q83" i="52254" s="1"/>
  <c r="J80" i="52254"/>
  <c r="O80" i="52254"/>
  <c r="T80" i="52254" s="1"/>
  <c r="Q80" i="52254" s="1"/>
  <c r="J79" i="52254"/>
  <c r="O79" i="52254"/>
  <c r="T79" i="52254" s="1"/>
  <c r="Q79" i="52254" s="1"/>
  <c r="J36" i="52256"/>
  <c r="O36" i="52256" s="1"/>
  <c r="J166" i="52254"/>
  <c r="O166" i="52254"/>
  <c r="T166" i="52254" s="1"/>
  <c r="Q166" i="52254" s="1"/>
  <c r="J177" i="52254"/>
  <c r="O177" i="52254"/>
  <c r="T177" i="52254" s="1"/>
  <c r="Q177" i="52254" s="1"/>
  <c r="J183" i="52254"/>
  <c r="O183" i="52254"/>
  <c r="T183" i="52254" s="1"/>
  <c r="Q183" i="52254" s="1"/>
  <c r="J179" i="52254"/>
  <c r="O179" i="52254"/>
  <c r="T179" i="52254" s="1"/>
  <c r="Q179" i="52254" s="1"/>
  <c r="J164" i="52254"/>
  <c r="O164" i="52254"/>
  <c r="T164" i="52254" s="1"/>
  <c r="Q164" i="52254" s="1"/>
  <c r="J160" i="52254"/>
  <c r="O160" i="52254"/>
  <c r="T160" i="52254" s="1"/>
  <c r="Q160" i="52254" s="1"/>
  <c r="J34" i="52256"/>
  <c r="O34" i="52256" s="1"/>
  <c r="J156" i="52254"/>
  <c r="O156" i="52254"/>
  <c r="T156" i="52254" s="1"/>
  <c r="Q156" i="52254" s="1"/>
  <c r="J150" i="52254"/>
  <c r="O150" i="52254"/>
  <c r="T150" i="52254" s="1"/>
  <c r="Q150" i="52254" s="1"/>
  <c r="I131" i="52254"/>
  <c r="J128" i="52254"/>
  <c r="O128" i="52254"/>
  <c r="T128" i="52254" s="1"/>
  <c r="Q128" i="52254" s="1"/>
  <c r="J23" i="52256"/>
  <c r="O23" i="52256" s="1"/>
  <c r="J101" i="52254"/>
  <c r="O101" i="52254"/>
  <c r="T101" i="52254" s="1"/>
  <c r="Q101" i="52254" s="1"/>
  <c r="J87" i="52254"/>
  <c r="O87" i="52254"/>
  <c r="T87" i="52254" s="1"/>
  <c r="Q87" i="52254" s="1"/>
  <c r="J85" i="52254"/>
  <c r="O85" i="52254"/>
  <c r="T85" i="52254" s="1"/>
  <c r="Q85" i="52254" s="1"/>
  <c r="J143" i="52254"/>
  <c r="O143" i="52254"/>
  <c r="T143" i="52254" s="1"/>
  <c r="Q143" i="52254" s="1"/>
  <c r="J25" i="52256"/>
  <c r="O25" i="52256" s="1"/>
  <c r="J111" i="52254"/>
  <c r="O111" i="52254"/>
  <c r="T111" i="52254" s="1"/>
  <c r="Q111" i="52254" s="1"/>
  <c r="J180" i="52254"/>
  <c r="O180" i="52254"/>
  <c r="T180" i="52254" s="1"/>
  <c r="Q180" i="52254" s="1"/>
  <c r="J184" i="52254"/>
  <c r="O184" i="52254"/>
  <c r="T184" i="52254" s="1"/>
  <c r="Q184" i="52254" s="1"/>
  <c r="J178" i="52254"/>
  <c r="O178" i="52254"/>
  <c r="T178" i="52254" s="1"/>
  <c r="Q178" i="52254" s="1"/>
  <c r="J172" i="52254"/>
  <c r="O172" i="52254"/>
  <c r="T172" i="52254" s="1"/>
  <c r="Q172" i="52254" s="1"/>
  <c r="J167" i="52254"/>
  <c r="O167" i="52254"/>
  <c r="T167" i="52254" s="1"/>
  <c r="Q167" i="52254" s="1"/>
  <c r="J159" i="52254"/>
  <c r="O159" i="52254"/>
  <c r="T159" i="52254" s="1"/>
  <c r="Q159" i="52254" s="1"/>
  <c r="J155" i="52254"/>
  <c r="O155" i="52254"/>
  <c r="T155" i="52254" s="1"/>
  <c r="Q155" i="52254" s="1"/>
  <c r="J152" i="52254"/>
  <c r="O152" i="52254"/>
  <c r="T152" i="52254" s="1"/>
  <c r="Q152" i="52254" s="1"/>
  <c r="J32" i="52256"/>
  <c r="O32" i="52256" s="1"/>
  <c r="J146" i="52254"/>
  <c r="O146" i="52254"/>
  <c r="T146" i="52254" s="1"/>
  <c r="Q146" i="52254" s="1"/>
  <c r="I138" i="52254"/>
  <c r="I135" i="52254"/>
  <c r="I130" i="52254"/>
  <c r="J119" i="52254"/>
  <c r="O119" i="52254"/>
  <c r="T119" i="52254" s="1"/>
  <c r="Q119" i="52254" s="1"/>
  <c r="I115" i="52254"/>
  <c r="J103" i="52254"/>
  <c r="O103" i="52254"/>
  <c r="T103" i="52254" s="1"/>
  <c r="Q103" i="52254" s="1"/>
  <c r="J22" i="52256"/>
  <c r="O22" i="52256" s="1"/>
  <c r="J96" i="52254"/>
  <c r="O96" i="52254"/>
  <c r="T96" i="52254" s="1"/>
  <c r="Q96" i="52254" s="1"/>
  <c r="J21" i="52256"/>
  <c r="O21" i="52256" s="1"/>
  <c r="J91" i="52254"/>
  <c r="O91" i="52254"/>
  <c r="T91" i="52254" s="1"/>
  <c r="Q91" i="52254" s="1"/>
  <c r="J89" i="52254"/>
  <c r="O89" i="52254"/>
  <c r="T89" i="52254" s="1"/>
  <c r="Q89" i="52254" s="1"/>
  <c r="C64" i="52254"/>
  <c r="J54" i="52254"/>
  <c r="J53" i="52254"/>
  <c r="J56" i="52254"/>
  <c r="I56" i="52254"/>
  <c r="I55" i="52254"/>
  <c r="I52" i="52254"/>
  <c r="K52" i="52254" s="1"/>
  <c r="D23" i="52256" s="1"/>
  <c r="H37" i="52255" s="1"/>
  <c r="I53" i="52254"/>
  <c r="K53" i="52254" s="1"/>
  <c r="D24" i="52256" s="1"/>
  <c r="H38" i="52255" s="1"/>
  <c r="J51" i="52254"/>
  <c r="I51" i="52254"/>
  <c r="K51" i="52254" s="1"/>
  <c r="D22" i="52256" s="1"/>
  <c r="H36" i="52255" s="1"/>
  <c r="I54" i="52254"/>
  <c r="K54" i="52254" s="1"/>
  <c r="D25" i="52256" s="1"/>
  <c r="H39" i="52255" s="1"/>
  <c r="J52" i="52254"/>
  <c r="J55" i="52254"/>
  <c r="H20" i="52256"/>
  <c r="I20" i="52256" s="1"/>
  <c r="M87" i="52254"/>
  <c r="M88" i="52254" s="1"/>
  <c r="M89" i="52254" s="1"/>
  <c r="M90" i="52254" s="1"/>
  <c r="M91" i="52254" s="1"/>
  <c r="O125" i="52254" l="1"/>
  <c r="T125" i="52254" s="1"/>
  <c r="Q125" i="52254" s="1"/>
  <c r="J139" i="52254"/>
  <c r="K55" i="52254"/>
  <c r="D26" i="52256" s="1"/>
  <c r="H40" i="52255" s="1"/>
  <c r="K20" i="52256"/>
  <c r="M20" i="52256" s="1"/>
  <c r="J138" i="52254"/>
  <c r="O138" i="52254"/>
  <c r="T138" i="52254" s="1"/>
  <c r="Q138" i="52254" s="1"/>
  <c r="J28" i="52256"/>
  <c r="O28" i="52256" s="1"/>
  <c r="J126" i="52254"/>
  <c r="O126" i="52254"/>
  <c r="T126" i="52254" s="1"/>
  <c r="Q126" i="52254" s="1"/>
  <c r="J29" i="52256"/>
  <c r="O29" i="52256" s="1"/>
  <c r="J131" i="52254"/>
  <c r="O131" i="52254"/>
  <c r="T131" i="52254" s="1"/>
  <c r="Q131" i="52254" s="1"/>
  <c r="J115" i="52254"/>
  <c r="O115" i="52254"/>
  <c r="T115" i="52254" s="1"/>
  <c r="Q115" i="52254" s="1"/>
  <c r="K56" i="52254"/>
  <c r="T76" i="52254"/>
  <c r="Q76" i="52254" s="1"/>
  <c r="K19" i="52256"/>
  <c r="M19" i="52256" s="1"/>
  <c r="J130" i="52254"/>
  <c r="O130" i="52254"/>
  <c r="T130" i="52254" s="1"/>
  <c r="Q130" i="52254" s="1"/>
  <c r="O18" i="52256"/>
  <c r="K18" i="52256"/>
  <c r="J135" i="52254"/>
  <c r="O135" i="52254"/>
  <c r="T135" i="52254" s="1"/>
  <c r="Q135" i="52254" s="1"/>
  <c r="J132" i="52254"/>
  <c r="O132" i="52254"/>
  <c r="T132" i="52254" s="1"/>
  <c r="Q132" i="52254" s="1"/>
  <c r="M92" i="52254"/>
  <c r="M93" i="52254" s="1"/>
  <c r="M94" i="52254" s="1"/>
  <c r="M95" i="52254" s="1"/>
  <c r="M96" i="52254" s="1"/>
  <c r="H21" i="52256"/>
  <c r="I21" i="52256" s="1"/>
  <c r="K21" i="52256" s="1"/>
  <c r="M21" i="52256" s="1"/>
  <c r="O189" i="52254" l="1"/>
  <c r="O192" i="52254" s="1"/>
  <c r="P192" i="52254" s="1"/>
  <c r="E31" i="2" s="1"/>
  <c r="G31" i="2" s="1"/>
  <c r="G27" i="2" s="1"/>
  <c r="L30" i="52255" s="1"/>
  <c r="P51" i="52254"/>
  <c r="L36" i="52255" s="1"/>
  <c r="D43" i="52256"/>
  <c r="D44" i="52255"/>
  <c r="H58" i="52254"/>
  <c r="M18" i="52256"/>
  <c r="P54" i="52254"/>
  <c r="L39" i="52255" s="1"/>
  <c r="P55" i="52254"/>
  <c r="L40" i="52255" s="1"/>
  <c r="P53" i="52254"/>
  <c r="L38" i="52255" s="1"/>
  <c r="P52" i="52254"/>
  <c r="L37" i="52255" s="1"/>
  <c r="M97" i="52254"/>
  <c r="M98" i="52254" s="1"/>
  <c r="M99" i="52254" s="1"/>
  <c r="M100" i="52254" s="1"/>
  <c r="M101" i="52254" s="1"/>
  <c r="H22" i="52256"/>
  <c r="I22" i="52256" s="1"/>
  <c r="K22" i="52256" s="1"/>
  <c r="M22" i="52256" s="1"/>
  <c r="K41" i="52256" l="1"/>
  <c r="O191" i="52254"/>
  <c r="P189" i="52254"/>
  <c r="P191" i="52254" s="1"/>
  <c r="E30" i="2" s="1"/>
  <c r="G30" i="2" s="1"/>
  <c r="O190" i="52254"/>
  <c r="P190" i="52254" s="1"/>
  <c r="E27" i="2" s="1"/>
  <c r="D17" i="52256"/>
  <c r="H31" i="52255" s="1"/>
  <c r="L31" i="52255" s="1"/>
  <c r="D18" i="52256"/>
  <c r="H32" i="52255" s="1"/>
  <c r="L32" i="52255" s="1"/>
  <c r="D16" i="52256"/>
  <c r="H30" i="52255" s="1"/>
  <c r="M41" i="52256"/>
  <c r="N18" i="52256" s="1"/>
  <c r="N19" i="52256" s="1"/>
  <c r="N20" i="52256" s="1"/>
  <c r="N21" i="52256" s="1"/>
  <c r="N22" i="52256" s="1"/>
  <c r="L18" i="52256"/>
  <c r="L19" i="52256" s="1"/>
  <c r="L20" i="52256" s="1"/>
  <c r="L21" i="52256" s="1"/>
  <c r="L22" i="52256" s="1"/>
  <c r="H23" i="52256"/>
  <c r="I23" i="52256" s="1"/>
  <c r="K23" i="52256" s="1"/>
  <c r="M23" i="52256" s="1"/>
  <c r="M102" i="52254"/>
  <c r="M103" i="52254" s="1"/>
  <c r="M104" i="52254" s="1"/>
  <c r="M105" i="52254" s="1"/>
  <c r="M106" i="52254" s="1"/>
  <c r="N23" i="52256" l="1"/>
  <c r="M107" i="52254"/>
  <c r="M108" i="52254" s="1"/>
  <c r="M109" i="52254" s="1"/>
  <c r="M110" i="52254" s="1"/>
  <c r="M111" i="52254" s="1"/>
  <c r="H24" i="52256"/>
  <c r="I24" i="52256" s="1"/>
  <c r="K24" i="52256" s="1"/>
  <c r="L23" i="52256"/>
  <c r="L24" i="52256" l="1"/>
  <c r="M112" i="52254"/>
  <c r="M113" i="52254" s="1"/>
  <c r="M114" i="52254" s="1"/>
  <c r="M115" i="52254" s="1"/>
  <c r="M116" i="52254" s="1"/>
  <c r="H25" i="52256"/>
  <c r="I25" i="52256" s="1"/>
  <c r="K25" i="52256" s="1"/>
  <c r="M25" i="52256" s="1"/>
  <c r="M24" i="52256"/>
  <c r="N24" i="52256" s="1"/>
  <c r="H26" i="52256" l="1"/>
  <c r="I26" i="52256" s="1"/>
  <c r="K26" i="52256" s="1"/>
  <c r="M26" i="52256" s="1"/>
  <c r="M117" i="52254"/>
  <c r="M118" i="52254" s="1"/>
  <c r="M119" i="52254" s="1"/>
  <c r="M120" i="52254" s="1"/>
  <c r="M121" i="52254" s="1"/>
  <c r="N25" i="52256"/>
  <c r="L25" i="52256"/>
  <c r="L26" i="52256" l="1"/>
  <c r="N26" i="52256"/>
  <c r="M122" i="52254"/>
  <c r="M123" i="52254" s="1"/>
  <c r="M124" i="52254" s="1"/>
  <c r="M125" i="52254" s="1"/>
  <c r="M126" i="52254" s="1"/>
  <c r="H27" i="52256"/>
  <c r="I27" i="52256" s="1"/>
  <c r="K27" i="52256" s="1"/>
  <c r="H28" i="52256" l="1"/>
  <c r="I28" i="52256" s="1"/>
  <c r="K28" i="52256" s="1"/>
  <c r="M28" i="52256" s="1"/>
  <c r="M127" i="52254"/>
  <c r="M128" i="52254" s="1"/>
  <c r="M129" i="52254" s="1"/>
  <c r="M130" i="52254" s="1"/>
  <c r="M131" i="52254" s="1"/>
  <c r="M27" i="52256"/>
  <c r="N27" i="52256" s="1"/>
  <c r="L27" i="52256"/>
  <c r="L28" i="52256" l="1"/>
  <c r="M132" i="52254"/>
  <c r="M133" i="52254" s="1"/>
  <c r="M134" i="52254" s="1"/>
  <c r="M135" i="52254" s="1"/>
  <c r="M136" i="52254" s="1"/>
  <c r="H29" i="52256"/>
  <c r="I29" i="52256" s="1"/>
  <c r="K29" i="52256" s="1"/>
  <c r="M29" i="52256" s="1"/>
  <c r="N28" i="52256"/>
  <c r="L29" i="52256" l="1"/>
  <c r="N29" i="52256"/>
  <c r="M137" i="52254"/>
  <c r="M138" i="52254" s="1"/>
  <c r="M139" i="52254" s="1"/>
  <c r="M140" i="52254" s="1"/>
  <c r="M141" i="52254" s="1"/>
  <c r="H30" i="52256"/>
  <c r="I30" i="52256" s="1"/>
  <c r="K30" i="52256" s="1"/>
  <c r="M30" i="52256" s="1"/>
  <c r="N30" i="52256" l="1"/>
  <c r="M142" i="52254"/>
  <c r="M143" i="52254" s="1"/>
  <c r="M144" i="52254" s="1"/>
  <c r="M145" i="52254" s="1"/>
  <c r="M146" i="52254" s="1"/>
  <c r="H31" i="52256"/>
  <c r="I31" i="52256" s="1"/>
  <c r="K31" i="52256" s="1"/>
  <c r="M31" i="52256" s="1"/>
  <c r="L30" i="52256"/>
  <c r="N31" i="52256" l="1"/>
  <c r="M147" i="52254"/>
  <c r="M148" i="52254" s="1"/>
  <c r="M149" i="52254" s="1"/>
  <c r="M150" i="52254" s="1"/>
  <c r="M151" i="52254" s="1"/>
  <c r="H32" i="52256"/>
  <c r="I32" i="52256" s="1"/>
  <c r="K32" i="52256" s="1"/>
  <c r="M32" i="52256" s="1"/>
  <c r="L31" i="52256"/>
  <c r="N32" i="52256" l="1"/>
  <c r="H33" i="52256"/>
  <c r="I33" i="52256" s="1"/>
  <c r="K33" i="52256" s="1"/>
  <c r="M33" i="52256" s="1"/>
  <c r="M152" i="52254"/>
  <c r="M153" i="52254" s="1"/>
  <c r="M154" i="52254" s="1"/>
  <c r="M155" i="52254" s="1"/>
  <c r="M156" i="52254" s="1"/>
  <c r="L32" i="52256"/>
  <c r="N33" i="52256" l="1"/>
  <c r="L33" i="52256"/>
  <c r="H34" i="52256"/>
  <c r="I34" i="52256" s="1"/>
  <c r="K34" i="52256" s="1"/>
  <c r="M157" i="52254"/>
  <c r="M158" i="52254" s="1"/>
  <c r="M159" i="52254" s="1"/>
  <c r="M160" i="52254" s="1"/>
  <c r="M161" i="52254" s="1"/>
  <c r="M34" i="52256" l="1"/>
  <c r="N34" i="52256" s="1"/>
  <c r="L34" i="52256"/>
  <c r="M162" i="52254"/>
  <c r="M163" i="52254" s="1"/>
  <c r="M164" i="52254" s="1"/>
  <c r="M165" i="52254" s="1"/>
  <c r="M166" i="52254" s="1"/>
  <c r="H35" i="52256"/>
  <c r="I35" i="52256" s="1"/>
  <c r="K35" i="52256" s="1"/>
  <c r="M35" i="52256" s="1"/>
  <c r="H36" i="52256" l="1"/>
  <c r="I36" i="52256" s="1"/>
  <c r="K36" i="52256" s="1"/>
  <c r="M36" i="52256" s="1"/>
  <c r="M167" i="52254"/>
  <c r="M168" i="52254" s="1"/>
  <c r="M169" i="52254" s="1"/>
  <c r="M170" i="52254" s="1"/>
  <c r="M171" i="52254" s="1"/>
  <c r="N35" i="52256"/>
  <c r="L35" i="52256"/>
  <c r="N36" i="52256" l="1"/>
  <c r="L36" i="52256"/>
  <c r="H37" i="52256"/>
  <c r="I37" i="52256" s="1"/>
  <c r="K37" i="52256" s="1"/>
  <c r="M37" i="52256" s="1"/>
  <c r="M172" i="52254"/>
  <c r="M173" i="52254" s="1"/>
  <c r="M174" i="52254" s="1"/>
  <c r="M175" i="52254" s="1"/>
  <c r="M176" i="52254" s="1"/>
  <c r="N37" i="52256" l="1"/>
  <c r="M177" i="52254"/>
  <c r="M178" i="52254" s="1"/>
  <c r="M179" i="52254" s="1"/>
  <c r="M180" i="52254" s="1"/>
  <c r="M181" i="52254" s="1"/>
  <c r="H38" i="52256"/>
  <c r="I38" i="52256" s="1"/>
  <c r="K38" i="52256" s="1"/>
  <c r="L37" i="52256"/>
  <c r="L38" i="52256" l="1"/>
  <c r="M182" i="52254"/>
  <c r="M183" i="52254" s="1"/>
  <c r="M184" i="52254" s="1"/>
  <c r="M185" i="52254" s="1"/>
  <c r="M186" i="52254" s="1"/>
  <c r="H40" i="52256" s="1"/>
  <c r="H39" i="52256"/>
  <c r="M38" i="52256"/>
  <c r="N38" i="52256" s="1"/>
  <c r="I40" i="52256" l="1"/>
  <c r="K40" i="52256" s="1"/>
  <c r="M40" i="52256" s="1"/>
  <c r="I39" i="52256"/>
  <c r="K39" i="52256" s="1"/>
  <c r="M39" i="52256" l="1"/>
  <c r="N39" i="52256" s="1"/>
  <c r="N40" i="52256" s="1"/>
  <c r="L39" i="52256"/>
  <c r="L40" i="52256" s="1"/>
</calcChain>
</file>

<file path=xl/sharedStrings.xml><?xml version="1.0" encoding="utf-8"?>
<sst xmlns="http://schemas.openxmlformats.org/spreadsheetml/2006/main" count="770" uniqueCount="300">
  <si>
    <t>mm</t>
  </si>
  <si>
    <t>Capaciteit</t>
  </si>
  <si>
    <t>°C</t>
  </si>
  <si>
    <t>m/s</t>
  </si>
  <si>
    <t>druk</t>
  </si>
  <si>
    <t>[%]</t>
  </si>
  <si>
    <t>Druk</t>
  </si>
  <si>
    <t>Temperatuur</t>
  </si>
  <si>
    <t>Nm³/s</t>
  </si>
  <si>
    <t>Nm³/h</t>
  </si>
  <si>
    <t>INVOER</t>
  </si>
  <si>
    <t>bar(abs)</t>
  </si>
  <si>
    <t>mbar(g)</t>
  </si>
  <si>
    <t>Performance berekening Van Tongeren Cycloon.</t>
  </si>
  <si>
    <t>soortelijke massa</t>
  </si>
  <si>
    <t>kg/Nm³</t>
  </si>
  <si>
    <t>kg/am³</t>
  </si>
  <si>
    <t>kg/m³</t>
  </si>
  <si>
    <t>Stofaanbod</t>
  </si>
  <si>
    <t>stofaanbod</t>
  </si>
  <si>
    <t>g/am³</t>
  </si>
  <si>
    <t>g/Nm³</t>
  </si>
  <si>
    <t>Cycloontype</t>
  </si>
  <si>
    <t>AC</t>
  </si>
  <si>
    <t>Datum:</t>
  </si>
  <si>
    <t>VTK ref.:</t>
  </si>
  <si>
    <t>Klant ref.:</t>
  </si>
  <si>
    <t>Klant:</t>
  </si>
  <si>
    <t xml:space="preserve">Aantal cyclonen </t>
  </si>
  <si>
    <t>(parallel)</t>
  </si>
  <si>
    <t>V(in) ontwerp</t>
  </si>
  <si>
    <t>Aanbevolen diameter:</t>
  </si>
  <si>
    <t>KIES DIAMETER</t>
  </si>
  <si>
    <t>Eventuele correctie</t>
  </si>
  <si>
    <t>Hoge belading</t>
  </si>
  <si>
    <t>Neen</t>
  </si>
  <si>
    <t>Ja</t>
  </si>
  <si>
    <r>
      <t>Dia[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m]</t>
    </r>
  </si>
  <si>
    <t>% &gt; of&lt; D</t>
  </si>
  <si>
    <t>V(in)</t>
  </si>
  <si>
    <t>V(uit)</t>
  </si>
  <si>
    <t>Rendement</t>
  </si>
  <si>
    <t>Drukval</t>
  </si>
  <si>
    <t>Emissie</t>
  </si>
  <si>
    <t>[g/Nm³]</t>
  </si>
  <si>
    <t>Pa (abs)</t>
  </si>
  <si>
    <r>
      <t>am</t>
    </r>
    <r>
      <rPr>
        <vertAlign val="superscript"/>
        <sz val="10"/>
        <rFont val="Arial"/>
        <family val="2"/>
      </rPr>
      <t>³</t>
    </r>
    <r>
      <rPr>
        <sz val="10"/>
        <rFont val="Arial"/>
        <family val="2"/>
      </rPr>
      <t>/s</t>
    </r>
  </si>
  <si>
    <r>
      <t>am</t>
    </r>
    <r>
      <rPr>
        <vertAlign val="superscript"/>
        <sz val="10"/>
        <rFont val="Arial"/>
        <family val="2"/>
      </rPr>
      <t>³</t>
    </r>
    <r>
      <rPr>
        <sz val="10"/>
        <rFont val="Arial"/>
        <family val="2"/>
      </rPr>
      <t>/h</t>
    </r>
  </si>
  <si>
    <t>am³/s</t>
  </si>
  <si>
    <r>
      <t>r</t>
    </r>
    <r>
      <rPr>
        <sz val="10"/>
        <rFont val="Arial"/>
        <family val="2"/>
      </rPr>
      <t>(actual)/</t>
    </r>
    <r>
      <rPr>
        <sz val="10"/>
        <rFont val="Symbol"/>
        <family val="1"/>
        <charset val="2"/>
      </rPr>
      <t>r</t>
    </r>
    <r>
      <rPr>
        <sz val="10"/>
        <rFont val="Arial"/>
        <family val="2"/>
      </rPr>
      <t>(norm)</t>
    </r>
  </si>
  <si>
    <t>% dalend of stijgend</t>
  </si>
  <si>
    <t>Cycloondiameter</t>
  </si>
  <si>
    <t>corr</t>
  </si>
  <si>
    <t>F(mod)</t>
  </si>
  <si>
    <t>[vernauwing insteekpijp]</t>
  </si>
  <si>
    <t>Berekeningsblad</t>
  </si>
  <si>
    <t xml:space="preserve">  </t>
  </si>
  <si>
    <t>kg/h</t>
  </si>
  <si>
    <t>am³/s:</t>
  </si>
  <si>
    <t>850 onderafz</t>
  </si>
  <si>
    <t>1850 onderafz</t>
  </si>
  <si>
    <t>Pa  (g)</t>
  </si>
  <si>
    <t>mm wk(g)</t>
  </si>
  <si>
    <t>A</t>
  </si>
  <si>
    <t>B</t>
  </si>
  <si>
    <t>E</t>
  </si>
  <si>
    <t>F</t>
  </si>
  <si>
    <t>F1</t>
  </si>
  <si>
    <t>L</t>
  </si>
  <si>
    <t>AC/100</t>
  </si>
  <si>
    <t>a</t>
  </si>
  <si>
    <t>a'</t>
  </si>
  <si>
    <t>d(%), µm</t>
  </si>
  <si>
    <t>m</t>
  </si>
  <si>
    <t>d(95)</t>
  </si>
  <si>
    <t>m'</t>
  </si>
  <si>
    <t>d(90)</t>
  </si>
  <si>
    <t>kappa</t>
  </si>
  <si>
    <t>d(50)</t>
  </si>
  <si>
    <t>kappa'</t>
  </si>
  <si>
    <t>d(10)</t>
  </si>
  <si>
    <t>d(5)</t>
  </si>
  <si>
    <t>Dmax</t>
  </si>
  <si>
    <t>drukcoef</t>
  </si>
  <si>
    <t>[Pa],gaszijde</t>
  </si>
  <si>
    <t>[Pa], stofzijde</t>
  </si>
  <si>
    <t>per cycloon</t>
  </si>
  <si>
    <t>Dmin</t>
  </si>
  <si>
    <t>stap</t>
  </si>
  <si>
    <t>d</t>
  </si>
  <si>
    <t>k</t>
  </si>
  <si>
    <t>psdcum</t>
  </si>
  <si>
    <t>% &gt;d</t>
  </si>
  <si>
    <t>d(1)</t>
  </si>
  <si>
    <t>d(2)</t>
  </si>
  <si>
    <t>p(1)</t>
  </si>
  <si>
    <t>p(2)</t>
  </si>
  <si>
    <t>teller</t>
  </si>
  <si>
    <t xml:space="preserve">teller </t>
  </si>
  <si>
    <t>interpolatie</t>
  </si>
  <si>
    <t>psd dif</t>
  </si>
  <si>
    <t>[kg/am3]</t>
  </si>
  <si>
    <t>load</t>
  </si>
  <si>
    <t>correctie</t>
  </si>
  <si>
    <t>Gasdebiet/batterij</t>
  </si>
  <si>
    <t>Temperature</t>
  </si>
  <si>
    <t>Pressure</t>
  </si>
  <si>
    <t>[°C]</t>
  </si>
  <si>
    <t>[Nm³/s] =</t>
  </si>
  <si>
    <t>[Nm³/h]</t>
  </si>
  <si>
    <t>[am³/h]</t>
  </si>
  <si>
    <t>[am³/s] =</t>
  </si>
  <si>
    <t>Gas density</t>
  </si>
  <si>
    <t>[kg/am³]=</t>
  </si>
  <si>
    <t>[mPas]</t>
  </si>
  <si>
    <t>Solids density</t>
  </si>
  <si>
    <t>Solids loading</t>
  </si>
  <si>
    <t>[g/am³]=</t>
  </si>
  <si>
    <t>[kg/m³]</t>
  </si>
  <si>
    <t xml:space="preserve">Cyclone type </t>
  </si>
  <si>
    <t>V(out)</t>
  </si>
  <si>
    <t>[mm]</t>
  </si>
  <si>
    <t>[m/s]</t>
  </si>
  <si>
    <t>Vortexfinder modification</t>
  </si>
  <si>
    <t>DIMENSIONS [mm]</t>
  </si>
  <si>
    <t>M</t>
  </si>
  <si>
    <t>O</t>
  </si>
  <si>
    <t>P</t>
  </si>
  <si>
    <t>Q</t>
  </si>
  <si>
    <t>PERFORMANCE</t>
  </si>
  <si>
    <t>Efficiency</t>
  </si>
  <si>
    <t>Emission</t>
  </si>
  <si>
    <t>[Pa]</t>
  </si>
  <si>
    <r>
      <t>[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m]</t>
    </r>
  </si>
  <si>
    <t>diameter</t>
  </si>
  <si>
    <t xml:space="preserve">class </t>
  </si>
  <si>
    <t>psd cum</t>
  </si>
  <si>
    <t>psd diff</t>
  </si>
  <si>
    <t>% of feed</t>
  </si>
  <si>
    <t>loss abs</t>
  </si>
  <si>
    <t>abs</t>
  </si>
  <si>
    <t>sum:</t>
  </si>
  <si>
    <t>[kg/Nm³]</t>
  </si>
  <si>
    <t>No. of cyclones parallel</t>
  </si>
  <si>
    <t>[g/am³]</t>
  </si>
  <si>
    <t>inlet-dust</t>
  </si>
  <si>
    <t>z</t>
  </si>
  <si>
    <t>???</t>
  </si>
  <si>
    <r>
      <t>standaard:</t>
    </r>
    <r>
      <rPr>
        <i/>
        <sz val="10"/>
        <rFont val="Arial"/>
        <family val="2"/>
      </rPr>
      <t xml:space="preserve"> Neen</t>
    </r>
  </si>
  <si>
    <t>Volume flow rate (tot).</t>
  </si>
  <si>
    <t>tot:</t>
  </si>
  <si>
    <t>Dyn. viscositeit gas</t>
  </si>
  <si>
    <t>Dynamic viscosity</t>
  </si>
  <si>
    <t>Pressure drop</t>
  </si>
  <si>
    <t>Insteekpijpmodificatie</t>
  </si>
  <si>
    <t>JA/NEE</t>
  </si>
  <si>
    <t>kg/s.cycl</t>
  </si>
  <si>
    <r>
      <t>F</t>
    </r>
    <r>
      <rPr>
        <sz val="10"/>
        <rFont val="Arial"/>
        <family val="2"/>
      </rPr>
      <t>/(F</t>
    </r>
    <r>
      <rPr>
        <vertAlign val="subscript"/>
        <sz val="10"/>
        <rFont val="Arial"/>
        <family val="2"/>
      </rPr>
      <t>std</t>
    </r>
    <r>
      <rPr>
        <sz val="10"/>
        <rFont val="Arial"/>
        <family val="2"/>
      </rPr>
      <t>);</t>
    </r>
    <r>
      <rPr>
        <sz val="8"/>
        <rFont val="Arial"/>
        <family val="2"/>
      </rPr>
      <t>gebruikelijk:1; voor AC</t>
    </r>
    <r>
      <rPr>
        <u/>
        <sz val="8"/>
        <rFont val="Arial"/>
        <family val="2"/>
      </rPr>
      <t>&lt;</t>
    </r>
    <r>
      <rPr>
        <sz val="8"/>
        <rFont val="Arial"/>
        <family val="2"/>
      </rPr>
      <t>435 evt.getal tussen 0.8 en 1)</t>
    </r>
  </si>
  <si>
    <t>RELEASE: 3 september 2002/hcg</t>
  </si>
  <si>
    <t xml:space="preserve"> Client</t>
  </si>
  <si>
    <t xml:space="preserve"> Client ref.</t>
  </si>
  <si>
    <t xml:space="preserve"> Date</t>
  </si>
  <si>
    <t xml:space="preserve"> VTK ref.</t>
  </si>
  <si>
    <t>L =</t>
  </si>
  <si>
    <t>M =</t>
  </si>
  <si>
    <t>O =</t>
  </si>
  <si>
    <t>P =</t>
  </si>
  <si>
    <t>Q =</t>
  </si>
  <si>
    <t>0.625P =</t>
  </si>
  <si>
    <t>F   =</t>
  </si>
  <si>
    <t>E   =</t>
  </si>
  <si>
    <t>B   =</t>
  </si>
  <si>
    <t>A   =</t>
  </si>
  <si>
    <t>D   =</t>
  </si>
  <si>
    <t>G   =</t>
  </si>
  <si>
    <r>
      <t>F1</t>
    </r>
    <r>
      <rPr>
        <sz val="4"/>
        <rFont val="Arial"/>
        <family val="2"/>
      </rPr>
      <t xml:space="preserve">      </t>
    </r>
    <r>
      <rPr>
        <sz val="10"/>
        <rFont val="Arial"/>
        <family val="2"/>
      </rPr>
      <t>=</t>
    </r>
  </si>
  <si>
    <t xml:space="preserve"> By</t>
  </si>
  <si>
    <t xml:space="preserve"> Release</t>
  </si>
  <si>
    <t>Cyclone cylinder dia.</t>
  </si>
  <si>
    <t>- inlet to gas outlet</t>
  </si>
  <si>
    <t>- inlet to dust outlet</t>
  </si>
  <si>
    <t>Door :</t>
  </si>
  <si>
    <t>feed</t>
  </si>
  <si>
    <t>loss</t>
  </si>
  <si>
    <t>catch</t>
  </si>
  <si>
    <t>grade</t>
  </si>
  <si>
    <t>efficiency</t>
  </si>
  <si>
    <t>Load effect</t>
  </si>
  <si>
    <t>INVOER IN STANDAARD EENHEDEN</t>
  </si>
  <si>
    <t>BEREKENING DRUKVAL</t>
  </si>
  <si>
    <t>Pa</t>
  </si>
  <si>
    <t>PERFORMANCE CYCLOON</t>
  </si>
  <si>
    <t>d [μm]</t>
  </si>
  <si>
    <t>ROSIN RAMMLER CURVE DOOR TWEE DICHTSTBIJGELEGEN PUNTEN</t>
  </si>
  <si>
    <t>Loss totaal</t>
  </si>
  <si>
    <t>GEFRACTIONEERDE VERLIESCURVE</t>
  </si>
  <si>
    <t>GEFRACTIONEERDE DEELTJESGROOTTEVERDELING DOOR INTERPOLATIE</t>
  </si>
  <si>
    <t>weerst.coeff dust</t>
  </si>
  <si>
    <t>gecorrigeerd voor vernauwing insteekpijp</t>
  </si>
  <si>
    <r>
      <t>loss=1 --&gt; d=m</t>
    </r>
    <r>
      <rPr>
        <sz val="9"/>
        <rFont val="Arial"/>
        <family val="2"/>
      </rPr>
      <t>·K</t>
    </r>
  </si>
  <si>
    <t>BEPALING K-WAARDE &amp; CORRECTIEFACTOREN</t>
  </si>
  <si>
    <t>fmod</t>
  </si>
  <si>
    <t>correctie insteekpijp:</t>
  </si>
  <si>
    <t>fractie &gt;d</t>
  </si>
  <si>
    <t>if d&lt;dcrit</t>
  </si>
  <si>
    <t>if d&gt;dcrit</t>
  </si>
  <si>
    <t>d gem / K</t>
  </si>
  <si>
    <t>loss_corr</t>
  </si>
  <si>
    <t>ZONDER EN MET CORRECTIE VOOR STOFBELADING</t>
  </si>
  <si>
    <t>d gem [μm]</t>
  </si>
  <si>
    <t>VAN TONGEREN STANDAARD CYCLOONAFMETINGEN  EN BASIS-VERLIESCURVEN</t>
  </si>
  <si>
    <t>inlet-gas</t>
  </si>
  <si>
    <t>850*</t>
  </si>
  <si>
    <t>1850*</t>
  </si>
  <si>
    <t>* met onderafzuiging</t>
  </si>
  <si>
    <t>f</t>
  </si>
  <si>
    <t>f1</t>
  </si>
  <si>
    <t>f2</t>
  </si>
  <si>
    <t>f3</t>
  </si>
  <si>
    <t>f4</t>
  </si>
  <si>
    <t>CORRECTIONS: 11 october 2010/gvg</t>
  </si>
  <si>
    <t>K (Stokes)</t>
  </si>
  <si>
    <t>K</t>
  </si>
  <si>
    <t>als d&lt;dcrit</t>
  </si>
  <si>
    <t>als d&gt;dcrit</t>
  </si>
  <si>
    <t>d/K(crit)</t>
  </si>
  <si>
    <t>correctie stofbelading vlgs VT-UK:</t>
  </si>
  <si>
    <t>%</t>
  </si>
  <si>
    <t>abs [%]</t>
  </si>
  <si>
    <t>*</t>
  </si>
  <si>
    <t>HULPTABEL KORRELGROOTTEVERDELING</t>
  </si>
  <si>
    <t>Deze wordt gebruikt voor het opstellen van de gefractioneerde</t>
  </si>
  <si>
    <t>Controleer of de Rosin Rammler verdeling een niet te extreme interpolatie / extrapolatie</t>
  </si>
  <si>
    <t>overall</t>
  </si>
  <si>
    <t>tbv grafiek</t>
  </si>
  <si>
    <t>som psd dif:</t>
  </si>
  <si>
    <t>stapgrootte bij 110-staps logaritmische verdeling van het</t>
  </si>
  <si>
    <t>deeltjesdiameter-bereik van loss=100% tot 0,00000001%</t>
  </si>
  <si>
    <t>De restfractie &gt; Dmax op basis van de Rosin-Rammler verdeling heeft een verlies gelijk aan nul.</t>
  </si>
  <si>
    <t>verliescurve.</t>
  </si>
  <si>
    <t>Het theoretisch laagst mogelijke verlies van deze berekeningsmethode bedraagt hierdoor 100% x 0,0000001=0,00001%</t>
  </si>
  <si>
    <t>De fout (overschatting) in de berekening is veel kleiner dan de fout die doorwerkt vanuit de basisverliescurven.</t>
  </si>
  <si>
    <t>μm are not relevant for calculation of cyclone efficiency. Grade efficiency for these particles is 100 %</t>
  </si>
  <si>
    <t>Check</t>
  </si>
  <si>
    <t>(verlies van fractie &gt; Dmax) / (totale verlies) =</t>
  </si>
  <si>
    <t>Per deeltjesgroottefractie wordt het gemiddelde verlies bepaald a.h.v. de verliescurve</t>
  </si>
  <si>
    <t>en de ongewogen gemiddelde deeltjesgrootte.</t>
  </si>
  <si>
    <t>van de ingevoerde deeltjesgrootteverdeling betreft --&gt; grafiek</t>
  </si>
  <si>
    <t>Correctie hoge belading</t>
  </si>
  <si>
    <t>Niet gebruikte vakjes blanco laten</t>
  </si>
  <si>
    <t>g/Nm3</t>
  </si>
  <si>
    <t>De Rosin Rammler PSD is een interpretatie van de invoergegevens.</t>
  </si>
  <si>
    <t>μm are lost. Grade efficiency for these particles is 0 %</t>
  </si>
  <si>
    <t>catch [%]</t>
  </si>
  <si>
    <t>DETAIL RESULTS*</t>
  </si>
  <si>
    <t>Notes:</t>
  </si>
  <si>
    <r>
      <t>Siz</t>
    </r>
    <r>
      <rPr>
        <sz val="10"/>
        <rFont val="Arial"/>
        <family val="2"/>
      </rPr>
      <t>e fractions &gt;</t>
    </r>
  </si>
  <si>
    <r>
      <t>Siz</t>
    </r>
    <r>
      <rPr>
        <sz val="10"/>
        <rFont val="Arial"/>
        <family val="2"/>
      </rPr>
      <t>e fractions &lt;</t>
    </r>
  </si>
  <si>
    <t>Table results are included for illustration purposes. Actual calculations underlying presented emission results are more accurate.</t>
  </si>
  <si>
    <t>viscositeit @ 70C en 25?%RH</t>
  </si>
  <si>
    <t>?</t>
  </si>
  <si>
    <t>Verlies van eerste trap</t>
  </si>
  <si>
    <t>Cycloontype AC</t>
  </si>
  <si>
    <t>-</t>
  </si>
  <si>
    <t>TRAP 1</t>
  </si>
  <si>
    <t>TRAP 2</t>
  </si>
  <si>
    <t>BEREKENINGSINFO</t>
  </si>
  <si>
    <r>
      <t xml:space="preserve">mPas </t>
    </r>
    <r>
      <rPr>
        <sz val="8"/>
        <rFont val="Arial"/>
        <family val="2"/>
      </rPr>
      <t>of</t>
    </r>
    <r>
      <rPr>
        <sz val="10"/>
        <rFont val="Arial"/>
        <family val="2"/>
      </rPr>
      <t xml:space="preserve"> cP</t>
    </r>
  </si>
  <si>
    <t>KORRELGROOTTEVERDELING</t>
  </si>
  <si>
    <t>Dichtheid gas</t>
  </si>
  <si>
    <t>Deeltjesdichtheid</t>
  </si>
  <si>
    <t>TOTAL</t>
  </si>
  <si>
    <t>lucht bij 20° waarde: 0.0181</t>
  </si>
  <si>
    <t>particle density aardappeleiwit</t>
  </si>
  <si>
    <t>genormaliseerd</t>
  </si>
  <si>
    <t>psdcum [%]</t>
  </si>
  <si>
    <t>PERFORMANCE STAGE 1</t>
  </si>
  <si>
    <t>PERFORMANCE STAGE 2</t>
  </si>
  <si>
    <t>PERFORMANCE TOTAL</t>
  </si>
  <si>
    <t>Minimale deeltjesgrootte voor trap 2</t>
  </si>
  <si>
    <t>Deeltjesgrootteverdeling van trap 1</t>
  </si>
  <si>
    <t>μm are lost. Grade efficiency of stage 2 for these particles is 0 %</t>
  </si>
  <si>
    <t>Check in the graph if the calculated Rosin Rammler distribution matches given particle size distribution.</t>
  </si>
  <si>
    <t>Gebaseerd op minimale deeltjesgrootte voor trap 2</t>
  </si>
  <si>
    <t>μm are not relevant for calculation of cyclone efficiency. Grade efficiency of stage 2 for these particles is 100 %</t>
  </si>
  <si>
    <t>STAGE 1</t>
  </si>
  <si>
    <t>STAGE 2</t>
  </si>
  <si>
    <t>abs [g/Nm3]</t>
  </si>
  <si>
    <t>in</t>
  </si>
  <si>
    <t>total grade</t>
  </si>
  <si>
    <t>eff. stage 1&amp;2</t>
  </si>
  <si>
    <t>TOTAL PERFORMANCE TRAP 1 &amp; 2</t>
  </si>
  <si>
    <t>2e trap toegevoegd: 19-3-2014/gvg (NOG NIET GECONTROLEERD)</t>
  </si>
  <si>
    <t>CYCLONE PERFORMANCE 1st STAGE</t>
  </si>
  <si>
    <t>CYCLONE PERFORMANCE 2nd STAGE</t>
  </si>
  <si>
    <t>CYCLONE PERFORMANCE 1st + 2nd STAGE</t>
  </si>
  <si>
    <t>mag niet 0% of 100% zijn</t>
  </si>
  <si>
    <t>Cargill</t>
  </si>
  <si>
    <t>GP</t>
  </si>
  <si>
    <t>Maltodextrine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</si>
</sst>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"/>
    <numFmt numFmtId="166" formatCode="0.000"/>
    <numFmt numFmtId="167" formatCode="0.00000"/>
    <numFmt numFmtId="168" formatCode="dd/mm/yy"/>
    <numFmt numFmtId="169" formatCode="0.0000E+00"/>
    <numFmt numFmtId="170" formatCode="_-* #,##0.00000_-;\-* #,##0.00000_-;_-* &quot;-&quot;??_-;_-@_-"/>
  </numFmts>
  <fonts count="30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Helv"/>
    </font>
    <font>
      <sz val="10"/>
      <color indexed="12"/>
      <name val="Arial"/>
      <family val="2"/>
    </font>
    <font>
      <b/>
      <sz val="10"/>
      <name val="Arial"/>
      <family val="2"/>
    </font>
    <font>
      <vertAlign val="superscript"/>
      <sz val="10"/>
      <name val="Arial"/>
      <family val="2"/>
    </font>
    <font>
      <sz val="10"/>
      <name val="Symbol"/>
      <family val="1"/>
      <charset val="2"/>
    </font>
    <font>
      <sz val="8"/>
      <name val="Arial"/>
      <family val="2"/>
    </font>
    <font>
      <u/>
      <sz val="8"/>
      <name val="Arial"/>
      <family val="2"/>
    </font>
    <font>
      <sz val="9"/>
      <name val="Arial"/>
      <family val="2"/>
    </font>
    <font>
      <sz val="9"/>
      <name val="Helv"/>
    </font>
    <font>
      <sz val="10"/>
      <name val="Helv"/>
    </font>
    <font>
      <sz val="10"/>
      <color indexed="10"/>
      <name val="Arial"/>
      <family val="2"/>
    </font>
    <font>
      <sz val="10"/>
      <color indexed="8"/>
      <name val="Arial"/>
      <family val="2"/>
    </font>
    <font>
      <i/>
      <sz val="10"/>
      <name val="Arial"/>
      <family val="2"/>
    </font>
    <font>
      <vertAlign val="subscript"/>
      <sz val="10"/>
      <name val="Arial"/>
      <family val="2"/>
    </font>
    <font>
      <sz val="8"/>
      <color indexed="8"/>
      <name val="Arial"/>
      <family val="2"/>
    </font>
    <font>
      <sz val="4"/>
      <name val="Arial"/>
      <family val="2"/>
    </font>
    <font>
      <sz val="14"/>
      <name val="Arial"/>
      <family val="2"/>
    </font>
    <font>
      <sz val="9"/>
      <color indexed="8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</fills>
  <borders count="5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0" borderId="0"/>
    <xf numFmtId="0" fontId="4" fillId="0" borderId="0"/>
    <xf numFmtId="0" fontId="1" fillId="0" borderId="0"/>
    <xf numFmtId="43" fontId="29" fillId="0" borderId="0" applyFont="0" applyFill="0" applyBorder="0" applyAlignment="0" applyProtection="0"/>
  </cellStyleXfs>
  <cellXfs count="425">
    <xf numFmtId="0" fontId="0" fillId="0" borderId="0" xfId="0"/>
    <xf numFmtId="0" fontId="0" fillId="0" borderId="0" xfId="0" applyFill="1" applyBorder="1" applyAlignment="1"/>
    <xf numFmtId="0" fontId="0" fillId="0" borderId="0" xfId="0" applyFill="1" applyAlignment="1">
      <alignment horizontal="right"/>
    </xf>
    <xf numFmtId="0" fontId="0" fillId="0" borderId="0" xfId="0" applyAlignment="1"/>
    <xf numFmtId="0" fontId="0" fillId="0" borderId="0" xfId="0" applyFill="1" applyAlignment="1"/>
    <xf numFmtId="0" fontId="0" fillId="0" borderId="1" xfId="0" applyBorder="1"/>
    <xf numFmtId="0" fontId="0" fillId="0" borderId="0" xfId="0" applyBorder="1"/>
    <xf numFmtId="0" fontId="3" fillId="0" borderId="0" xfId="0" applyFont="1" applyBorder="1"/>
    <xf numFmtId="166" fontId="0" fillId="0" borderId="0" xfId="0" applyNumberFormat="1" applyBorder="1"/>
    <xf numFmtId="0" fontId="6" fillId="0" borderId="0" xfId="0" applyFont="1"/>
    <xf numFmtId="0" fontId="0" fillId="0" borderId="2" xfId="0" applyFill="1" applyBorder="1" applyAlignment="1"/>
    <xf numFmtId="0" fontId="0" fillId="0" borderId="3" xfId="0" applyBorder="1"/>
    <xf numFmtId="0" fontId="0" fillId="0" borderId="4" xfId="0" applyBorder="1"/>
    <xf numFmtId="0" fontId="0" fillId="0" borderId="3" xfId="0" applyFill="1" applyBorder="1" applyAlignment="1"/>
    <xf numFmtId="0" fontId="0" fillId="0" borderId="4" xfId="0" applyFill="1" applyBorder="1" applyAlignment="1"/>
    <xf numFmtId="0" fontId="0" fillId="0" borderId="5" xfId="0" applyFill="1" applyBorder="1" applyAlignment="1"/>
    <xf numFmtId="0" fontId="0" fillId="0" borderId="5" xfId="0" applyBorder="1"/>
    <xf numFmtId="0" fontId="6" fillId="0" borderId="0" xfId="0" applyFont="1" applyBorder="1"/>
    <xf numFmtId="0" fontId="0" fillId="2" borderId="6" xfId="0" applyFill="1" applyBorder="1"/>
    <xf numFmtId="0" fontId="0" fillId="2" borderId="1" xfId="0" applyFill="1" applyBorder="1"/>
    <xf numFmtId="0" fontId="0" fillId="2" borderId="7" xfId="0" applyFill="1" applyBorder="1"/>
    <xf numFmtId="0" fontId="6" fillId="2" borderId="8" xfId="0" applyFont="1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8" xfId="0" applyFill="1" applyBorder="1"/>
    <xf numFmtId="0" fontId="0" fillId="2" borderId="2" xfId="0" applyFill="1" applyBorder="1" applyAlignment="1"/>
    <xf numFmtId="0" fontId="0" fillId="2" borderId="0" xfId="0" applyFill="1" applyBorder="1" applyAlignment="1"/>
    <xf numFmtId="0" fontId="0" fillId="2" borderId="11" xfId="0" applyFill="1" applyBorder="1" applyAlignment="1"/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0" borderId="0" xfId="0" applyBorder="1" applyAlignment="1"/>
    <xf numFmtId="0" fontId="11" fillId="0" borderId="0" xfId="0" applyFont="1" applyAlignment="1" applyProtection="1">
      <alignment horizontal="left"/>
    </xf>
    <xf numFmtId="0" fontId="11" fillId="0" borderId="0" xfId="0" applyFont="1" applyProtection="1"/>
    <xf numFmtId="0" fontId="11" fillId="0" borderId="6" xfId="0" applyFont="1" applyBorder="1" applyProtection="1"/>
    <xf numFmtId="0" fontId="11" fillId="0" borderId="1" xfId="0" applyFont="1" applyBorder="1" applyProtection="1"/>
    <xf numFmtId="0" fontId="11" fillId="0" borderId="0" xfId="0" applyFont="1" applyBorder="1" applyProtection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0" fontId="0" fillId="0" borderId="12" xfId="0" applyBorder="1"/>
    <xf numFmtId="0" fontId="0" fillId="0" borderId="14" xfId="0" applyBorder="1"/>
    <xf numFmtId="0" fontId="11" fillId="0" borderId="0" xfId="2" applyFont="1" applyProtection="1"/>
    <xf numFmtId="0" fontId="11" fillId="0" borderId="8" xfId="0" applyFont="1" applyBorder="1" applyAlignment="1" applyProtection="1">
      <alignment horizontal="left"/>
    </xf>
    <xf numFmtId="0" fontId="11" fillId="0" borderId="8" xfId="0" applyFont="1" applyBorder="1" applyProtection="1"/>
    <xf numFmtId="0" fontId="0" fillId="0" borderId="13" xfId="0" applyBorder="1"/>
    <xf numFmtId="0" fontId="11" fillId="0" borderId="14" xfId="0" applyFont="1" applyBorder="1" applyProtection="1"/>
    <xf numFmtId="0" fontId="0" fillId="0" borderId="8" xfId="0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" xfId="0" applyBorder="1" applyAlignment="1">
      <alignment horizontal="right"/>
    </xf>
    <xf numFmtId="166" fontId="0" fillId="0" borderId="0" xfId="0" applyNumberFormat="1"/>
    <xf numFmtId="2" fontId="0" fillId="0" borderId="0" xfId="0" applyNumberFormat="1" applyBorder="1"/>
    <xf numFmtId="1" fontId="0" fillId="0" borderId="0" xfId="0" applyNumberFormat="1" applyBorder="1"/>
    <xf numFmtId="0" fontId="0" fillId="0" borderId="1" xfId="0" applyBorder="1" applyAlignment="1">
      <alignment horizontal="left"/>
    </xf>
    <xf numFmtId="0" fontId="0" fillId="0" borderId="16" xfId="0" applyBorder="1" applyAlignment="1">
      <alignment horizontal="center"/>
    </xf>
    <xf numFmtId="165" fontId="0" fillId="0" borderId="17" xfId="0" applyNumberFormat="1" applyBorder="1"/>
    <xf numFmtId="164" fontId="0" fillId="0" borderId="0" xfId="0" applyNumberFormat="1" applyBorder="1"/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6" fontId="0" fillId="0" borderId="20" xfId="0" applyNumberFormat="1" applyBorder="1"/>
    <xf numFmtId="0" fontId="0" fillId="2" borderId="0" xfId="0" quotePrefix="1" applyFill="1" applyBorder="1" applyAlignment="1"/>
    <xf numFmtId="0" fontId="16" fillId="2" borderId="0" xfId="0" applyFont="1" applyFill="1" applyBorder="1" applyAlignment="1"/>
    <xf numFmtId="0" fontId="16" fillId="2" borderId="0" xfId="0" applyFont="1" applyFill="1" applyBorder="1"/>
    <xf numFmtId="0" fontId="3" fillId="2" borderId="0" xfId="0" applyFont="1" applyFill="1" applyBorder="1" applyAlignment="1"/>
    <xf numFmtId="11" fontId="0" fillId="0" borderId="0" xfId="0" applyNumberFormat="1" applyFill="1" applyBorder="1" applyAlignment="1"/>
    <xf numFmtId="11" fontId="0" fillId="0" borderId="0" xfId="0" applyNumberFormat="1" applyAlignment="1"/>
    <xf numFmtId="11" fontId="0" fillId="0" borderId="0" xfId="0" applyNumberFormat="1"/>
    <xf numFmtId="0" fontId="0" fillId="0" borderId="9" xfId="0" applyBorder="1"/>
    <xf numFmtId="0" fontId="0" fillId="0" borderId="21" xfId="0" applyBorder="1"/>
    <xf numFmtId="0" fontId="0" fillId="0" borderId="10" xfId="0" applyBorder="1"/>
    <xf numFmtId="164" fontId="0" fillId="0" borderId="14" xfId="0" applyNumberFormat="1" applyBorder="1"/>
    <xf numFmtId="0" fontId="6" fillId="0" borderId="22" xfId="0" applyFont="1" applyBorder="1" applyProtection="1">
      <protection locked="0"/>
    </xf>
    <xf numFmtId="0" fontId="0" fillId="0" borderId="23" xfId="0" applyBorder="1" applyProtection="1">
      <protection locked="0"/>
    </xf>
    <xf numFmtId="0" fontId="0" fillId="0" borderId="3" xfId="0" applyBorder="1" applyProtection="1">
      <protection locked="0"/>
    </xf>
    <xf numFmtId="0" fontId="3" fillId="0" borderId="24" xfId="0" applyFon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25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26" xfId="0" applyBorder="1" applyProtection="1">
      <protection locked="0"/>
    </xf>
    <xf numFmtId="166" fontId="0" fillId="0" borderId="27" xfId="0" applyNumberFormat="1" applyFill="1" applyBorder="1" applyProtection="1">
      <protection locked="0"/>
    </xf>
    <xf numFmtId="0" fontId="0" fillId="0" borderId="22" xfId="0" applyBorder="1" applyProtection="1">
      <protection locked="0"/>
    </xf>
    <xf numFmtId="0" fontId="3" fillId="0" borderId="26" xfId="0" applyFont="1" applyBorder="1" applyProtection="1">
      <protection locked="0"/>
    </xf>
    <xf numFmtId="0" fontId="0" fillId="0" borderId="27" xfId="0" applyBorder="1" applyProtection="1">
      <protection locked="0"/>
    </xf>
    <xf numFmtId="0" fontId="3" fillId="0" borderId="0" xfId="0" applyFont="1" applyBorder="1" applyProtection="1">
      <protection locked="0"/>
    </xf>
    <xf numFmtId="0" fontId="6" fillId="0" borderId="0" xfId="0" applyFont="1" applyBorder="1" applyProtection="1">
      <protection locked="0"/>
    </xf>
    <xf numFmtId="166" fontId="0" fillId="0" borderId="0" xfId="0" applyNumberFormat="1" applyFill="1" applyBorder="1" applyProtection="1">
      <protection locked="0"/>
    </xf>
    <xf numFmtId="0" fontId="0" fillId="0" borderId="0" xfId="0" applyFill="1" applyAlignment="1" applyProtection="1">
      <protection locked="0"/>
    </xf>
    <xf numFmtId="0" fontId="0" fillId="0" borderId="0" xfId="0" applyFill="1" applyBorder="1" applyAlignment="1" applyProtection="1">
      <protection locked="0"/>
    </xf>
    <xf numFmtId="166" fontId="0" fillId="0" borderId="0" xfId="0" applyNumberFormat="1" applyBorder="1" applyProtection="1">
      <protection locked="0"/>
    </xf>
    <xf numFmtId="0" fontId="0" fillId="0" borderId="0" xfId="0" applyProtection="1">
      <protection locked="0"/>
    </xf>
    <xf numFmtId="0" fontId="14" fillId="3" borderId="26" xfId="0" applyFont="1" applyFill="1" applyBorder="1" applyProtection="1">
      <protection locked="0"/>
    </xf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1" fontId="0" fillId="0" borderId="31" xfId="0" applyNumberFormat="1" applyBorder="1"/>
    <xf numFmtId="0" fontId="0" fillId="0" borderId="32" xfId="0" applyBorder="1"/>
    <xf numFmtId="0" fontId="0" fillId="0" borderId="30" xfId="0" applyBorder="1" applyAlignment="1">
      <alignment horizontal="center"/>
    </xf>
    <xf numFmtId="0" fontId="0" fillId="0" borderId="33" xfId="0" applyBorder="1" applyAlignment="1">
      <alignment horizontal="center"/>
    </xf>
    <xf numFmtId="165" fontId="0" fillId="0" borderId="34" xfId="0" applyNumberFormat="1" applyBorder="1"/>
    <xf numFmtId="0" fontId="15" fillId="0" borderId="6" xfId="0" applyFont="1" applyBorder="1" applyAlignment="1">
      <alignment vertical="center"/>
    </xf>
    <xf numFmtId="0" fontId="15" fillId="0" borderId="1" xfId="0" applyFont="1" applyBorder="1" applyAlignment="1">
      <alignment vertical="center"/>
    </xf>
    <xf numFmtId="0" fontId="15" fillId="0" borderId="1" xfId="0" applyFont="1" applyBorder="1" applyAlignment="1" applyProtection="1">
      <alignment horizontal="left" vertical="center"/>
    </xf>
    <xf numFmtId="0" fontId="15" fillId="0" borderId="8" xfId="0" applyFont="1" applyBorder="1" applyAlignment="1" applyProtection="1">
      <alignment horizontal="left" vertical="center"/>
    </xf>
    <xf numFmtId="0" fontId="15" fillId="0" borderId="0" xfId="0" applyFont="1" applyBorder="1" applyAlignment="1">
      <alignment vertical="center"/>
    </xf>
    <xf numFmtId="0" fontId="15" fillId="0" borderId="0" xfId="0" applyFont="1" applyBorder="1" applyAlignment="1" applyProtection="1">
      <alignment horizontal="left" vertical="center"/>
    </xf>
    <xf numFmtId="0" fontId="18" fillId="0" borderId="0" xfId="0" applyFont="1" applyBorder="1" applyAlignment="1" applyProtection="1">
      <alignment horizontal="centerContinuous" vertical="center"/>
      <protection locked="0"/>
    </xf>
    <xf numFmtId="0" fontId="18" fillId="0" borderId="0" xfId="0" quotePrefix="1" applyFont="1" applyBorder="1" applyAlignment="1" applyProtection="1">
      <alignment horizontal="centerContinuous" vertical="center"/>
      <protection locked="0"/>
    </xf>
    <xf numFmtId="0" fontId="15" fillId="0" borderId="0" xfId="0" applyFont="1" applyBorder="1" applyAlignment="1" applyProtection="1">
      <alignment vertical="center"/>
      <protection locked="0"/>
    </xf>
    <xf numFmtId="0" fontId="15" fillId="0" borderId="0" xfId="0" quotePrefix="1" applyFont="1" applyBorder="1" applyAlignment="1" applyProtection="1">
      <alignment horizontal="centerContinuous" vertical="center"/>
      <protection locked="0"/>
    </xf>
    <xf numFmtId="0" fontId="18" fillId="0" borderId="0" xfId="0" applyFont="1" applyBorder="1" applyAlignment="1">
      <alignment vertical="center"/>
    </xf>
    <xf numFmtId="0" fontId="18" fillId="0" borderId="0" xfId="0" quotePrefix="1" applyFont="1" applyBorder="1" applyAlignment="1" applyProtection="1">
      <alignment horizontal="center" vertical="center"/>
      <protection locked="0"/>
    </xf>
    <xf numFmtId="0" fontId="18" fillId="0" borderId="0" xfId="0" applyFont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right"/>
    </xf>
    <xf numFmtId="1" fontId="0" fillId="0" borderId="14" xfId="0" applyNumberFormat="1" applyBorder="1"/>
    <xf numFmtId="0" fontId="15" fillId="0" borderId="35" xfId="0" applyFont="1" applyBorder="1" applyAlignment="1">
      <alignment vertical="center"/>
    </xf>
    <xf numFmtId="0" fontId="15" fillId="0" borderId="36" xfId="0" applyFont="1" applyBorder="1" applyAlignment="1">
      <alignment vertical="center"/>
    </xf>
    <xf numFmtId="0" fontId="15" fillId="0" borderId="37" xfId="0" applyFont="1" applyBorder="1" applyAlignment="1">
      <alignment vertical="center"/>
    </xf>
    <xf numFmtId="167" fontId="0" fillId="0" borderId="0" xfId="0" applyNumberFormat="1" applyBorder="1"/>
    <xf numFmtId="0" fontId="0" fillId="0" borderId="21" xfId="0" applyBorder="1" applyAlignment="1">
      <alignment horizontal="right"/>
    </xf>
    <xf numFmtId="165" fontId="0" fillId="0" borderId="21" xfId="0" applyNumberFormat="1" applyBorder="1"/>
    <xf numFmtId="0" fontId="20" fillId="0" borderId="0" xfId="0" applyFont="1" applyBorder="1" applyAlignment="1" applyProtection="1">
      <alignment horizontal="center" vertical="center"/>
    </xf>
    <xf numFmtId="0" fontId="0" fillId="0" borderId="8" xfId="0" quotePrefix="1" applyBorder="1"/>
    <xf numFmtId="0" fontId="0" fillId="0" borderId="38" xfId="0" quotePrefix="1" applyBorder="1"/>
    <xf numFmtId="0" fontId="15" fillId="0" borderId="12" xfId="0" applyFont="1" applyBorder="1" applyAlignment="1" applyProtection="1">
      <alignment horizontal="left" vertical="center"/>
    </xf>
    <xf numFmtId="0" fontId="15" fillId="0" borderId="14" xfId="0" applyFont="1" applyBorder="1" applyAlignment="1" applyProtection="1">
      <alignment horizontal="left" vertical="center"/>
    </xf>
    <xf numFmtId="0" fontId="15" fillId="0" borderId="14" xfId="0" applyFont="1" applyBorder="1" applyAlignment="1">
      <alignment vertical="center"/>
    </xf>
    <xf numFmtId="0" fontId="0" fillId="0" borderId="0" xfId="0" applyBorder="1" applyAlignment="1">
      <alignment vertical="top"/>
    </xf>
    <xf numFmtId="2" fontId="0" fillId="0" borderId="14" xfId="0" applyNumberFormat="1" applyBorder="1"/>
    <xf numFmtId="165" fontId="0" fillId="0" borderId="0" xfId="0" applyNumberFormat="1" applyBorder="1"/>
    <xf numFmtId="0" fontId="11" fillId="0" borderId="39" xfId="0" applyFont="1" applyBorder="1" applyProtection="1"/>
    <xf numFmtId="0" fontId="11" fillId="0" borderId="0" xfId="0" applyFont="1" applyFill="1" applyBorder="1" applyProtection="1"/>
    <xf numFmtId="0" fontId="11" fillId="0" borderId="14" xfId="0" applyFont="1" applyFill="1" applyBorder="1" applyProtection="1"/>
    <xf numFmtId="0" fontId="21" fillId="0" borderId="14" xfId="0" applyFont="1" applyBorder="1" applyProtection="1"/>
    <xf numFmtId="0" fontId="11" fillId="5" borderId="15" xfId="0" applyFont="1" applyFill="1" applyBorder="1" applyProtection="1"/>
    <xf numFmtId="0" fontId="11" fillId="5" borderId="39" xfId="0" applyFont="1" applyFill="1" applyBorder="1" applyProtection="1"/>
    <xf numFmtId="0" fontId="11" fillId="5" borderId="40" xfId="0" applyFont="1" applyFill="1" applyBorder="1" applyProtection="1"/>
    <xf numFmtId="0" fontId="11" fillId="0" borderId="11" xfId="0" applyFont="1" applyFill="1" applyBorder="1" applyProtection="1"/>
    <xf numFmtId="0" fontId="0" fillId="0" borderId="0" xfId="0" applyFill="1" applyBorder="1"/>
    <xf numFmtId="0" fontId="0" fillId="0" borderId="11" xfId="0" applyFill="1" applyBorder="1"/>
    <xf numFmtId="0" fontId="11" fillId="0" borderId="39" xfId="0" applyFont="1" applyBorder="1" applyAlignment="1" applyProtection="1">
      <alignment horizontal="left"/>
    </xf>
    <xf numFmtId="0" fontId="0" fillId="0" borderId="39" xfId="0" applyBorder="1"/>
    <xf numFmtId="0" fontId="11" fillId="0" borderId="40" xfId="0" applyFont="1" applyBorder="1" applyAlignment="1" applyProtection="1">
      <alignment horizontal="left"/>
    </xf>
    <xf numFmtId="0" fontId="0" fillId="0" borderId="15" xfId="0" applyBorder="1"/>
    <xf numFmtId="0" fontId="11" fillId="0" borderId="21" xfId="0" applyFont="1" applyBorder="1" applyProtection="1"/>
    <xf numFmtId="164" fontId="0" fillId="0" borderId="1" xfId="0" applyNumberFormat="1" applyBorder="1"/>
    <xf numFmtId="0" fontId="0" fillId="5" borderId="2" xfId="0" applyFill="1" applyBorder="1"/>
    <xf numFmtId="0" fontId="11" fillId="0" borderId="2" xfId="0" applyFont="1" applyBorder="1" applyProtection="1"/>
    <xf numFmtId="0" fontId="11" fillId="5" borderId="2" xfId="0" applyFont="1" applyFill="1" applyBorder="1" applyProtection="1"/>
    <xf numFmtId="0" fontId="11" fillId="0" borderId="10" xfId="0" applyFont="1" applyBorder="1" applyProtection="1"/>
    <xf numFmtId="0" fontId="11" fillId="0" borderId="15" xfId="0" applyFont="1" applyFill="1" applyBorder="1" applyProtection="1"/>
    <xf numFmtId="0" fontId="15" fillId="0" borderId="0" xfId="0" applyFont="1" applyFill="1" applyBorder="1"/>
    <xf numFmtId="0" fontId="11" fillId="0" borderId="15" xfId="0" applyFont="1" applyBorder="1" applyAlignment="1" applyProtection="1">
      <alignment horizontal="left"/>
    </xf>
    <xf numFmtId="0" fontId="11" fillId="0" borderId="1" xfId="0" applyFont="1" applyFill="1" applyBorder="1" applyProtection="1"/>
    <xf numFmtId="0" fontId="11" fillId="0" borderId="2" xfId="0" applyFont="1" applyBorder="1" applyAlignment="1" applyProtection="1">
      <alignment horizontal="left"/>
    </xf>
    <xf numFmtId="0" fontId="11" fillId="0" borderId="21" xfId="0" applyFont="1" applyFill="1" applyBorder="1" applyProtection="1"/>
    <xf numFmtId="0" fontId="9" fillId="0" borderId="0" xfId="0" applyFont="1" applyBorder="1" applyAlignment="1">
      <alignment horizontal="center"/>
    </xf>
    <xf numFmtId="0" fontId="0" fillId="5" borderId="21" xfId="0" applyFill="1" applyBorder="1"/>
    <xf numFmtId="0" fontId="6" fillId="5" borderId="9" xfId="0" applyFont="1" applyFill="1" applyBorder="1"/>
    <xf numFmtId="0" fontId="6" fillId="5" borderId="10" xfId="0" applyFont="1" applyFill="1" applyBorder="1"/>
    <xf numFmtId="165" fontId="11" fillId="0" borderId="0" xfId="0" applyNumberFormat="1" applyFont="1" applyBorder="1" applyProtection="1"/>
    <xf numFmtId="0" fontId="11" fillId="0" borderId="11" xfId="0" applyFont="1" applyBorder="1" applyAlignment="1" applyProtection="1">
      <alignment horizontal="left"/>
    </xf>
    <xf numFmtId="0" fontId="0" fillId="0" borderId="0" xfId="0" applyFill="1"/>
    <xf numFmtId="0" fontId="15" fillId="0" borderId="13" xfId="0" applyFont="1" applyFill="1" applyBorder="1"/>
    <xf numFmtId="0" fontId="3" fillId="0" borderId="11" xfId="0" applyFont="1" applyFill="1" applyBorder="1"/>
    <xf numFmtId="2" fontId="0" fillId="0" borderId="12" xfId="0" applyNumberFormat="1" applyBorder="1"/>
    <xf numFmtId="167" fontId="15" fillId="0" borderId="39" xfId="0" applyNumberFormat="1" applyFont="1" applyFill="1" applyBorder="1"/>
    <xf numFmtId="167" fontId="15" fillId="0" borderId="40" xfId="0" applyNumberFormat="1" applyFont="1" applyFill="1" applyBorder="1"/>
    <xf numFmtId="0" fontId="0" fillId="0" borderId="12" xfId="0" applyFill="1" applyBorder="1"/>
    <xf numFmtId="0" fontId="11" fillId="0" borderId="13" xfId="0" applyFont="1" applyFill="1" applyBorder="1" applyProtection="1"/>
    <xf numFmtId="167" fontId="0" fillId="0" borderId="14" xfId="0" applyNumberFormat="1" applyBorder="1"/>
    <xf numFmtId="0" fontId="0" fillId="0" borderId="8" xfId="0" applyFill="1" applyBorder="1" applyProtection="1"/>
    <xf numFmtId="0" fontId="0" fillId="0" borderId="6" xfId="0" applyBorder="1" applyAlignment="1">
      <alignment horizontal="left"/>
    </xf>
    <xf numFmtId="0" fontId="11" fillId="0" borderId="1" xfId="0" applyFont="1" applyBorder="1" applyAlignment="1" applyProtection="1">
      <alignment horizontal="left"/>
    </xf>
    <xf numFmtId="0" fontId="3" fillId="0" borderId="12" xfId="0" applyFont="1" applyBorder="1" applyAlignment="1">
      <alignment horizontal="left"/>
    </xf>
    <xf numFmtId="0" fontId="3" fillId="0" borderId="0" xfId="0" applyFont="1" applyFill="1" applyBorder="1"/>
    <xf numFmtId="167" fontId="15" fillId="0" borderId="0" xfId="0" applyNumberFormat="1" applyFont="1" applyFill="1" applyBorder="1"/>
    <xf numFmtId="0" fontId="15" fillId="0" borderId="1" xfId="0" applyFont="1" applyFill="1" applyBorder="1"/>
    <xf numFmtId="167" fontId="15" fillId="0" borderId="15" xfId="0" applyNumberFormat="1" applyFont="1" applyFill="1" applyBorder="1"/>
    <xf numFmtId="0" fontId="3" fillId="0" borderId="13" xfId="0" applyFont="1" applyFill="1" applyBorder="1"/>
    <xf numFmtId="0" fontId="15" fillId="0" borderId="14" xfId="0" applyFont="1" applyFill="1" applyBorder="1"/>
    <xf numFmtId="0" fontId="0" fillId="0" borderId="14" xfId="0" applyFill="1" applyBorder="1"/>
    <xf numFmtId="0" fontId="0" fillId="0" borderId="0" xfId="0" applyFill="1" applyBorder="1" applyProtection="1"/>
    <xf numFmtId="0" fontId="0" fillId="0" borderId="7" xfId="0" applyFill="1" applyBorder="1"/>
    <xf numFmtId="0" fontId="11" fillId="0" borderId="0" xfId="0" applyFont="1" applyFill="1" applyProtection="1"/>
    <xf numFmtId="0" fontId="0" fillId="0" borderId="6" xfId="0" applyFill="1" applyBorder="1" applyProtection="1"/>
    <xf numFmtId="0" fontId="11" fillId="0" borderId="6" xfId="0" applyFont="1" applyFill="1" applyBorder="1" applyProtection="1"/>
    <xf numFmtId="0" fontId="11" fillId="0" borderId="15" xfId="0" quotePrefix="1" applyFont="1" applyFill="1" applyBorder="1" applyAlignment="1" applyProtection="1">
      <alignment horizontal="center"/>
    </xf>
    <xf numFmtId="0" fontId="3" fillId="0" borderId="6" xfId="0" applyFont="1" applyFill="1" applyBorder="1" applyProtection="1"/>
    <xf numFmtId="0" fontId="13" fillId="0" borderId="8" xfId="0" applyFont="1" applyFill="1" applyBorder="1" applyProtection="1"/>
    <xf numFmtId="0" fontId="11" fillId="0" borderId="8" xfId="0" applyFont="1" applyFill="1" applyBorder="1" applyProtection="1"/>
    <xf numFmtId="2" fontId="11" fillId="0" borderId="6" xfId="0" applyNumberFormat="1" applyFont="1" applyFill="1" applyBorder="1" applyProtection="1"/>
    <xf numFmtId="2" fontId="11" fillId="0" borderId="8" xfId="0" applyNumberFormat="1" applyFont="1" applyFill="1" applyBorder="1" applyProtection="1"/>
    <xf numFmtId="0" fontId="0" fillId="5" borderId="0" xfId="0" applyFill="1" applyBorder="1"/>
    <xf numFmtId="0" fontId="15" fillId="0" borderId="11" xfId="0" applyFont="1" applyFill="1" applyBorder="1"/>
    <xf numFmtId="0" fontId="15" fillId="0" borderId="6" xfId="0" applyFont="1" applyFill="1" applyBorder="1"/>
    <xf numFmtId="0" fontId="15" fillId="0" borderId="7" xfId="0" applyFont="1" applyFill="1" applyBorder="1"/>
    <xf numFmtId="0" fontId="15" fillId="0" borderId="8" xfId="0" applyFont="1" applyFill="1" applyBorder="1"/>
    <xf numFmtId="0" fontId="15" fillId="0" borderId="12" xfId="0" applyFont="1" applyFill="1" applyBorder="1"/>
    <xf numFmtId="2" fontId="11" fillId="0" borderId="15" xfId="0" applyNumberFormat="1" applyFont="1" applyFill="1" applyBorder="1" applyProtection="1"/>
    <xf numFmtId="2" fontId="11" fillId="0" borderId="39" xfId="0" applyNumberFormat="1" applyFont="1" applyFill="1" applyBorder="1" applyProtection="1"/>
    <xf numFmtId="2" fontId="12" fillId="0" borderId="7" xfId="0" applyNumberFormat="1" applyFont="1" applyFill="1" applyBorder="1" applyProtection="1"/>
    <xf numFmtId="2" fontId="12" fillId="0" borderId="11" xfId="0" applyNumberFormat="1" applyFont="1" applyFill="1" applyBorder="1" applyProtection="1"/>
    <xf numFmtId="0" fontId="11" fillId="0" borderId="7" xfId="0" applyFont="1" applyBorder="1" applyProtection="1"/>
    <xf numFmtId="0" fontId="11" fillId="0" borderId="2" xfId="0" applyFont="1" applyFill="1" applyBorder="1" applyProtection="1"/>
    <xf numFmtId="0" fontId="6" fillId="5" borderId="21" xfId="0" applyFont="1" applyFill="1" applyBorder="1"/>
    <xf numFmtId="167" fontId="6" fillId="0" borderId="0" xfId="0" applyNumberFormat="1" applyFont="1"/>
    <xf numFmtId="0" fontId="0" fillId="0" borderId="0" xfId="0" applyAlignment="1">
      <alignment horizontal="right"/>
    </xf>
    <xf numFmtId="0" fontId="6" fillId="5" borderId="2" xfId="0" applyFont="1" applyFill="1" applyBorder="1"/>
    <xf numFmtId="0" fontId="0" fillId="5" borderId="8" xfId="0" applyFill="1" applyBorder="1"/>
    <xf numFmtId="0" fontId="3" fillId="0" borderId="0" xfId="0" applyFont="1" applyAlignment="1" applyProtection="1">
      <alignment horizontal="left"/>
    </xf>
    <xf numFmtId="1" fontId="0" fillId="5" borderId="0" xfId="0" applyNumberFormat="1" applyFill="1" applyBorder="1"/>
    <xf numFmtId="0" fontId="0" fillId="5" borderId="11" xfId="0" applyFill="1" applyBorder="1"/>
    <xf numFmtId="164" fontId="0" fillId="5" borderId="11" xfId="0" applyNumberFormat="1" applyFill="1" applyBorder="1"/>
    <xf numFmtId="0" fontId="8" fillId="0" borderId="7" xfId="0" applyFont="1" applyBorder="1"/>
    <xf numFmtId="169" fontId="0" fillId="5" borderId="39" xfId="0" applyNumberFormat="1" applyFill="1" applyBorder="1"/>
    <xf numFmtId="169" fontId="0" fillId="0" borderId="0" xfId="0" applyNumberFormat="1" applyFill="1" applyBorder="1"/>
    <xf numFmtId="169" fontId="0" fillId="5" borderId="15" xfId="0" applyNumberFormat="1" applyFill="1" applyBorder="1"/>
    <xf numFmtId="169" fontId="0" fillId="5" borderId="40" xfId="0" applyNumberFormat="1" applyFill="1" applyBorder="1"/>
    <xf numFmtId="0" fontId="22" fillId="0" borderId="0" xfId="0" applyFont="1" applyFill="1"/>
    <xf numFmtId="167" fontId="6" fillId="5" borderId="21" xfId="0" applyNumberFormat="1" applyFont="1" applyFill="1" applyBorder="1"/>
    <xf numFmtId="167" fontId="6" fillId="5" borderId="2" xfId="0" applyNumberFormat="1" applyFont="1" applyFill="1" applyBorder="1"/>
    <xf numFmtId="0" fontId="23" fillId="0" borderId="0" xfId="0" applyFont="1"/>
    <xf numFmtId="2" fontId="0" fillId="0" borderId="0" xfId="0" applyNumberFormat="1" applyFill="1" applyBorder="1"/>
    <xf numFmtId="0" fontId="23" fillId="0" borderId="0" xfId="0" applyFont="1" applyFill="1" applyBorder="1"/>
    <xf numFmtId="0" fontId="3" fillId="0" borderId="0" xfId="0" applyFont="1" applyBorder="1" applyAlignment="1">
      <alignment vertical="top"/>
    </xf>
    <xf numFmtId="0" fontId="23" fillId="0" borderId="0" xfId="0" applyFont="1" applyBorder="1"/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166" fontId="0" fillId="0" borderId="8" xfId="0" applyNumberFormat="1" applyBorder="1"/>
    <xf numFmtId="166" fontId="6" fillId="0" borderId="8" xfId="0" applyNumberFormat="1" applyFont="1" applyBorder="1"/>
    <xf numFmtId="165" fontId="0" fillId="0" borderId="1" xfId="0" applyNumberFormat="1" applyBorder="1"/>
    <xf numFmtId="0" fontId="22" fillId="0" borderId="0" xfId="0" applyFont="1" applyBorder="1" applyAlignment="1">
      <alignment horizontal="left"/>
    </xf>
    <xf numFmtId="0" fontId="22" fillId="0" borderId="8" xfId="0" applyFont="1" applyFill="1" applyBorder="1"/>
    <xf numFmtId="0" fontId="22" fillId="0" borderId="12" xfId="0" applyFont="1" applyFill="1" applyBorder="1"/>
    <xf numFmtId="0" fontId="0" fillId="4" borderId="39" xfId="0" applyFill="1" applyBorder="1"/>
    <xf numFmtId="0" fontId="0" fillId="4" borderId="40" xfId="0" applyFill="1" applyBorder="1"/>
    <xf numFmtId="167" fontId="15" fillId="0" borderId="1" xfId="0" applyNumberFormat="1" applyFont="1" applyFill="1" applyBorder="1"/>
    <xf numFmtId="167" fontId="15" fillId="0" borderId="14" xfId="0" applyNumberFormat="1" applyFont="1" applyFill="1" applyBorder="1"/>
    <xf numFmtId="169" fontId="0" fillId="5" borderId="7" xfId="0" applyNumberFormat="1" applyFill="1" applyBorder="1"/>
    <xf numFmtId="169" fontId="0" fillId="5" borderId="11" xfId="0" applyNumberFormat="1" applyFill="1" applyBorder="1"/>
    <xf numFmtId="169" fontId="0" fillId="5" borderId="13" xfId="0" applyNumberFormat="1" applyFill="1" applyBorder="1"/>
    <xf numFmtId="167" fontId="0" fillId="0" borderId="1" xfId="0" applyNumberFormat="1" applyBorder="1"/>
    <xf numFmtId="169" fontId="0" fillId="0" borderId="7" xfId="0" applyNumberFormat="1" applyFill="1" applyBorder="1"/>
    <xf numFmtId="169" fontId="0" fillId="0" borderId="11" xfId="0" applyNumberFormat="1" applyBorder="1"/>
    <xf numFmtId="169" fontId="0" fillId="0" borderId="13" xfId="0" applyNumberFormat="1" applyBorder="1"/>
    <xf numFmtId="169" fontId="0" fillId="0" borderId="7" xfId="0" applyNumberFormat="1" applyBorder="1"/>
    <xf numFmtId="0" fontId="0" fillId="2" borderId="40" xfId="0" applyFill="1" applyBorder="1"/>
    <xf numFmtId="0" fontId="0" fillId="2" borderId="12" xfId="0" quotePrefix="1" applyFill="1" applyBorder="1"/>
    <xf numFmtId="0" fontId="0" fillId="0" borderId="40" xfId="0" applyBorder="1"/>
    <xf numFmtId="0" fontId="0" fillId="2" borderId="21" xfId="0" applyFill="1" applyBorder="1"/>
    <xf numFmtId="165" fontId="22" fillId="0" borderId="17" xfId="0" applyNumberFormat="1" applyFont="1" applyBorder="1"/>
    <xf numFmtId="0" fontId="0" fillId="2" borderId="7" xfId="0" applyFill="1" applyBorder="1" applyProtection="1">
      <protection locked="0"/>
    </xf>
    <xf numFmtId="0" fontId="5" fillId="2" borderId="0" xfId="0" applyFont="1" applyFill="1" applyBorder="1" applyAlignment="1"/>
    <xf numFmtId="1" fontId="0" fillId="0" borderId="0" xfId="0" applyNumberFormat="1" applyBorder="1" applyAlignment="1">
      <alignment vertical="top"/>
    </xf>
    <xf numFmtId="2" fontId="0" fillId="0" borderId="0" xfId="0" applyNumberFormat="1" applyBorder="1" applyAlignment="1">
      <alignment vertical="top"/>
    </xf>
    <xf numFmtId="0" fontId="2" fillId="0" borderId="0" xfId="0" applyFont="1"/>
    <xf numFmtId="0" fontId="2" fillId="0" borderId="0" xfId="0" applyFont="1" applyAlignment="1">
      <alignment horizontal="right"/>
    </xf>
    <xf numFmtId="0" fontId="24" fillId="0" borderId="0" xfId="0" applyFont="1"/>
    <xf numFmtId="0" fontId="2" fillId="2" borderId="8" xfId="0" applyFont="1" applyFill="1" applyBorder="1"/>
    <xf numFmtId="0" fontId="0" fillId="6" borderId="0" xfId="0" applyFill="1" applyBorder="1" applyAlignment="1"/>
    <xf numFmtId="0" fontId="0" fillId="6" borderId="0" xfId="0" applyFill="1"/>
    <xf numFmtId="0" fontId="2" fillId="2" borderId="0" xfId="0" quotePrefix="1" applyFont="1" applyFill="1" applyBorder="1"/>
    <xf numFmtId="0" fontId="6" fillId="2" borderId="0" xfId="0" applyFont="1" applyFill="1" applyBorder="1" applyAlignment="1">
      <alignment horizontal="center"/>
    </xf>
    <xf numFmtId="0" fontId="2" fillId="2" borderId="0" xfId="0" applyFont="1" applyFill="1" applyBorder="1" applyAlignment="1"/>
    <xf numFmtId="0" fontId="0" fillId="6" borderId="0" xfId="0" applyFill="1" applyBorder="1"/>
    <xf numFmtId="0" fontId="2" fillId="2" borderId="0" xfId="0" quotePrefix="1" applyFont="1" applyFill="1" applyBorder="1" applyAlignment="1"/>
    <xf numFmtId="0" fontId="6" fillId="2" borderId="9" xfId="0" applyFont="1" applyFill="1" applyBorder="1"/>
    <xf numFmtId="1" fontId="0" fillId="0" borderId="25" xfId="0" applyNumberFormat="1" applyBorder="1" applyProtection="1">
      <protection locked="0"/>
    </xf>
    <xf numFmtId="0" fontId="0" fillId="0" borderId="24" xfId="0" applyBorder="1" applyProtection="1">
      <protection locked="0"/>
    </xf>
    <xf numFmtId="0" fontId="0" fillId="0" borderId="4" xfId="0" applyBorder="1" applyAlignment="1" applyProtection="1">
      <protection locked="0"/>
    </xf>
    <xf numFmtId="0" fontId="6" fillId="0" borderId="24" xfId="0" applyFont="1" applyBorder="1" applyProtection="1">
      <protection locked="0"/>
    </xf>
    <xf numFmtId="0" fontId="8" fillId="0" borderId="22" xfId="0" applyFont="1" applyBorder="1" applyProtection="1">
      <protection locked="0"/>
    </xf>
    <xf numFmtId="0" fontId="8" fillId="0" borderId="26" xfId="0" applyFont="1" applyBorder="1" applyProtection="1">
      <protection locked="0"/>
    </xf>
    <xf numFmtId="0" fontId="0" fillId="0" borderId="50" xfId="0" applyBorder="1" applyAlignment="1"/>
    <xf numFmtId="166" fontId="0" fillId="0" borderId="25" xfId="0" applyNumberFormat="1" applyFill="1" applyBorder="1" applyAlignment="1"/>
    <xf numFmtId="166" fontId="0" fillId="0" borderId="51" xfId="0" applyNumberFormat="1" applyFill="1" applyBorder="1" applyAlignment="1"/>
    <xf numFmtId="0" fontId="25" fillId="0" borderId="15" xfId="0" applyFont="1" applyBorder="1"/>
    <xf numFmtId="0" fontId="25" fillId="0" borderId="39" xfId="0" applyFont="1" applyBorder="1"/>
    <xf numFmtId="0" fontId="25" fillId="0" borderId="40" xfId="0" applyFont="1" applyBorder="1"/>
    <xf numFmtId="166" fontId="0" fillId="2" borderId="0" xfId="0" applyNumberFormat="1" applyFill="1" applyBorder="1"/>
    <xf numFmtId="0" fontId="24" fillId="2" borderId="0" xfId="0" applyFont="1" applyFill="1" applyBorder="1" applyAlignment="1"/>
    <xf numFmtId="0" fontId="0" fillId="4" borderId="11" xfId="0" applyFill="1" applyBorder="1" applyProtection="1">
      <protection locked="0"/>
    </xf>
    <xf numFmtId="1" fontId="0" fillId="2" borderId="11" xfId="0" applyNumberFormat="1" applyFill="1" applyBorder="1"/>
    <xf numFmtId="0" fontId="16" fillId="2" borderId="11" xfId="0" applyFont="1" applyFill="1" applyBorder="1" applyAlignment="1"/>
    <xf numFmtId="0" fontId="0" fillId="2" borderId="8" xfId="0" applyFill="1" applyBorder="1" applyAlignment="1"/>
    <xf numFmtId="0" fontId="0" fillId="2" borderId="11" xfId="0" quotePrefix="1" applyFill="1" applyBorder="1" applyAlignment="1"/>
    <xf numFmtId="164" fontId="0" fillId="2" borderId="11" xfId="0" applyNumberFormat="1" applyFill="1" applyBorder="1" applyAlignment="1"/>
    <xf numFmtId="166" fontId="0" fillId="6" borderId="11" xfId="0" applyNumberFormat="1" applyFill="1" applyBorder="1" applyAlignment="1"/>
    <xf numFmtId="0" fontId="0" fillId="2" borderId="12" xfId="0" applyFill="1" applyBorder="1" applyAlignment="1"/>
    <xf numFmtId="0" fontId="0" fillId="4" borderId="8" xfId="0" applyFill="1" applyBorder="1" applyProtection="1">
      <protection locked="0"/>
    </xf>
    <xf numFmtId="1" fontId="0" fillId="2" borderId="8" xfId="0" applyNumberFormat="1" applyFill="1" applyBorder="1"/>
    <xf numFmtId="0" fontId="16" fillId="2" borderId="8" xfId="0" applyFont="1" applyFill="1" applyBorder="1" applyAlignment="1"/>
    <xf numFmtId="164" fontId="0" fillId="2" borderId="8" xfId="0" applyNumberFormat="1" applyFill="1" applyBorder="1"/>
    <xf numFmtId="166" fontId="0" fillId="2" borderId="8" xfId="0" applyNumberFormat="1" applyFill="1" applyBorder="1"/>
    <xf numFmtId="0" fontId="6" fillId="2" borderId="6" xfId="0" applyFont="1" applyFill="1" applyBorder="1"/>
    <xf numFmtId="0" fontId="0" fillId="6" borderId="14" xfId="0" applyFill="1" applyBorder="1"/>
    <xf numFmtId="0" fontId="2" fillId="2" borderId="6" xfId="0" applyFont="1" applyFill="1" applyBorder="1"/>
    <xf numFmtId="0" fontId="6" fillId="2" borderId="6" xfId="0" applyFont="1" applyFill="1" applyBorder="1" applyAlignment="1">
      <alignment horizontal="right"/>
    </xf>
    <xf numFmtId="0" fontId="6" fillId="2" borderId="7" xfId="0" applyFont="1" applyFill="1" applyBorder="1" applyAlignment="1">
      <alignment horizontal="right"/>
    </xf>
    <xf numFmtId="0" fontId="26" fillId="5" borderId="2" xfId="0" applyFont="1" applyFill="1" applyBorder="1"/>
    <xf numFmtId="165" fontId="27" fillId="0" borderId="0" xfId="0" applyNumberFormat="1" applyFont="1" applyBorder="1" applyProtection="1"/>
    <xf numFmtId="167" fontId="26" fillId="5" borderId="2" xfId="0" applyNumberFormat="1" applyFont="1" applyFill="1" applyBorder="1"/>
    <xf numFmtId="11" fontId="24" fillId="0" borderId="0" xfId="0" applyNumberFormat="1" applyFont="1"/>
    <xf numFmtId="166" fontId="25" fillId="2" borderId="12" xfId="0" applyNumberFormat="1" applyFont="1" applyFill="1" applyBorder="1" applyAlignment="1"/>
    <xf numFmtId="166" fontId="25" fillId="2" borderId="8" xfId="0" applyNumberFormat="1" applyFont="1" applyFill="1" applyBorder="1" applyAlignment="1"/>
    <xf numFmtId="1" fontId="25" fillId="2" borderId="8" xfId="0" applyNumberFormat="1" applyFont="1" applyFill="1" applyBorder="1" applyAlignment="1"/>
    <xf numFmtId="1" fontId="0" fillId="6" borderId="11" xfId="0" applyNumberFormat="1" applyFill="1" applyBorder="1" applyAlignment="1"/>
    <xf numFmtId="166" fontId="0" fillId="6" borderId="11" xfId="0" applyNumberFormat="1" applyFill="1" applyBorder="1"/>
    <xf numFmtId="166" fontId="0" fillId="6" borderId="13" xfId="0" applyNumberFormat="1" applyFill="1" applyBorder="1"/>
    <xf numFmtId="165" fontId="25" fillId="2" borderId="8" xfId="0" applyNumberFormat="1" applyFont="1" applyFill="1" applyBorder="1" applyAlignment="1"/>
    <xf numFmtId="165" fontId="0" fillId="2" borderId="0" xfId="0" applyNumberFormat="1" applyFill="1" applyBorder="1"/>
    <xf numFmtId="165" fontId="0" fillId="6" borderId="11" xfId="0" applyNumberFormat="1" applyFill="1" applyBorder="1"/>
    <xf numFmtId="0" fontId="6" fillId="2" borderId="15" xfId="0" applyFont="1" applyFill="1" applyBorder="1" applyAlignment="1">
      <alignment horizontal="center"/>
    </xf>
    <xf numFmtId="0" fontId="0" fillId="4" borderId="39" xfId="0" applyFill="1" applyBorder="1" applyProtection="1">
      <protection locked="0"/>
    </xf>
    <xf numFmtId="0" fontId="0" fillId="4" borderId="40" xfId="0" applyFill="1" applyBorder="1" applyProtection="1">
      <protection locked="0"/>
    </xf>
    <xf numFmtId="0" fontId="26" fillId="2" borderId="0" xfId="0" applyFont="1" applyFill="1" applyBorder="1" applyAlignment="1">
      <alignment horizontal="center"/>
    </xf>
    <xf numFmtId="0" fontId="6" fillId="6" borderId="0" xfId="0" applyFont="1" applyFill="1" applyBorder="1" applyAlignment="1">
      <alignment horizontal="center"/>
    </xf>
    <xf numFmtId="166" fontId="0" fillId="2" borderId="11" xfId="0" applyNumberFormat="1" applyFill="1" applyBorder="1"/>
    <xf numFmtId="166" fontId="0" fillId="2" borderId="13" xfId="0" applyNumberFormat="1" applyFill="1" applyBorder="1"/>
    <xf numFmtId="0" fontId="0" fillId="6" borderId="6" xfId="0" applyFill="1" applyBorder="1"/>
    <xf numFmtId="165" fontId="0" fillId="6" borderId="7" xfId="0" applyNumberFormat="1" applyFill="1" applyBorder="1"/>
    <xf numFmtId="169" fontId="0" fillId="0" borderId="0" xfId="0" applyNumberFormat="1" applyBorder="1"/>
    <xf numFmtId="169" fontId="0" fillId="0" borderId="1" xfId="0" applyNumberFormat="1" applyBorder="1"/>
    <xf numFmtId="169" fontId="0" fillId="0" borderId="14" xfId="0" applyNumberFormat="1" applyBorder="1"/>
    <xf numFmtId="0" fontId="0" fillId="0" borderId="6" xfId="0" applyFill="1" applyBorder="1"/>
    <xf numFmtId="0" fontId="25" fillId="0" borderId="6" xfId="0" applyFont="1" applyBorder="1"/>
    <xf numFmtId="0" fontId="25" fillId="0" borderId="8" xfId="0" applyFont="1" applyBorder="1"/>
    <xf numFmtId="0" fontId="25" fillId="0" borderId="12" xfId="0" applyFont="1" applyBorder="1"/>
    <xf numFmtId="169" fontId="25" fillId="0" borderId="8" xfId="0" applyNumberFormat="1" applyFont="1" applyFill="1" applyBorder="1"/>
    <xf numFmtId="169" fontId="0" fillId="0" borderId="8" xfId="0" applyNumberFormat="1" applyFill="1" applyBorder="1"/>
    <xf numFmtId="169" fontId="0" fillId="0" borderId="12" xfId="0" applyNumberFormat="1" applyFill="1" applyBorder="1"/>
    <xf numFmtId="0" fontId="2" fillId="0" borderId="0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0" fillId="0" borderId="1" xfId="0" applyFill="1" applyBorder="1"/>
    <xf numFmtId="0" fontId="2" fillId="0" borderId="1" xfId="0" applyFont="1" applyBorder="1"/>
    <xf numFmtId="0" fontId="2" fillId="0" borderId="14" xfId="0" applyFont="1" applyFill="1" applyBorder="1"/>
    <xf numFmtId="169" fontId="25" fillId="0" borderId="6" xfId="0" applyNumberFormat="1" applyFont="1" applyFill="1" applyBorder="1"/>
    <xf numFmtId="169" fontId="0" fillId="0" borderId="6" xfId="0" applyNumberFormat="1" applyFill="1" applyBorder="1"/>
    <xf numFmtId="2" fontId="0" fillId="0" borderId="0" xfId="0" applyNumberFormat="1"/>
    <xf numFmtId="165" fontId="22" fillId="0" borderId="0" xfId="0" applyNumberFormat="1" applyFont="1" applyBorder="1"/>
    <xf numFmtId="166" fontId="6" fillId="0" borderId="0" xfId="0" applyNumberFormat="1" applyFont="1" applyBorder="1"/>
    <xf numFmtId="0" fontId="22" fillId="0" borderId="0" xfId="0" applyFont="1" applyFill="1" applyBorder="1"/>
    <xf numFmtId="165" fontId="0" fillId="0" borderId="11" xfId="0" applyNumberFormat="1" applyBorder="1"/>
    <xf numFmtId="169" fontId="25" fillId="0" borderId="1" xfId="0" applyNumberFormat="1" applyFont="1" applyBorder="1"/>
    <xf numFmtId="169" fontId="25" fillId="0" borderId="0" xfId="0" applyNumberFormat="1" applyFont="1" applyBorder="1"/>
    <xf numFmtId="0" fontId="2" fillId="0" borderId="0" xfId="0" applyFont="1" applyBorder="1" applyAlignment="1">
      <alignment vertical="top"/>
    </xf>
    <xf numFmtId="166" fontId="0" fillId="0" borderId="14" xfId="0" applyNumberFormat="1" applyBorder="1"/>
    <xf numFmtId="166" fontId="0" fillId="0" borderId="31" xfId="0" applyNumberFormat="1" applyBorder="1"/>
    <xf numFmtId="0" fontId="6" fillId="0" borderId="8" xfId="0" applyFont="1" applyBorder="1"/>
    <xf numFmtId="0" fontId="2" fillId="0" borderId="0" xfId="0" applyFont="1" applyFill="1"/>
    <xf numFmtId="2" fontId="11" fillId="0" borderId="0" xfId="0" applyNumberFormat="1" applyFont="1" applyFill="1" applyBorder="1" applyProtection="1"/>
    <xf numFmtId="2" fontId="12" fillId="0" borderId="0" xfId="0" applyNumberFormat="1" applyFont="1" applyFill="1" applyBorder="1" applyProtection="1"/>
    <xf numFmtId="0" fontId="13" fillId="0" borderId="12" xfId="0" applyFont="1" applyFill="1" applyBorder="1" applyProtection="1"/>
    <xf numFmtId="0" fontId="11" fillId="0" borderId="12" xfId="0" applyFont="1" applyFill="1" applyBorder="1" applyProtection="1"/>
    <xf numFmtId="0" fontId="2" fillId="0" borderId="14" xfId="0" applyFont="1" applyFill="1" applyBorder="1" applyAlignment="1">
      <alignment horizontal="center"/>
    </xf>
    <xf numFmtId="0" fontId="2" fillId="0" borderId="14" xfId="0" applyFont="1" applyBorder="1"/>
    <xf numFmtId="0" fontId="11" fillId="0" borderId="39" xfId="0" applyFont="1" applyFill="1" applyBorder="1" applyProtection="1"/>
    <xf numFmtId="0" fontId="11" fillId="0" borderId="40" xfId="0" applyFont="1" applyFill="1" applyBorder="1" applyProtection="1"/>
    <xf numFmtId="164" fontId="0" fillId="4" borderId="8" xfId="0" applyNumberFormat="1" applyFill="1" applyBorder="1"/>
    <xf numFmtId="164" fontId="0" fillId="4" borderId="12" xfId="0" applyNumberFormat="1" applyFill="1" applyBorder="1"/>
    <xf numFmtId="0" fontId="0" fillId="0" borderId="11" xfId="0" applyBorder="1" applyAlignment="1">
      <alignment horizontal="center"/>
    </xf>
    <xf numFmtId="0" fontId="11" fillId="0" borderId="21" xfId="0" applyFont="1" applyBorder="1" applyAlignment="1">
      <alignment horizontal="right"/>
    </xf>
    <xf numFmtId="0" fontId="11" fillId="0" borderId="21" xfId="0" applyFont="1" applyBorder="1" applyAlignment="1" applyProtection="1">
      <alignment horizontal="right"/>
    </xf>
    <xf numFmtId="170" fontId="0" fillId="0" borderId="0" xfId="4" applyNumberFormat="1" applyFont="1" applyBorder="1"/>
    <xf numFmtId="170" fontId="0" fillId="0" borderId="0" xfId="4" applyNumberFormat="1" applyFont="1"/>
    <xf numFmtId="170" fontId="0" fillId="0" borderId="15" xfId="4" applyNumberFormat="1" applyFont="1" applyBorder="1"/>
    <xf numFmtId="170" fontId="0" fillId="0" borderId="39" xfId="4" applyNumberFormat="1" applyFont="1" applyBorder="1"/>
    <xf numFmtId="170" fontId="0" fillId="0" borderId="40" xfId="4" applyNumberFormat="1" applyFont="1" applyBorder="1"/>
    <xf numFmtId="170" fontId="0" fillId="5" borderId="15" xfId="4" applyNumberFormat="1" applyFont="1" applyFill="1" applyBorder="1"/>
    <xf numFmtId="170" fontId="0" fillId="5" borderId="39" xfId="4" applyNumberFormat="1" applyFont="1" applyFill="1" applyBorder="1"/>
    <xf numFmtId="170" fontId="0" fillId="5" borderId="40" xfId="4" applyNumberFormat="1" applyFont="1" applyFill="1" applyBorder="1"/>
    <xf numFmtId="170" fontId="0" fillId="0" borderId="0" xfId="4" applyNumberFormat="1" applyFont="1" applyFill="1" applyBorder="1"/>
    <xf numFmtId="0" fontId="0" fillId="7" borderId="0" xfId="0" applyFill="1"/>
    <xf numFmtId="0" fontId="11" fillId="7" borderId="1" xfId="0" applyFont="1" applyFill="1" applyBorder="1" applyProtection="1"/>
    <xf numFmtId="0" fontId="11" fillId="7" borderId="10" xfId="0" applyFont="1" applyFill="1" applyBorder="1" applyAlignment="1">
      <alignment horizontal="right"/>
    </xf>
    <xf numFmtId="0" fontId="11" fillId="7" borderId="11" xfId="0" applyFont="1" applyFill="1" applyBorder="1" applyProtection="1"/>
    <xf numFmtId="0" fontId="0" fillId="7" borderId="11" xfId="0" applyFill="1" applyBorder="1"/>
    <xf numFmtId="0" fontId="11" fillId="7" borderId="10" xfId="0" applyFont="1" applyFill="1" applyBorder="1" applyProtection="1"/>
    <xf numFmtId="0" fontId="0" fillId="7" borderId="7" xfId="0" applyFill="1" applyBorder="1"/>
    <xf numFmtId="0" fontId="0" fillId="7" borderId="13" xfId="0" applyFill="1" applyBorder="1"/>
    <xf numFmtId="0" fontId="0" fillId="7" borderId="0" xfId="0" applyFill="1" applyBorder="1"/>
    <xf numFmtId="0" fontId="0" fillId="7" borderId="21" xfId="0" applyFill="1" applyBorder="1"/>
    <xf numFmtId="0" fontId="11" fillId="7" borderId="0" xfId="0" applyFont="1" applyFill="1" applyProtection="1"/>
    <xf numFmtId="0" fontId="11" fillId="7" borderId="2" xfId="0" applyFont="1" applyFill="1" applyBorder="1" applyProtection="1"/>
    <xf numFmtId="2" fontId="11" fillId="7" borderId="15" xfId="0" applyNumberFormat="1" applyFont="1" applyFill="1" applyBorder="1" applyProtection="1"/>
    <xf numFmtId="2" fontId="11" fillId="7" borderId="39" xfId="0" applyNumberFormat="1" applyFont="1" applyFill="1" applyBorder="1" applyProtection="1"/>
    <xf numFmtId="0" fontId="0" fillId="7" borderId="14" xfId="0" applyFill="1" applyBorder="1"/>
    <xf numFmtId="0" fontId="0" fillId="7" borderId="15" xfId="0" applyFill="1" applyBorder="1"/>
    <xf numFmtId="0" fontId="0" fillId="7" borderId="40" xfId="0" applyFill="1" applyBorder="1"/>
    <xf numFmtId="0" fontId="0" fillId="7" borderId="39" xfId="0" applyFill="1" applyBorder="1"/>
    <xf numFmtId="0" fontId="2" fillId="4" borderId="9" xfId="0" applyFont="1" applyFill="1" applyBorder="1" applyAlignment="1" applyProtection="1">
      <alignment horizontal="left"/>
      <protection locked="0"/>
    </xf>
    <xf numFmtId="0" fontId="0" fillId="4" borderId="21" xfId="0" applyFill="1" applyBorder="1" applyAlignment="1" applyProtection="1">
      <alignment horizontal="left"/>
      <protection locked="0"/>
    </xf>
    <xf numFmtId="0" fontId="0" fillId="4" borderId="10" xfId="0" applyFill="1" applyBorder="1" applyAlignment="1" applyProtection="1">
      <alignment horizontal="left"/>
      <protection locked="0"/>
    </xf>
    <xf numFmtId="14" fontId="0" fillId="4" borderId="9" xfId="0" quotePrefix="1" applyNumberFormat="1" applyFill="1" applyBorder="1" applyAlignment="1" applyProtection="1">
      <alignment horizontal="left"/>
      <protection locked="0"/>
    </xf>
    <xf numFmtId="0" fontId="0" fillId="0" borderId="41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42" xfId="0" applyBorder="1" applyAlignment="1">
      <alignment horizontal="center"/>
    </xf>
    <xf numFmtId="0" fontId="6" fillId="0" borderId="35" xfId="0" applyFont="1" applyBorder="1" applyAlignment="1">
      <alignment horizontal="center"/>
    </xf>
    <xf numFmtId="0" fontId="6" fillId="0" borderId="43" xfId="0" applyFont="1" applyBorder="1" applyAlignment="1">
      <alignment horizontal="center"/>
    </xf>
    <xf numFmtId="0" fontId="6" fillId="0" borderId="44" xfId="0" applyFont="1" applyBorder="1" applyAlignment="1">
      <alignment horizontal="center"/>
    </xf>
    <xf numFmtId="0" fontId="20" fillId="0" borderId="6" xfId="0" applyFont="1" applyBorder="1" applyAlignment="1" applyProtection="1">
      <alignment horizontal="center" vertical="center"/>
    </xf>
    <xf numFmtId="0" fontId="20" fillId="0" borderId="1" xfId="0" applyFont="1" applyBorder="1" applyAlignment="1" applyProtection="1">
      <alignment horizontal="center" vertical="center"/>
    </xf>
    <xf numFmtId="0" fontId="20" fillId="0" borderId="7" xfId="0" applyFont="1" applyBorder="1" applyAlignment="1" applyProtection="1">
      <alignment horizontal="center" vertical="center"/>
    </xf>
    <xf numFmtId="0" fontId="20" fillId="0" borderId="12" xfId="0" applyFont="1" applyBorder="1" applyAlignment="1" applyProtection="1">
      <alignment horizontal="center" vertical="center"/>
    </xf>
    <xf numFmtId="0" fontId="20" fillId="0" borderId="14" xfId="0" applyFont="1" applyBorder="1" applyAlignment="1" applyProtection="1">
      <alignment horizontal="center" vertical="center"/>
    </xf>
    <xf numFmtId="0" fontId="20" fillId="0" borderId="13" xfId="0" applyFont="1" applyBorder="1" applyAlignment="1" applyProtection="1">
      <alignment horizontal="center" vertical="center"/>
    </xf>
    <xf numFmtId="0" fontId="0" fillId="0" borderId="45" xfId="0" applyBorder="1" applyAlignment="1">
      <alignment horizontal="center"/>
    </xf>
    <xf numFmtId="168" fontId="15" fillId="0" borderId="43" xfId="0" applyNumberFormat="1" applyFont="1" applyBorder="1" applyAlignment="1" applyProtection="1">
      <alignment horizontal="left" vertical="center"/>
      <protection locked="0"/>
    </xf>
    <xf numFmtId="168" fontId="15" fillId="0" borderId="44" xfId="0" applyNumberFormat="1" applyFont="1" applyBorder="1" applyAlignment="1" applyProtection="1">
      <alignment horizontal="left" vertical="center"/>
      <protection locked="0"/>
    </xf>
    <xf numFmtId="0" fontId="15" fillId="0" borderId="46" xfId="0" applyFont="1" applyBorder="1" applyAlignment="1" applyProtection="1">
      <alignment horizontal="left" vertical="center"/>
      <protection locked="0"/>
    </xf>
    <xf numFmtId="0" fontId="15" fillId="0" borderId="47" xfId="0" applyFont="1" applyBorder="1" applyAlignment="1" applyProtection="1">
      <alignment horizontal="left" vertical="center"/>
      <protection locked="0"/>
    </xf>
    <xf numFmtId="0" fontId="3" fillId="0" borderId="48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43" xfId="0" applyFont="1" applyBorder="1" applyAlignment="1" applyProtection="1">
      <alignment horizontal="left"/>
    </xf>
    <xf numFmtId="0" fontId="3" fillId="0" borderId="44" xfId="0" applyFont="1" applyBorder="1" applyAlignment="1" applyProtection="1">
      <alignment horizontal="left"/>
    </xf>
    <xf numFmtId="0" fontId="3" fillId="0" borderId="46" xfId="0" applyFont="1" applyBorder="1" applyAlignment="1" applyProtection="1">
      <alignment horizontal="left"/>
    </xf>
    <xf numFmtId="0" fontId="3" fillId="0" borderId="47" xfId="0" applyFont="1" applyBorder="1" applyAlignment="1" applyProtection="1">
      <alignment horizontal="left"/>
    </xf>
    <xf numFmtId="0" fontId="3" fillId="0" borderId="48" xfId="0" applyFont="1" applyBorder="1" applyAlignment="1" applyProtection="1">
      <alignment horizontal="left"/>
    </xf>
    <xf numFmtId="0" fontId="3" fillId="0" borderId="49" xfId="0" applyFont="1" applyBorder="1" applyAlignment="1" applyProtection="1">
      <alignment horizontal="left"/>
    </xf>
  </cellXfs>
  <cellStyles count="5">
    <cellStyle name="Komma" xfId="4" builtinId="3"/>
    <cellStyle name="Normal_Sheet1" xfId="1" xr:uid="{00000000-0005-0000-0000-000000000000}"/>
    <cellStyle name="Standaard" xfId="0" builtinId="0"/>
    <cellStyle name="Standaard 2" xfId="3" xr:uid="{00000000-0005-0000-0000-000002000000}"/>
    <cellStyle name="Standaard_INVOER" xfId="2" xr:uid="{00000000-0005-0000-0000-000003000000}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PARTICLE SIZE DISTRIBUTION  &amp;  GRADE EFFICIENCY</a:t>
            </a:r>
          </a:p>
        </c:rich>
      </c:tx>
      <c:layout>
        <c:manualLayout>
          <c:xMode val="edge"/>
          <c:yMode val="edge"/>
          <c:x val="0.27876121251534625"/>
          <c:y val="2.816905713434240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327474855392832E-2"/>
          <c:y val="0.16744939518748173"/>
          <c:w val="0.88606242549520686"/>
          <c:h val="0.73239548549290501"/>
        </c:manualLayout>
      </c:layout>
      <c:scatterChart>
        <c:scatterStyle val="smoothMarker"/>
        <c:varyColors val="0"/>
        <c:ser>
          <c:idx val="1"/>
          <c:order val="0"/>
          <c:tx>
            <c:v>PSD user defined</c:v>
          </c:tx>
          <c:spPr>
            <a:ln w="28575">
              <a:noFill/>
            </a:ln>
          </c:spPr>
          <c:marker>
            <c:symbol val="circle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'Berekening trap 1'!$AD$76:$AD$146</c:f>
              <c:numCache>
                <c:formatCode>General</c:formatCode>
                <c:ptCount val="71"/>
                <c:pt idx="0">
                  <c:v>1E-8</c:v>
                </c:pt>
                <c:pt idx="1">
                  <c:v>0.61699999999999999</c:v>
                </c:pt>
                <c:pt idx="2">
                  <c:v>0.68600000000000005</c:v>
                </c:pt>
                <c:pt idx="3">
                  <c:v>0.748</c:v>
                </c:pt>
                <c:pt idx="4">
                  <c:v>0.85</c:v>
                </c:pt>
                <c:pt idx="5">
                  <c:v>0.94699999999999995</c:v>
                </c:pt>
                <c:pt idx="6">
                  <c:v>1.054</c:v>
                </c:pt>
                <c:pt idx="7">
                  <c:v>1.1779999999999999</c:v>
                </c:pt>
                <c:pt idx="8">
                  <c:v>1.3049999999999999</c:v>
                </c:pt>
                <c:pt idx="9">
                  <c:v>1.4530000000000001</c:v>
                </c:pt>
                <c:pt idx="10">
                  <c:v>1.617</c:v>
                </c:pt>
                <c:pt idx="11">
                  <c:v>1.8</c:v>
                </c:pt>
                <c:pt idx="12">
                  <c:v>2.0030000000000001</c:v>
                </c:pt>
                <c:pt idx="13">
                  <c:v>2.23</c:v>
                </c:pt>
                <c:pt idx="14">
                  <c:v>2.4820000000000002</c:v>
                </c:pt>
                <c:pt idx="15">
                  <c:v>2.762</c:v>
                </c:pt>
                <c:pt idx="16">
                  <c:v>3.0750000000000002</c:v>
                </c:pt>
                <c:pt idx="17">
                  <c:v>3.4220000000000002</c:v>
                </c:pt>
                <c:pt idx="18">
                  <c:v>3.8</c:v>
                </c:pt>
                <c:pt idx="19">
                  <c:v>4.2389999999999999</c:v>
                </c:pt>
                <c:pt idx="20">
                  <c:v>4.7160000000000002</c:v>
                </c:pt>
                <c:pt idx="21">
                  <c:v>5.2519999999999998</c:v>
                </c:pt>
                <c:pt idx="22">
                  <c:v>5.8449999999999998</c:v>
                </c:pt>
                <c:pt idx="23">
                  <c:v>6.5049999999999999</c:v>
                </c:pt>
                <c:pt idx="24">
                  <c:v>7.2409999999999997</c:v>
                </c:pt>
                <c:pt idx="25">
                  <c:v>8.0589999999999993</c:v>
                </c:pt>
                <c:pt idx="26">
                  <c:v>8.9700000000000006</c:v>
                </c:pt>
                <c:pt idx="27">
                  <c:v>9.9</c:v>
                </c:pt>
                <c:pt idx="28">
                  <c:v>11.11</c:v>
                </c:pt>
                <c:pt idx="29">
                  <c:v>12.38</c:v>
                </c:pt>
                <c:pt idx="30">
                  <c:v>13.76</c:v>
                </c:pt>
                <c:pt idx="31">
                  <c:v>15.32</c:v>
                </c:pt>
                <c:pt idx="32">
                  <c:v>17.5</c:v>
                </c:pt>
                <c:pt idx="33">
                  <c:v>18.97</c:v>
                </c:pt>
                <c:pt idx="34">
                  <c:v>21.21</c:v>
                </c:pt>
                <c:pt idx="35">
                  <c:v>23.51</c:v>
                </c:pt>
                <c:pt idx="36">
                  <c:v>26.16</c:v>
                </c:pt>
                <c:pt idx="37">
                  <c:v>29.12</c:v>
                </c:pt>
                <c:pt idx="38">
                  <c:v>32.14</c:v>
                </c:pt>
                <c:pt idx="39">
                  <c:v>37.07</c:v>
                </c:pt>
                <c:pt idx="40">
                  <c:v>40.15</c:v>
                </c:pt>
                <c:pt idx="41">
                  <c:v>44.89</c:v>
                </c:pt>
                <c:pt idx="42">
                  <c:v>49.74</c:v>
                </c:pt>
                <c:pt idx="43">
                  <c:v>55.36</c:v>
                </c:pt>
                <c:pt idx="44">
                  <c:v>61.61</c:v>
                </c:pt>
                <c:pt idx="45">
                  <c:v>68.58</c:v>
                </c:pt>
                <c:pt idx="46">
                  <c:v>73.33</c:v>
                </c:pt>
                <c:pt idx="47">
                  <c:v>84.95</c:v>
                </c:pt>
                <c:pt idx="48">
                  <c:v>94.55</c:v>
                </c:pt>
                <c:pt idx="49">
                  <c:v>105.2</c:v>
                </c:pt>
                <c:pt idx="50">
                  <c:v>117.1</c:v>
                </c:pt>
                <c:pt idx="51">
                  <c:v>200</c:v>
                </c:pt>
                <c:pt idx="52">
                  <c:v>10000</c:v>
                </c:pt>
                <c:pt idx="53">
                  <c:v>10000</c:v>
                </c:pt>
                <c:pt idx="54">
                  <c:v>10000</c:v>
                </c:pt>
                <c:pt idx="55">
                  <c:v>10000</c:v>
                </c:pt>
                <c:pt idx="56">
                  <c:v>10000</c:v>
                </c:pt>
                <c:pt idx="57">
                  <c:v>10000</c:v>
                </c:pt>
                <c:pt idx="58">
                  <c:v>10000</c:v>
                </c:pt>
                <c:pt idx="59">
                  <c:v>10000</c:v>
                </c:pt>
                <c:pt idx="60">
                  <c:v>10000</c:v>
                </c:pt>
                <c:pt idx="61">
                  <c:v>10000</c:v>
                </c:pt>
                <c:pt idx="62">
                  <c:v>10000</c:v>
                </c:pt>
                <c:pt idx="63">
                  <c:v>10000</c:v>
                </c:pt>
                <c:pt idx="64">
                  <c:v>10000</c:v>
                </c:pt>
                <c:pt idx="65">
                  <c:v>10000</c:v>
                </c:pt>
                <c:pt idx="66">
                  <c:v>10000</c:v>
                </c:pt>
                <c:pt idx="67">
                  <c:v>10000</c:v>
                </c:pt>
                <c:pt idx="68">
                  <c:v>10000</c:v>
                </c:pt>
                <c:pt idx="69">
                  <c:v>10000</c:v>
                </c:pt>
                <c:pt idx="70">
                  <c:v>10000</c:v>
                </c:pt>
              </c:numCache>
            </c:numRef>
          </c:xVal>
          <c:yVal>
            <c:numRef>
              <c:f>'Berekening trap 1'!$AA$76:$AA$146</c:f>
              <c:numCache>
                <c:formatCode>General</c:formatCode>
                <c:ptCount val="71"/>
                <c:pt idx="0">
                  <c:v>100</c:v>
                </c:pt>
                <c:pt idx="1">
                  <c:v>99.998999999999995</c:v>
                </c:pt>
                <c:pt idx="2">
                  <c:v>99.99</c:v>
                </c:pt>
                <c:pt idx="3">
                  <c:v>99.98</c:v>
                </c:pt>
                <c:pt idx="4">
                  <c:v>99.94</c:v>
                </c:pt>
                <c:pt idx="5">
                  <c:v>99.9</c:v>
                </c:pt>
                <c:pt idx="6">
                  <c:v>99.84</c:v>
                </c:pt>
                <c:pt idx="7">
                  <c:v>99.77</c:v>
                </c:pt>
                <c:pt idx="8">
                  <c:v>99.7</c:v>
                </c:pt>
                <c:pt idx="9">
                  <c:v>99.61</c:v>
                </c:pt>
                <c:pt idx="10">
                  <c:v>99.51</c:v>
                </c:pt>
                <c:pt idx="11">
                  <c:v>99.4</c:v>
                </c:pt>
                <c:pt idx="12">
                  <c:v>99.27</c:v>
                </c:pt>
                <c:pt idx="13">
                  <c:v>99.12</c:v>
                </c:pt>
                <c:pt idx="14">
                  <c:v>98.92</c:v>
                </c:pt>
                <c:pt idx="15">
                  <c:v>98.74</c:v>
                </c:pt>
                <c:pt idx="16">
                  <c:v>98.51</c:v>
                </c:pt>
                <c:pt idx="17">
                  <c:v>98.24</c:v>
                </c:pt>
                <c:pt idx="18">
                  <c:v>97.95</c:v>
                </c:pt>
                <c:pt idx="19">
                  <c:v>97.62</c:v>
                </c:pt>
                <c:pt idx="20">
                  <c:v>97.25</c:v>
                </c:pt>
                <c:pt idx="21">
                  <c:v>96.85</c:v>
                </c:pt>
                <c:pt idx="22">
                  <c:v>96.39</c:v>
                </c:pt>
                <c:pt idx="23">
                  <c:v>95.89</c:v>
                </c:pt>
                <c:pt idx="24">
                  <c:v>95.33</c:v>
                </c:pt>
                <c:pt idx="25">
                  <c:v>94.7</c:v>
                </c:pt>
                <c:pt idx="26">
                  <c:v>94</c:v>
                </c:pt>
                <c:pt idx="27">
                  <c:v>93.2</c:v>
                </c:pt>
                <c:pt idx="28">
                  <c:v>92.3</c:v>
                </c:pt>
                <c:pt idx="29">
                  <c:v>91.289999999999992</c:v>
                </c:pt>
                <c:pt idx="30">
                  <c:v>90.16</c:v>
                </c:pt>
                <c:pt idx="31">
                  <c:v>88.92</c:v>
                </c:pt>
                <c:pt idx="32">
                  <c:v>87.59</c:v>
                </c:pt>
                <c:pt idx="33">
                  <c:v>86.18</c:v>
                </c:pt>
                <c:pt idx="34">
                  <c:v>84.68</c:v>
                </c:pt>
                <c:pt idx="35">
                  <c:v>83.14</c:v>
                </c:pt>
                <c:pt idx="36">
                  <c:v>81.52</c:v>
                </c:pt>
                <c:pt idx="37">
                  <c:v>79.81</c:v>
                </c:pt>
                <c:pt idx="38">
                  <c:v>77.960000000000008</c:v>
                </c:pt>
                <c:pt idx="39">
                  <c:v>75.930000000000007</c:v>
                </c:pt>
                <c:pt idx="40">
                  <c:v>73.650000000000006</c:v>
                </c:pt>
                <c:pt idx="41">
                  <c:v>71.06</c:v>
                </c:pt>
                <c:pt idx="42">
                  <c:v>68.2</c:v>
                </c:pt>
                <c:pt idx="43">
                  <c:v>64.72</c:v>
                </c:pt>
                <c:pt idx="44">
                  <c:v>60.87</c:v>
                </c:pt>
                <c:pt idx="45">
                  <c:v>56.56</c:v>
                </c:pt>
                <c:pt idx="46">
                  <c:v>51.82</c:v>
                </c:pt>
                <c:pt idx="47">
                  <c:v>46.72</c:v>
                </c:pt>
                <c:pt idx="48">
                  <c:v>41.35</c:v>
                </c:pt>
                <c:pt idx="49">
                  <c:v>35.840000000000003</c:v>
                </c:pt>
                <c:pt idx="50">
                  <c:v>30.290000000000006</c:v>
                </c:pt>
                <c:pt idx="51">
                  <c:v>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C4-42F6-84F1-D29FB075D8DE}"/>
            </c:ext>
          </c:extLst>
        </c:ser>
        <c:ser>
          <c:idx val="0"/>
          <c:order val="1"/>
          <c:tx>
            <c:v>PSD Rosin Rammler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'Berekening trap 1'!$A$76:$A$186</c:f>
              <c:numCache>
                <c:formatCode>General</c:formatCode>
                <c:ptCount val="111"/>
                <c:pt idx="0">
                  <c:v>0.35790947664997769</c:v>
                </c:pt>
                <c:pt idx="1">
                  <c:v>0.37543572925790974</c:v>
                </c:pt>
                <c:pt idx="2">
                  <c:v>0.39382021432549091</c:v>
                </c:pt>
                <c:pt idx="3">
                  <c:v>0.4131049581187618</c:v>
                </c:pt>
                <c:pt idx="4">
                  <c:v>0.43333404486255661</c:v>
                </c:pt>
                <c:pt idx="5">
                  <c:v>0.45455371751544221</c:v>
                </c:pt>
                <c:pt idx="6">
                  <c:v>0.47681248347944405</c:v>
                </c:pt>
                <c:pt idx="7">
                  <c:v>0.50016122548620778</c:v>
                </c:pt>
                <c:pt idx="8">
                  <c:v>0.52465331791307834</c:v>
                </c:pt>
                <c:pt idx="9">
                  <c:v>0.55034474879499062</c:v>
                </c:pt>
                <c:pt idx="10">
                  <c:v>0.5772942478110864</c:v>
                </c:pt>
                <c:pt idx="11">
                  <c:v>0.60556342053863077</c:v>
                </c:pt>
                <c:pt idx="12">
                  <c:v>0.63521688928112741</c:v>
                </c:pt>
                <c:pt idx="13">
                  <c:v>0.6663224407925602</c:v>
                </c:pt>
                <c:pt idx="14">
                  <c:v>0.69895118123545452</c:v>
                </c:pt>
                <c:pt idx="15">
                  <c:v>0.73317769872698524</c:v>
                </c:pt>
                <c:pt idx="16">
                  <c:v>0.76908023384470758</c:v>
                </c:pt>
                <c:pt idx="17">
                  <c:v>0.80674085848167931</c:v>
                </c:pt>
                <c:pt idx="18">
                  <c:v>0.84624566345983143</c:v>
                </c:pt>
                <c:pt idx="19">
                  <c:v>0.88768495533046476</c:v>
                </c:pt>
                <c:pt idx="20">
                  <c:v>0.93115346281175049</c:v>
                </c:pt>
                <c:pt idx="21">
                  <c:v>0.97675055333514393</c:v>
                </c:pt>
                <c:pt idx="22">
                  <c:v>1.0245804601957289</c:v>
                </c:pt>
                <c:pt idx="23">
                  <c:v>1.0747525208257496</c:v>
                </c:pt>
                <c:pt idx="24">
                  <c:v>1.1273814267360145</c:v>
                </c:pt>
                <c:pt idx="25">
                  <c:v>1.1825874856965308</c:v>
                </c:pt>
                <c:pt idx="26">
                  <c:v>1.2404968967557026</c:v>
                </c:pt>
                <c:pt idx="27">
                  <c:v>1.3012420387267782</c:v>
                </c:pt>
                <c:pt idx="28">
                  <c:v>1.3649617728010155</c:v>
                </c:pt>
                <c:pt idx="29">
                  <c:v>1.4318017599793289</c:v>
                </c:pt>
                <c:pt idx="30">
                  <c:v>1.5019147940480539</c:v>
                </c:pt>
                <c:pt idx="31">
                  <c:v>1.5754611508600009</c:v>
                </c:pt>
                <c:pt idx="32">
                  <c:v>1.6526089547192409</c:v>
                </c:pt>
                <c:pt idx="33">
                  <c:v>1.7335345627071672</c:v>
                </c:pt>
                <c:pt idx="34">
                  <c:v>1.8184229678283863</c:v>
                </c:pt>
                <c:pt idx="35">
                  <c:v>1.907468221898017</c:v>
                </c:pt>
                <c:pt idx="36">
                  <c:v>2.0008738791371008</c:v>
                </c:pt>
                <c:pt idx="37">
                  <c:v>2.0988534614901684</c:v>
                </c:pt>
                <c:pt idx="38">
                  <c:v>2.2016309467286597</c:v>
                </c:pt>
                <c:pt idx="39">
                  <c:v>2.309441280455987</c:v>
                </c:pt>
                <c:pt idx="40">
                  <c:v>2.4225309131846604</c:v>
                </c:pt>
                <c:pt idx="41">
                  <c:v>2.541158363713222</c:v>
                </c:pt>
                <c:pt idx="42">
                  <c:v>2.6655948100908424</c:v>
                </c:pt>
                <c:pt idx="43">
                  <c:v>2.7961247095205048</c:v>
                </c:pt>
                <c:pt idx="44">
                  <c:v>2.933046448617854</c:v>
                </c:pt>
                <c:pt idx="45">
                  <c:v>3.0766730255121759</c:v>
                </c:pt>
                <c:pt idx="46">
                  <c:v>3.2273327653487693</c:v>
                </c:pt>
                <c:pt idx="47">
                  <c:v>3.3853700708283196</c:v>
                </c:pt>
                <c:pt idx="48">
                  <c:v>3.5511462094989792</c:v>
                </c:pt>
                <c:pt idx="49">
                  <c:v>3.725040139600881</c:v>
                </c:pt>
                <c:pt idx="50">
                  <c:v>3.9074493763509288</c:v>
                </c:pt>
                <c:pt idx="51">
                  <c:v>4.0987909006481651</c:v>
                </c:pt>
                <c:pt idx="52">
                  <c:v>4.2995021122769828</c:v>
                </c:pt>
                <c:pt idx="53">
                  <c:v>4.5100418297871663</c:v>
                </c:pt>
                <c:pt idx="54">
                  <c:v>4.7308913393364547</c:v>
                </c:pt>
                <c:pt idx="55">
                  <c:v>4.962555494893242</c:v>
                </c:pt>
                <c:pt idx="56">
                  <c:v>5.2055638723144373</c:v>
                </c:pt>
                <c:pt idx="57">
                  <c:v>5.4604719799366652</c:v>
                </c:pt>
                <c:pt idx="58">
                  <c:v>5.727862528448175</c:v>
                </c:pt>
                <c:pt idx="59">
                  <c:v>6.0083467629443374</c:v>
                </c:pt>
                <c:pt idx="60">
                  <c:v>6.3025658602117636</c:v>
                </c:pt>
                <c:pt idx="61">
                  <c:v>6.6111923944351814</c:v>
                </c:pt>
                <c:pt idx="62">
                  <c:v>6.9349318746776287</c:v>
                </c:pt>
                <c:pt idx="63">
                  <c:v>7.2745243576485805</c:v>
                </c:pt>
                <c:pt idx="64">
                  <c:v>7.6307461394467451</c:v>
                </c:pt>
                <c:pt idx="65">
                  <c:v>8.0044115301447878</c:v>
                </c:pt>
                <c:pt idx="66">
                  <c:v>8.3963747152726214</c:v>
                </c:pt>
                <c:pt idx="67">
                  <c:v>8.8075317084545475</c:v>
                </c:pt>
                <c:pt idx="68">
                  <c:v>9.2388223996638974</c:v>
                </c:pt>
                <c:pt idx="69">
                  <c:v>9.6912327037774268</c:v>
                </c:pt>
                <c:pt idx="70">
                  <c:v>10.165796814340958</c:v>
                </c:pt>
                <c:pt idx="71">
                  <c:v>10.663599567698318</c:v>
                </c:pt>
                <c:pt idx="72">
                  <c:v>11.185778922887872</c:v>
                </c:pt>
                <c:pt idx="73">
                  <c:v>11.733528562975607</c:v>
                </c:pt>
                <c:pt idx="74">
                  <c:v>12.308100623771331</c:v>
                </c:pt>
                <c:pt idx="75">
                  <c:v>12.91080855616571</c:v>
                </c:pt>
                <c:pt idx="76">
                  <c:v>13.543030128631372</c:v>
                </c:pt>
                <c:pt idx="77">
                  <c:v>14.206210576751655</c:v>
                </c:pt>
                <c:pt idx="78">
                  <c:v>14.901865906976735</c:v>
                </c:pt>
                <c:pt idx="79">
                  <c:v>15.631586362159382</c:v>
                </c:pt>
                <c:pt idx="80">
                  <c:v>16.397040056792445</c:v>
                </c:pt>
                <c:pt idx="81">
                  <c:v>17.19997679025807</c:v>
                </c:pt>
                <c:pt idx="82">
                  <c:v>18.042232046805633</c:v>
                </c:pt>
                <c:pt idx="83">
                  <c:v>18.92573119140215</c:v>
                </c:pt>
                <c:pt idx="84">
                  <c:v>19.852493871046757</c:v>
                </c:pt>
                <c:pt idx="85">
                  <c:v>20.824638631610505</c:v>
                </c:pt>
                <c:pt idx="86">
                  <c:v>21.84438776075536</c:v>
                </c:pt>
                <c:pt idx="87">
                  <c:v>22.914072368003218</c:v>
                </c:pt>
                <c:pt idx="88">
                  <c:v>24.036137713567701</c:v>
                </c:pt>
                <c:pt idx="89">
                  <c:v>25.21314879813032</c:v>
                </c:pt>
                <c:pt idx="90">
                  <c:v>26.447796226339001</c:v>
                </c:pt>
                <c:pt idx="91">
                  <c:v>27.742902357432719</c:v>
                </c:pt>
                <c:pt idx="92">
                  <c:v>29.101427757052338</c:v>
                </c:pt>
                <c:pt idx="93">
                  <c:v>30.526477964986295</c:v>
                </c:pt>
                <c:pt idx="94">
                  <c:v>32.021310594321911</c:v>
                </c:pt>
                <c:pt idx="95">
                  <c:v>33.589342778230758</c:v>
                </c:pt>
                <c:pt idx="96">
                  <c:v>35.234158981411127</c:v>
                </c:pt>
                <c:pt idx="97">
                  <c:v>36.959519194044347</c:v>
                </c:pt>
                <c:pt idx="98">
                  <c:v>38.769367526995929</c:v>
                </c:pt>
                <c:pt idx="99">
                  <c:v>40.66784122790996</c:v>
                </c:pt>
                <c:pt idx="100">
                  <c:v>42.659280138807176</c:v>
                </c:pt>
                <c:pt idx="101">
                  <c:v>44.748236616806373</c:v>
                </c:pt>
                <c:pt idx="102">
                  <c:v>46.939485940647693</c:v>
                </c:pt>
                <c:pt idx="103">
                  <c:v>49.238037226806597</c:v>
                </c:pt>
                <c:pt idx="104">
                  <c:v>51.649144880152463</c:v>
                </c:pt>
                <c:pt idx="105">
                  <c:v>54.178320605327521</c:v>
                </c:pt>
                <c:pt idx="106">
                  <c:v>56.831346006303754</c:v>
                </c:pt>
                <c:pt idx="107">
                  <c:v>59.614285802919873</c:v>
                </c:pt>
                <c:pt idx="108">
                  <c:v>62.533501694610891</c:v>
                </c:pt>
                <c:pt idx="109">
                  <c:v>65.595666903022305</c:v>
                </c:pt>
                <c:pt idx="110" formatCode="0.00">
                  <c:v>68.807781426752868</c:v>
                </c:pt>
              </c:numCache>
            </c:numRef>
          </c:xVal>
          <c:yVal>
            <c:numRef>
              <c:f>'Berekening trap 1'!$S$76:$S$186</c:f>
              <c:numCache>
                <c:formatCode>General</c:formatCode>
                <c:ptCount val="111"/>
                <c:pt idx="0">
                  <c:v>99.99999999271067</c:v>
                </c:pt>
                <c:pt idx="1">
                  <c:v>99.99999997940931</c:v>
                </c:pt>
                <c:pt idx="2">
                  <c:v>99.999999941835981</c:v>
                </c:pt>
                <c:pt idx="3">
                  <c:v>99.999999835699853</c:v>
                </c:pt>
                <c:pt idx="4">
                  <c:v>99.999999535889401</c:v>
                </c:pt>
                <c:pt idx="5">
                  <c:v>99.999998688993003</c:v>
                </c:pt>
                <c:pt idx="6">
                  <c:v>99.999996296703074</c:v>
                </c:pt>
                <c:pt idx="7">
                  <c:v>99.999989539027709</c:v>
                </c:pt>
                <c:pt idx="8">
                  <c:v>99.999970450132196</c:v>
                </c:pt>
                <c:pt idx="9">
                  <c:v>99.999916528357943</c:v>
                </c:pt>
                <c:pt idx="10">
                  <c:v>99.999764211750517</c:v>
                </c:pt>
                <c:pt idx="11">
                  <c:v>99.99933395318503</c:v>
                </c:pt>
                <c:pt idx="12">
                  <c:v>99.998118580466894</c:v>
                </c:pt>
                <c:pt idx="13">
                  <c:v>99.99468550839326</c:v>
                </c:pt>
                <c:pt idx="14">
                  <c:v>99.988383597295694</c:v>
                </c:pt>
                <c:pt idx="15">
                  <c:v>99.982962819567888</c:v>
                </c:pt>
                <c:pt idx="16">
                  <c:v>99.974603822590822</c:v>
                </c:pt>
                <c:pt idx="17">
                  <c:v>99.96169928269623</c:v>
                </c:pt>
                <c:pt idx="18">
                  <c:v>99.942239463445929</c:v>
                </c:pt>
                <c:pt idx="19">
                  <c:v>99.926342816460917</c:v>
                </c:pt>
                <c:pt idx="20">
                  <c:v>99.907666486448534</c:v>
                </c:pt>
                <c:pt idx="21">
                  <c:v>99.885452003054482</c:v>
                </c:pt>
                <c:pt idx="22">
                  <c:v>99.858698685372204</c:v>
                </c:pt>
                <c:pt idx="23">
                  <c:v>99.82948890628569</c:v>
                </c:pt>
                <c:pt idx="24">
                  <c:v>99.800703915599826</c:v>
                </c:pt>
                <c:pt idx="25">
                  <c:v>99.76766795790877</c:v>
                </c:pt>
                <c:pt idx="26">
                  <c:v>99.736976364714565</c:v>
                </c:pt>
                <c:pt idx="27">
                  <c:v>99.702236395980194</c:v>
                </c:pt>
                <c:pt idx="28">
                  <c:v>99.665207534824106</c:v>
                </c:pt>
                <c:pt idx="29">
                  <c:v>99.623747367443542</c:v>
                </c:pt>
                <c:pt idx="30">
                  <c:v>99.581435871728459</c:v>
                </c:pt>
                <c:pt idx="31">
                  <c:v>99.53647095996638</c:v>
                </c:pt>
                <c:pt idx="32">
                  <c:v>99.48941299543489</c:v>
                </c:pt>
                <c:pt idx="33">
                  <c:v>99.441155392252625</c:v>
                </c:pt>
                <c:pt idx="34">
                  <c:v>99.388678239439159</c:v>
                </c:pt>
                <c:pt idx="35">
                  <c:v>99.332611250132132</c:v>
                </c:pt>
                <c:pt idx="36">
                  <c:v>99.271420986341042</c:v>
                </c:pt>
                <c:pt idx="37">
                  <c:v>99.20810189675268</c:v>
                </c:pt>
                <c:pt idx="38">
                  <c:v>99.139388983753278</c:v>
                </c:pt>
                <c:pt idx="39">
                  <c:v>99.059039195788074</c:v>
                </c:pt>
                <c:pt idx="40">
                  <c:v>98.968937704961334</c:v>
                </c:pt>
                <c:pt idx="41">
                  <c:v>98.882668783872489</c:v>
                </c:pt>
                <c:pt idx="42">
                  <c:v>98.802912628545187</c:v>
                </c:pt>
                <c:pt idx="43">
                  <c:v>98.71558935623564</c:v>
                </c:pt>
                <c:pt idx="44">
                  <c:v>98.615994035347057</c:v>
                </c:pt>
                <c:pt idx="45">
                  <c:v>98.508736279112185</c:v>
                </c:pt>
                <c:pt idx="46">
                  <c:v>98.393407424682039</c:v>
                </c:pt>
                <c:pt idx="47">
                  <c:v>98.269238071900006</c:v>
                </c:pt>
                <c:pt idx="48">
                  <c:v>98.142433050311496</c:v>
                </c:pt>
                <c:pt idx="49">
                  <c:v>98.008567517373322</c:v>
                </c:pt>
                <c:pt idx="50">
                  <c:v>97.870403429827519</c:v>
                </c:pt>
                <c:pt idx="51">
                  <c:v>97.72676011404829</c:v>
                </c:pt>
                <c:pt idx="52">
                  <c:v>97.573813944780241</c:v>
                </c:pt>
                <c:pt idx="53">
                  <c:v>97.411385850811456</c:v>
                </c:pt>
                <c:pt idx="54">
                  <c:v>97.239030206028815</c:v>
                </c:pt>
                <c:pt idx="55">
                  <c:v>97.067300080056086</c:v>
                </c:pt>
                <c:pt idx="56">
                  <c:v>96.885060564260613</c:v>
                </c:pt>
                <c:pt idx="57">
                  <c:v>96.68970339271911</c:v>
                </c:pt>
                <c:pt idx="58">
                  <c:v>96.481836584481727</c:v>
                </c:pt>
                <c:pt idx="59">
                  <c:v>96.267197939392517</c:v>
                </c:pt>
                <c:pt idx="60">
                  <c:v>96.044419442760514</c:v>
                </c:pt>
                <c:pt idx="61">
                  <c:v>95.809819095620028</c:v>
                </c:pt>
                <c:pt idx="62">
                  <c:v>95.564069548042255</c:v>
                </c:pt>
                <c:pt idx="63">
                  <c:v>95.304385104829052</c:v>
                </c:pt>
                <c:pt idx="64">
                  <c:v>95.031100137563698</c:v>
                </c:pt>
                <c:pt idx="65">
                  <c:v>94.742353063700818</c:v>
                </c:pt>
                <c:pt idx="66">
                  <c:v>94.441850944627348</c:v>
                </c:pt>
                <c:pt idx="67">
                  <c:v>94.125503571267032</c:v>
                </c:pt>
                <c:pt idx="68">
                  <c:v>93.77059436155298</c:v>
                </c:pt>
                <c:pt idx="69">
                  <c:v>93.381111477850325</c:v>
                </c:pt>
                <c:pt idx="70">
                  <c:v>93.002626002822382</c:v>
                </c:pt>
                <c:pt idx="71">
                  <c:v>92.632451639973894</c:v>
                </c:pt>
                <c:pt idx="72">
                  <c:v>92.240011853919896</c:v>
                </c:pt>
                <c:pt idx="73">
                  <c:v>91.805313233933234</c:v>
                </c:pt>
                <c:pt idx="74">
                  <c:v>91.34742483096025</c:v>
                </c:pt>
                <c:pt idx="75">
                  <c:v>90.856697566392924</c:v>
                </c:pt>
                <c:pt idx="76">
                  <c:v>90.338387932151477</c:v>
                </c:pt>
                <c:pt idx="77">
                  <c:v>89.805875381058073</c:v>
                </c:pt>
                <c:pt idx="78">
                  <c:v>89.252857482280845</c:v>
                </c:pt>
                <c:pt idx="79">
                  <c:v>88.727649133728377</c:v>
                </c:pt>
                <c:pt idx="80">
                  <c:v>88.258357317591617</c:v>
                </c:pt>
                <c:pt idx="81">
                  <c:v>87.77090594050641</c:v>
                </c:pt>
                <c:pt idx="82">
                  <c:v>87.072981070070782</c:v>
                </c:pt>
                <c:pt idx="83">
                  <c:v>86.222836092636086</c:v>
                </c:pt>
                <c:pt idx="84">
                  <c:v>85.585894064893282</c:v>
                </c:pt>
                <c:pt idx="85">
                  <c:v>84.936179924799575</c:v>
                </c:pt>
                <c:pt idx="86">
                  <c:v>84.252680031859754</c:v>
                </c:pt>
                <c:pt idx="87">
                  <c:v>83.53655743777648</c:v>
                </c:pt>
                <c:pt idx="88">
                  <c:v>82.815093604193564</c:v>
                </c:pt>
                <c:pt idx="89">
                  <c:v>82.0941513640024</c:v>
                </c:pt>
                <c:pt idx="90">
                  <c:v>81.351492491183251</c:v>
                </c:pt>
                <c:pt idx="91">
                  <c:v>80.599246535361885</c:v>
                </c:pt>
                <c:pt idx="92">
                  <c:v>79.820572755122811</c:v>
                </c:pt>
                <c:pt idx="93">
                  <c:v>78.943076049490827</c:v>
                </c:pt>
                <c:pt idx="94">
                  <c:v>78.031899748440622</c:v>
                </c:pt>
                <c:pt idx="95">
                  <c:v>77.348643638374199</c:v>
                </c:pt>
                <c:pt idx="96">
                  <c:v>76.669842618057345</c:v>
                </c:pt>
                <c:pt idx="97">
                  <c:v>75.974012794250825</c:v>
                </c:pt>
                <c:pt idx="98">
                  <c:v>74.670518745697052</c:v>
                </c:pt>
                <c:pt idx="99">
                  <c:v>73.362395321150487</c:v>
                </c:pt>
                <c:pt idx="100">
                  <c:v>72.267059982268165</c:v>
                </c:pt>
                <c:pt idx="101">
                  <c:v>71.136091221823293</c:v>
                </c:pt>
                <c:pt idx="102">
                  <c:v>69.840928583438838</c:v>
                </c:pt>
                <c:pt idx="103">
                  <c:v>68.491993503156095</c:v>
                </c:pt>
                <c:pt idx="104">
                  <c:v>67.005708794455686</c:v>
                </c:pt>
                <c:pt idx="105">
                  <c:v>65.442643463694353</c:v>
                </c:pt>
                <c:pt idx="106">
                  <c:v>63.801114123551507</c:v>
                </c:pt>
                <c:pt idx="107">
                  <c:v>62.08404221120847</c:v>
                </c:pt>
                <c:pt idx="108">
                  <c:v>60.288489266685019</c:v>
                </c:pt>
                <c:pt idx="109">
                  <c:v>58.382847792266915</c:v>
                </c:pt>
                <c:pt idx="110">
                  <c:v>56.331630928007279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FC4-42F6-84F1-D29FB075D8DE}"/>
            </c:ext>
          </c:extLst>
        </c:ser>
        <c:ser>
          <c:idx val="3"/>
          <c:order val="2"/>
          <c:tx>
            <c:v>Grade Efficiency Stage 1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'Berekening trap 1'!$B$76:$B$186</c:f>
              <c:numCache>
                <c:formatCode>General</c:formatCode>
                <c:ptCount val="111"/>
                <c:pt idx="0">
                  <c:v>0.17895473832498884</c:v>
                </c:pt>
                <c:pt idx="1">
                  <c:v>0.36667260295394372</c:v>
                </c:pt>
                <c:pt idx="2">
                  <c:v>0.38462797179170033</c:v>
                </c:pt>
                <c:pt idx="3">
                  <c:v>0.40346258622212638</c:v>
                </c:pt>
                <c:pt idx="4">
                  <c:v>0.42321950149065923</c:v>
                </c:pt>
                <c:pt idx="5">
                  <c:v>0.44394388118899941</c:v>
                </c:pt>
                <c:pt idx="6">
                  <c:v>0.4656831004974431</c:v>
                </c:pt>
                <c:pt idx="7">
                  <c:v>0.48848685448282592</c:v>
                </c:pt>
                <c:pt idx="8">
                  <c:v>0.51240727169964306</c:v>
                </c:pt>
                <c:pt idx="9">
                  <c:v>0.53749903335403448</c:v>
                </c:pt>
                <c:pt idx="10">
                  <c:v>0.56381949830303846</c:v>
                </c:pt>
                <c:pt idx="11">
                  <c:v>0.59142883417485859</c:v>
                </c:pt>
                <c:pt idx="12">
                  <c:v>0.62039015490987914</c:v>
                </c:pt>
                <c:pt idx="13">
                  <c:v>0.65076966503684375</c:v>
                </c:pt>
                <c:pt idx="14">
                  <c:v>0.68263681101400731</c:v>
                </c:pt>
                <c:pt idx="15">
                  <c:v>0.71606443998121994</c:v>
                </c:pt>
                <c:pt idx="16">
                  <c:v>0.75112896628584647</c:v>
                </c:pt>
                <c:pt idx="17">
                  <c:v>0.78791054616319345</c:v>
                </c:pt>
                <c:pt idx="18">
                  <c:v>0.82649326097075537</c:v>
                </c:pt>
                <c:pt idx="19">
                  <c:v>0.86696530939514815</c:v>
                </c:pt>
                <c:pt idx="20">
                  <c:v>0.90941920907110763</c:v>
                </c:pt>
                <c:pt idx="21">
                  <c:v>0.95395200807344716</c:v>
                </c:pt>
                <c:pt idx="22">
                  <c:v>1.0006655067654364</c:v>
                </c:pt>
                <c:pt idx="23">
                  <c:v>1.0496664905107393</c:v>
                </c:pt>
                <c:pt idx="24">
                  <c:v>1.101066973780882</c:v>
                </c:pt>
                <c:pt idx="25">
                  <c:v>1.1549844562162725</c:v>
                </c:pt>
                <c:pt idx="26">
                  <c:v>1.2115421912261168</c:v>
                </c:pt>
                <c:pt idx="27">
                  <c:v>1.2708694677412404</c:v>
                </c:pt>
                <c:pt idx="28">
                  <c:v>1.3331019057638969</c:v>
                </c:pt>
                <c:pt idx="29">
                  <c:v>1.3983817663901723</c:v>
                </c:pt>
                <c:pt idx="30">
                  <c:v>1.4668582770136913</c:v>
                </c:pt>
                <c:pt idx="31">
                  <c:v>1.5386879724540274</c:v>
                </c:pt>
                <c:pt idx="32">
                  <c:v>1.614035052789621</c:v>
                </c:pt>
                <c:pt idx="33">
                  <c:v>1.693071758713204</c:v>
                </c:pt>
                <c:pt idx="34">
                  <c:v>1.7759787652677768</c:v>
                </c:pt>
                <c:pt idx="35">
                  <c:v>1.8629455948632017</c:v>
                </c:pt>
                <c:pt idx="36">
                  <c:v>1.9541710505175589</c:v>
                </c:pt>
                <c:pt idx="37">
                  <c:v>2.0498636703136346</c:v>
                </c:pt>
                <c:pt idx="38">
                  <c:v>2.1502422041094142</c:v>
                </c:pt>
                <c:pt idx="39">
                  <c:v>2.2555361135923233</c:v>
                </c:pt>
                <c:pt idx="40">
                  <c:v>2.3659860968203237</c:v>
                </c:pt>
                <c:pt idx="41">
                  <c:v>2.4818446384489414</c:v>
                </c:pt>
                <c:pt idx="42">
                  <c:v>2.6033765869020322</c:v>
                </c:pt>
                <c:pt idx="43">
                  <c:v>2.7308597598056736</c:v>
                </c:pt>
                <c:pt idx="44">
                  <c:v>2.8645855790691792</c:v>
                </c:pt>
                <c:pt idx="45">
                  <c:v>3.004859737065015</c:v>
                </c:pt>
                <c:pt idx="46">
                  <c:v>3.1520028954304724</c:v>
                </c:pt>
                <c:pt idx="47">
                  <c:v>3.3063514180885445</c:v>
                </c:pt>
                <c:pt idx="48">
                  <c:v>3.4682581401636492</c:v>
                </c:pt>
                <c:pt idx="49">
                  <c:v>3.6380931745499301</c:v>
                </c:pt>
                <c:pt idx="50">
                  <c:v>3.8162447579759049</c:v>
                </c:pt>
                <c:pt idx="51">
                  <c:v>4.003120138499547</c:v>
                </c:pt>
                <c:pt idx="52">
                  <c:v>4.1991465064625739</c:v>
                </c:pt>
                <c:pt idx="53">
                  <c:v>4.4047719710320745</c:v>
                </c:pt>
                <c:pt idx="54">
                  <c:v>4.6204665845618109</c:v>
                </c:pt>
                <c:pt idx="55">
                  <c:v>4.8467234171148483</c:v>
                </c:pt>
                <c:pt idx="56">
                  <c:v>5.0840596836038401</c:v>
                </c:pt>
                <c:pt idx="57">
                  <c:v>5.3330179261255513</c:v>
                </c:pt>
                <c:pt idx="58">
                  <c:v>5.5941672541924206</c:v>
                </c:pt>
                <c:pt idx="59">
                  <c:v>5.8681046456962562</c:v>
                </c:pt>
                <c:pt idx="60">
                  <c:v>6.1554563115780505</c:v>
                </c:pt>
                <c:pt idx="61">
                  <c:v>6.4568791273234725</c:v>
                </c:pt>
                <c:pt idx="62">
                  <c:v>6.7730621345564046</c:v>
                </c:pt>
                <c:pt idx="63">
                  <c:v>7.1047281161631046</c:v>
                </c:pt>
                <c:pt idx="64">
                  <c:v>7.4526352485476632</c:v>
                </c:pt>
                <c:pt idx="65">
                  <c:v>7.817578834795766</c:v>
                </c:pt>
                <c:pt idx="66">
                  <c:v>8.2003931227087037</c:v>
                </c:pt>
                <c:pt idx="67">
                  <c:v>8.6019532118635844</c:v>
                </c:pt>
                <c:pt idx="68">
                  <c:v>9.0231770540592215</c:v>
                </c:pt>
                <c:pt idx="69">
                  <c:v>9.465027551720663</c:v>
                </c:pt>
                <c:pt idx="70">
                  <c:v>9.9285147590591922</c:v>
                </c:pt>
                <c:pt idx="71">
                  <c:v>10.414698191019639</c:v>
                </c:pt>
                <c:pt idx="72">
                  <c:v>10.924689245293095</c:v>
                </c:pt>
                <c:pt idx="73">
                  <c:v>11.459653742931739</c:v>
                </c:pt>
                <c:pt idx="74">
                  <c:v>12.020814593373469</c:v>
                </c:pt>
                <c:pt idx="75">
                  <c:v>12.609454589968522</c:v>
                </c:pt>
                <c:pt idx="76">
                  <c:v>13.226919342398542</c:v>
                </c:pt>
                <c:pt idx="77">
                  <c:v>13.874620352691514</c:v>
                </c:pt>
                <c:pt idx="78">
                  <c:v>14.554038241864195</c:v>
                </c:pt>
                <c:pt idx="79">
                  <c:v>15.266726134568058</c:v>
                </c:pt>
                <c:pt idx="80">
                  <c:v>16.014313209475915</c:v>
                </c:pt>
                <c:pt idx="81">
                  <c:v>16.798508423525256</c:v>
                </c:pt>
                <c:pt idx="82">
                  <c:v>17.62110441853185</c:v>
                </c:pt>
                <c:pt idx="83">
                  <c:v>18.483981619103893</c:v>
                </c:pt>
                <c:pt idx="84">
                  <c:v>19.389112531224455</c:v>
                </c:pt>
                <c:pt idx="85">
                  <c:v>20.338566251328629</c:v>
                </c:pt>
                <c:pt idx="86">
                  <c:v>21.334513196182932</c:v>
                </c:pt>
                <c:pt idx="87">
                  <c:v>22.379230064379289</c:v>
                </c:pt>
                <c:pt idx="88">
                  <c:v>23.475105040785458</c:v>
                </c:pt>
                <c:pt idx="89">
                  <c:v>24.624643255849008</c:v>
                </c:pt>
                <c:pt idx="90">
                  <c:v>25.83047251223466</c:v>
                </c:pt>
                <c:pt idx="91">
                  <c:v>27.09534929188586</c:v>
                </c:pt>
                <c:pt idx="92">
                  <c:v>28.42216505724253</c:v>
                </c:pt>
                <c:pt idx="93">
                  <c:v>29.813952861019317</c:v>
                </c:pt>
                <c:pt idx="94">
                  <c:v>31.273894279654101</c:v>
                </c:pt>
                <c:pt idx="95">
                  <c:v>32.805326686276331</c:v>
                </c:pt>
                <c:pt idx="96">
                  <c:v>34.411750879820943</c:v>
                </c:pt>
                <c:pt idx="97">
                  <c:v>36.096839087727737</c:v>
                </c:pt>
                <c:pt idx="98">
                  <c:v>37.864443360520141</c:v>
                </c:pt>
                <c:pt idx="99">
                  <c:v>39.718604377452948</c:v>
                </c:pt>
                <c:pt idx="100">
                  <c:v>41.663560683358568</c:v>
                </c:pt>
                <c:pt idx="101">
                  <c:v>43.703758377806778</c:v>
                </c:pt>
                <c:pt idx="102">
                  <c:v>45.843861278727033</c:v>
                </c:pt>
                <c:pt idx="103">
                  <c:v>48.088761583727148</c:v>
                </c:pt>
                <c:pt idx="104">
                  <c:v>50.44359105347953</c:v>
                </c:pt>
                <c:pt idx="105">
                  <c:v>52.913732742739995</c:v>
                </c:pt>
                <c:pt idx="106">
                  <c:v>55.504833305815637</c:v>
                </c:pt>
                <c:pt idx="107">
                  <c:v>58.222815904611814</c:v>
                </c:pt>
                <c:pt idx="108">
                  <c:v>61.073893748765386</c:v>
                </c:pt>
                <c:pt idx="109">
                  <c:v>64.064584298816598</c:v>
                </c:pt>
                <c:pt idx="110">
                  <c:v>67.201724164887594</c:v>
                </c:pt>
              </c:numCache>
            </c:numRef>
          </c:xVal>
          <c:yVal>
            <c:numRef>
              <c:f>'Berekening trap 1'!$J$76:$J$186</c:f>
              <c:numCache>
                <c:formatCode>General</c:formatCode>
                <c:ptCount val="111"/>
                <c:pt idx="0">
                  <c:v>0</c:v>
                </c:pt>
                <c:pt idx="1">
                  <c:v>1.7508294120623447</c:v>
                </c:pt>
                <c:pt idx="2">
                  <c:v>5.0334323531390339</c:v>
                </c:pt>
                <c:pt idx="3">
                  <c:v>7.6688966605174613</c:v>
                </c:pt>
                <c:pt idx="4">
                  <c:v>10.045153395114241</c:v>
                </c:pt>
                <c:pt idx="5">
                  <c:v>12.272093460562289</c:v>
                </c:pt>
                <c:pt idx="6">
                  <c:v>14.400939094982149</c:v>
                </c:pt>
                <c:pt idx="7">
                  <c:v>16.460695195769759</c:v>
                </c:pt>
                <c:pt idx="8">
                  <c:v>18.469664176858927</c:v>
                </c:pt>
                <c:pt idx="9">
                  <c:v>20.440211041077234</c:v>
                </c:pt>
                <c:pt idx="10">
                  <c:v>22.381077800608111</c:v>
                </c:pt>
                <c:pt idx="11">
                  <c:v>24.298635994991358</c:v>
                </c:pt>
                <c:pt idx="12">
                  <c:v>26.197619928358733</c:v>
                </c:pt>
                <c:pt idx="13">
                  <c:v>28.081582410522159</c:v>
                </c:pt>
                <c:pt idx="14">
                  <c:v>29.953191747321256</c:v>
                </c:pt>
                <c:pt idx="15">
                  <c:v>31.814432869087</c:v>
                </c:pt>
                <c:pt idx="16">
                  <c:v>33.666747980765493</c:v>
                </c:pt>
                <c:pt idx="17">
                  <c:v>35.511137657424314</c:v>
                </c:pt>
                <c:pt idx="18">
                  <c:v>37.348235286323451</c:v>
                </c:pt>
                <c:pt idx="19">
                  <c:v>39.178363099675771</c:v>
                </c:pt>
                <c:pt idx="20">
                  <c:v>41.001575232450072</c:v>
                </c:pt>
                <c:pt idx="21">
                  <c:v>42.817691486831144</c:v>
                </c:pt>
                <c:pt idx="22">
                  <c:v>44.626324359199756</c:v>
                </c:pt>
                <c:pt idx="23">
                  <c:v>46.426901143498633</c:v>
                </c:pt>
                <c:pt idx="24">
                  <c:v>48.218682424292304</c:v>
                </c:pt>
                <c:pt idx="25">
                  <c:v>50.000777927897467</c:v>
                </c:pt>
                <c:pt idx="26">
                  <c:v>51.772160457516726</c:v>
                </c:pt>
                <c:pt idx="27">
                  <c:v>53.53167846462685</c:v>
                </c:pt>
                <c:pt idx="28">
                  <c:v>55.278067682089969</c:v>
                </c:pt>
                <c:pt idx="29">
                  <c:v>57.009962150100776</c:v>
                </c:pt>
                <c:pt idx="30">
                  <c:v>58.725904894408778</c:v>
                </c:pt>
                <c:pt idx="31">
                  <c:v>60.424358460584536</c:v>
                </c:pt>
                <c:pt idx="32">
                  <c:v>62.103715463789221</c:v>
                </c:pt>
                <c:pt idx="33">
                  <c:v>63.76230927728885</c:v>
                </c:pt>
                <c:pt idx="34">
                  <c:v>65.39842495249934</c:v>
                </c:pt>
                <c:pt idx="35">
                  <c:v>67.010310436987339</c:v>
                </c:pt>
                <c:pt idx="36">
                  <c:v>68.596188133384103</c:v>
                </c:pt>
                <c:pt idx="37">
                  <c:v>70.154266820736694</c:v>
                </c:pt>
                <c:pt idx="38">
                  <c:v>71.682753939816308</c:v>
                </c:pt>
                <c:pt idx="39">
                  <c:v>73.179868224917684</c:v>
                </c:pt>
                <c:pt idx="40">
                  <c:v>74.643852646454732</c:v>
                </c:pt>
                <c:pt idx="41">
                  <c:v>76.072987611050394</c:v>
                </c:pt>
                <c:pt idx="42">
                  <c:v>77.465604348797726</c:v>
                </c:pt>
                <c:pt idx="43">
                  <c:v>78.820098400984151</c:v>
                </c:pt>
                <c:pt idx="44">
                  <c:v>80.134943105947642</c:v>
                </c:pt>
                <c:pt idx="45">
                  <c:v>81.408702966061981</c:v>
                </c:pt>
                <c:pt idx="46">
                  <c:v>82.640046765370457</c:v>
                </c:pt>
                <c:pt idx="47">
                  <c:v>83.827760295396843</c:v>
                </c:pt>
                <c:pt idx="48">
                  <c:v>84.970758536485405</c:v>
                </c:pt>
                <c:pt idx="49">
                  <c:v>86.06809713401401</c:v>
                </c:pt>
                <c:pt idx="50">
                  <c:v>87.118983003355353</c:v>
                </c:pt>
                <c:pt idx="51">
                  <c:v>88.122783894904302</c:v>
                </c:pt>
                <c:pt idx="52">
                  <c:v>89.079036751204555</c:v>
                </c:pt>
                <c:pt idx="53">
                  <c:v>89.987454692525432</c:v>
                </c:pt>
                <c:pt idx="54">
                  <c:v>90.847932475448744</c:v>
                </c:pt>
                <c:pt idx="55">
                  <c:v>91.660550281343561</c:v>
                </c:pt>
                <c:pt idx="56">
                  <c:v>92.425575708175899</c:v>
                </c:pt>
                <c:pt idx="57">
                  <c:v>93.143463859954466</c:v>
                </c:pt>
                <c:pt idx="58">
                  <c:v>93.621274720503209</c:v>
                </c:pt>
                <c:pt idx="59">
                  <c:v>94.190575765062803</c:v>
                </c:pt>
                <c:pt idx="60">
                  <c:v>94.726148983805714</c:v>
                </c:pt>
                <c:pt idx="61">
                  <c:v>95.228334853319353</c:v>
                </c:pt>
                <c:pt idx="62">
                  <c:v>95.697612684439861</c:v>
                </c:pt>
                <c:pt idx="63">
                  <c:v>96.134596103503185</c:v>
                </c:pt>
                <c:pt idx="64">
                  <c:v>96.540027104938744</c:v>
                </c:pt>
                <c:pt idx="65">
                  <c:v>96.91476871798514</c:v>
                </c:pt>
                <c:pt idx="66">
                  <c:v>97.259796356977475</c:v>
                </c:pt>
                <c:pt idx="67">
                  <c:v>97.576187951470899</c:v>
                </c:pt>
                <c:pt idx="68">
                  <c:v>97.865112978717249</c:v>
                </c:pt>
                <c:pt idx="69">
                  <c:v>98.127820545932607</c:v>
                </c:pt>
                <c:pt idx="70">
                  <c:v>98.365626692592627</c:v>
                </c:pt>
                <c:pt idx="71">
                  <c:v>98.579901102870139</c:v>
                </c:pt>
                <c:pt idx="72">
                  <c:v>98.772053434519435</c:v>
                </c:pt>
                <c:pt idx="73">
                  <c:v>98.943519482305845</c:v>
                </c:pt>
                <c:pt idx="74">
                  <c:v>99.095747400868333</c:v>
                </c:pt>
                <c:pt idx="75">
                  <c:v>99.230184213207778</c:v>
                </c:pt>
                <c:pt idx="76">
                  <c:v>99.348262826498271</c:v>
                </c:pt>
                <c:pt idx="77">
                  <c:v>99.451389766498792</c:v>
                </c:pt>
                <c:pt idx="78">
                  <c:v>99.540933825586734</c:v>
                </c:pt>
                <c:pt idx="79">
                  <c:v>99.618215797656617</c:v>
                </c:pt>
                <c:pt idx="80">
                  <c:v>99.684499446371547</c:v>
                </c:pt>
                <c:pt idx="81">
                  <c:v>99.740983822285429</c:v>
                </c:pt>
                <c:pt idx="82">
                  <c:v>99.788797010135326</c:v>
                </c:pt>
                <c:pt idx="83">
                  <c:v>99.828991351268769</c:v>
                </c:pt>
                <c:pt idx="84">
                  <c:v>99.862540148973451</c:v>
                </c:pt>
                <c:pt idx="85">
                  <c:v>99.890335827741495</c:v>
                </c:pt>
                <c:pt idx="86">
                  <c:v>99.913189482556604</c:v>
                </c:pt>
                <c:pt idx="87">
                  <c:v>99.931831722411545</c:v>
                </c:pt>
                <c:pt idx="88">
                  <c:v>99.946914684592059</c:v>
                </c:pt>
                <c:pt idx="89">
                  <c:v>99.959015073762004</c:v>
                </c:pt>
                <c:pt idx="90">
                  <c:v>99.968638063273886</c:v>
                </c:pt>
                <c:pt idx="91">
                  <c:v>99.976221885851572</c:v>
                </c:pt>
                <c:pt idx="92">
                  <c:v>99.982142936984104</c:v>
                </c:pt>
                <c:pt idx="93">
                  <c:v>99.986721216860559</c:v>
                </c:pt>
                <c:pt idx="94">
                  <c:v>99.99022594499553</c:v>
                </c:pt>
                <c:pt idx="95">
                  <c:v>99.992881195111494</c:v>
                </c:pt>
                <c:pt idx="96">
                  <c:v>99.994871415410259</c:v>
                </c:pt>
                <c:pt idx="97">
                  <c:v>99.99634671998038</c:v>
                </c:pt>
                <c:pt idx="98">
                  <c:v>99.997427859572383</c:v>
                </c:pt>
                <c:pt idx="99">
                  <c:v>99.998210803140765</c:v>
                </c:pt>
                <c:pt idx="100">
                  <c:v>99.99877088428272</c:v>
                </c:pt>
                <c:pt idx="101">
                  <c:v>99.999166488007717</c:v>
                </c:pt>
                <c:pt idx="102">
                  <c:v>99.999442272340701</c:v>
                </c:pt>
                <c:pt idx="103">
                  <c:v>99.999631935502421</c:v>
                </c:pt>
                <c:pt idx="104">
                  <c:v>99.999760552460714</c:v>
                </c:pt>
                <c:pt idx="105">
                  <c:v>99.999846514375378</c:v>
                </c:pt>
                <c:pt idx="106">
                  <c:v>99.999903110943492</c:v>
                </c:pt>
                <c:pt idx="107">
                  <c:v>99.999939799147114</c:v>
                </c:pt>
                <c:pt idx="108">
                  <c:v>99.999963202798853</c:v>
                </c:pt>
                <c:pt idx="109">
                  <c:v>99.999977886049194</c:v>
                </c:pt>
                <c:pt idx="110">
                  <c:v>99.999986941176289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FC4-42F6-84F1-D29FB075D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20864"/>
        <c:axId val="51223936"/>
      </c:scatterChart>
      <c:valAx>
        <c:axId val="51220864"/>
        <c:scaling>
          <c:logBase val="10"/>
          <c:orientation val="minMax"/>
          <c:max val="1000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Particle Size (µm)</a:t>
                </a:r>
              </a:p>
            </c:rich>
          </c:tx>
          <c:layout>
            <c:manualLayout>
              <c:xMode val="edge"/>
              <c:yMode val="edge"/>
              <c:x val="0.45464626326907842"/>
              <c:y val="0.94053351876332458"/>
            </c:manualLayout>
          </c:layout>
          <c:overlay val="0"/>
          <c:spPr>
            <a:noFill/>
            <a:ln w="25400">
              <a:noFill/>
            </a:ln>
          </c:spPr>
        </c:title>
        <c:numFmt formatCode="_-* #,##0_-;_-* #,##0\-;_-* &quot;-&quot;_-;_-@_-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223936"/>
        <c:crossesAt val="0.1"/>
        <c:crossBetween val="midCat"/>
        <c:majorUnit val="10"/>
        <c:minorUnit val="10"/>
      </c:valAx>
      <c:valAx>
        <c:axId val="51223936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PSD Cumulative (%)  -  Grade Efficiency (%)       .</a:t>
                </a:r>
              </a:p>
            </c:rich>
          </c:tx>
          <c:layout>
            <c:manualLayout>
              <c:xMode val="edge"/>
              <c:yMode val="edge"/>
              <c:x val="1.7699124604148991E-2"/>
              <c:y val="0.29421015229202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220864"/>
        <c:crossesAt val="0.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24004437744377091"/>
          <c:y val="9.5461804733049743E-2"/>
          <c:w val="0.60304369442806616"/>
          <c:h val="3.912369046436461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PARTICLE SIZE DISTRIBUTION  &amp;  GRADE EFFICIENCY</a:t>
            </a:r>
          </a:p>
        </c:rich>
      </c:tx>
      <c:layout>
        <c:manualLayout>
          <c:xMode val="edge"/>
          <c:yMode val="edge"/>
          <c:x val="0.27876121251534625"/>
          <c:y val="2.81690571343423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327474855392902E-2"/>
          <c:y val="0.16744939518748206"/>
          <c:w val="0.88606242549520631"/>
          <c:h val="0.73239548549290501"/>
        </c:manualLayout>
      </c:layout>
      <c:scatterChart>
        <c:scatterStyle val="smoothMarker"/>
        <c:varyColors val="0"/>
        <c:ser>
          <c:idx val="4"/>
          <c:order val="0"/>
          <c:tx>
            <c:v>PSD Calculated Stage 2</c:v>
          </c:tx>
          <c:spPr>
            <a:ln w="9525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'Berekening trap 2'!$A$76:$A$186</c:f>
              <c:numCache>
                <c:formatCode>General</c:formatCode>
                <c:ptCount val="111"/>
                <c:pt idx="0">
                  <c:v>0.35790947664997769</c:v>
                </c:pt>
                <c:pt idx="1">
                  <c:v>0.37543572925790974</c:v>
                </c:pt>
                <c:pt idx="2">
                  <c:v>0.39382021432549091</c:v>
                </c:pt>
                <c:pt idx="3">
                  <c:v>0.4131049581187618</c:v>
                </c:pt>
                <c:pt idx="4">
                  <c:v>0.43333404486255661</c:v>
                </c:pt>
                <c:pt idx="5">
                  <c:v>0.45455371751544221</c:v>
                </c:pt>
                <c:pt idx="6">
                  <c:v>0.47681248347944405</c:v>
                </c:pt>
                <c:pt idx="7">
                  <c:v>0.50016122548620778</c:v>
                </c:pt>
                <c:pt idx="8">
                  <c:v>0.52465331791307834</c:v>
                </c:pt>
                <c:pt idx="9">
                  <c:v>0.55034474879499062</c:v>
                </c:pt>
                <c:pt idx="10">
                  <c:v>0.5772942478110864</c:v>
                </c:pt>
                <c:pt idx="11">
                  <c:v>0.60556342053863077</c:v>
                </c:pt>
                <c:pt idx="12">
                  <c:v>0.63521688928112741</c:v>
                </c:pt>
                <c:pt idx="13">
                  <c:v>0.6663224407925602</c:v>
                </c:pt>
                <c:pt idx="14">
                  <c:v>0.69895118123545452</c:v>
                </c:pt>
                <c:pt idx="15">
                  <c:v>0.73317769872698524</c:v>
                </c:pt>
                <c:pt idx="16">
                  <c:v>0.76908023384470758</c:v>
                </c:pt>
                <c:pt idx="17">
                  <c:v>0.80674085848167931</c:v>
                </c:pt>
                <c:pt idx="18">
                  <c:v>0.84624566345983143</c:v>
                </c:pt>
                <c:pt idx="19">
                  <c:v>0.88768495533046476</c:v>
                </c:pt>
                <c:pt idx="20">
                  <c:v>0.93115346281175049</c:v>
                </c:pt>
                <c:pt idx="21">
                  <c:v>0.97675055333514393</c:v>
                </c:pt>
                <c:pt idx="22">
                  <c:v>1.0245804601957289</c:v>
                </c:pt>
                <c:pt idx="23">
                  <c:v>1.0747525208257496</c:v>
                </c:pt>
                <c:pt idx="24">
                  <c:v>1.1273814267360145</c:v>
                </c:pt>
                <c:pt idx="25">
                  <c:v>1.1825874856965308</c:v>
                </c:pt>
                <c:pt idx="26">
                  <c:v>1.2404968967557026</c:v>
                </c:pt>
                <c:pt idx="27">
                  <c:v>1.3012420387267782</c:v>
                </c:pt>
                <c:pt idx="28">
                  <c:v>1.3649617728010155</c:v>
                </c:pt>
                <c:pt idx="29">
                  <c:v>1.4318017599793289</c:v>
                </c:pt>
                <c:pt idx="30">
                  <c:v>1.5019147940480539</c:v>
                </c:pt>
                <c:pt idx="31">
                  <c:v>1.5754611508600009</c:v>
                </c:pt>
                <c:pt idx="32">
                  <c:v>1.6526089547192409</c:v>
                </c:pt>
                <c:pt idx="33">
                  <c:v>1.7335345627071672</c:v>
                </c:pt>
                <c:pt idx="34">
                  <c:v>1.8184229678283863</c:v>
                </c:pt>
                <c:pt idx="35">
                  <c:v>1.907468221898017</c:v>
                </c:pt>
                <c:pt idx="36">
                  <c:v>2.0008738791371008</c:v>
                </c:pt>
                <c:pt idx="37">
                  <c:v>2.0988534614901684</c:v>
                </c:pt>
                <c:pt idx="38">
                  <c:v>2.2016309467286597</c:v>
                </c:pt>
                <c:pt idx="39">
                  <c:v>2.309441280455987</c:v>
                </c:pt>
                <c:pt idx="40">
                  <c:v>2.4225309131846604</c:v>
                </c:pt>
                <c:pt idx="41">
                  <c:v>2.541158363713222</c:v>
                </c:pt>
                <c:pt idx="42">
                  <c:v>2.6655948100908424</c:v>
                </c:pt>
                <c:pt idx="43">
                  <c:v>2.7961247095205048</c:v>
                </c:pt>
                <c:pt idx="44">
                  <c:v>2.933046448617854</c:v>
                </c:pt>
                <c:pt idx="45">
                  <c:v>3.0766730255121759</c:v>
                </c:pt>
                <c:pt idx="46">
                  <c:v>3.2273327653487693</c:v>
                </c:pt>
                <c:pt idx="47">
                  <c:v>3.3853700708283196</c:v>
                </c:pt>
                <c:pt idx="48">
                  <c:v>3.5511462094989792</c:v>
                </c:pt>
                <c:pt idx="49">
                  <c:v>3.725040139600881</c:v>
                </c:pt>
                <c:pt idx="50">
                  <c:v>3.9074493763509288</c:v>
                </c:pt>
                <c:pt idx="51">
                  <c:v>4.0987909006481651</c:v>
                </c:pt>
                <c:pt idx="52">
                  <c:v>4.2995021122769828</c:v>
                </c:pt>
                <c:pt idx="53">
                  <c:v>4.5100418297871663</c:v>
                </c:pt>
                <c:pt idx="54">
                  <c:v>4.7308913393364547</c:v>
                </c:pt>
                <c:pt idx="55">
                  <c:v>4.962555494893242</c:v>
                </c:pt>
                <c:pt idx="56">
                  <c:v>5.2055638723144373</c:v>
                </c:pt>
                <c:pt idx="57">
                  <c:v>5.4604719799366652</c:v>
                </c:pt>
                <c:pt idx="58">
                  <c:v>5.727862528448175</c:v>
                </c:pt>
                <c:pt idx="59">
                  <c:v>6.0083467629443374</c:v>
                </c:pt>
                <c:pt idx="60">
                  <c:v>6.3025658602117636</c:v>
                </c:pt>
                <c:pt idx="61">
                  <c:v>6.6111923944351814</c:v>
                </c:pt>
                <c:pt idx="62">
                  <c:v>6.9349318746776287</c:v>
                </c:pt>
                <c:pt idx="63">
                  <c:v>7.2745243576485805</c:v>
                </c:pt>
                <c:pt idx="64">
                  <c:v>7.6307461394467451</c:v>
                </c:pt>
                <c:pt idx="65">
                  <c:v>8.0044115301447878</c:v>
                </c:pt>
                <c:pt idx="66">
                  <c:v>8.3963747152726214</c:v>
                </c:pt>
                <c:pt idx="67">
                  <c:v>8.8075317084545475</c:v>
                </c:pt>
                <c:pt idx="68">
                  <c:v>9.2388223996638974</c:v>
                </c:pt>
                <c:pt idx="69">
                  <c:v>9.6912327037774268</c:v>
                </c:pt>
                <c:pt idx="70">
                  <c:v>10.165796814340958</c:v>
                </c:pt>
                <c:pt idx="71">
                  <c:v>10.663599567698318</c:v>
                </c:pt>
                <c:pt idx="72">
                  <c:v>11.185778922887872</c:v>
                </c:pt>
                <c:pt idx="73">
                  <c:v>11.733528562975607</c:v>
                </c:pt>
                <c:pt idx="74">
                  <c:v>12.308100623771331</c:v>
                </c:pt>
                <c:pt idx="75">
                  <c:v>12.91080855616571</c:v>
                </c:pt>
                <c:pt idx="76">
                  <c:v>13.543030128631372</c:v>
                </c:pt>
                <c:pt idx="77">
                  <c:v>14.206210576751655</c:v>
                </c:pt>
                <c:pt idx="78">
                  <c:v>14.901865906976735</c:v>
                </c:pt>
                <c:pt idx="79">
                  <c:v>15.631586362159382</c:v>
                </c:pt>
                <c:pt idx="80">
                  <c:v>16.397040056792445</c:v>
                </c:pt>
                <c:pt idx="81">
                  <c:v>17.19997679025807</c:v>
                </c:pt>
                <c:pt idx="82">
                  <c:v>18.042232046805633</c:v>
                </c:pt>
                <c:pt idx="83">
                  <c:v>18.92573119140215</c:v>
                </c:pt>
                <c:pt idx="84">
                  <c:v>19.852493871046757</c:v>
                </c:pt>
                <c:pt idx="85">
                  <c:v>20.824638631610505</c:v>
                </c:pt>
                <c:pt idx="86">
                  <c:v>21.84438776075536</c:v>
                </c:pt>
                <c:pt idx="87">
                  <c:v>22.914072368003218</c:v>
                </c:pt>
                <c:pt idx="88">
                  <c:v>24.036137713567701</c:v>
                </c:pt>
                <c:pt idx="89">
                  <c:v>25.21314879813032</c:v>
                </c:pt>
                <c:pt idx="90">
                  <c:v>26.447796226339001</c:v>
                </c:pt>
                <c:pt idx="91">
                  <c:v>27.742902357432719</c:v>
                </c:pt>
                <c:pt idx="92">
                  <c:v>29.101427757052338</c:v>
                </c:pt>
                <c:pt idx="93">
                  <c:v>30.526477964986295</c:v>
                </c:pt>
                <c:pt idx="94">
                  <c:v>32.021310594321911</c:v>
                </c:pt>
                <c:pt idx="95">
                  <c:v>33.589342778230758</c:v>
                </c:pt>
                <c:pt idx="96">
                  <c:v>35.234158981411127</c:v>
                </c:pt>
                <c:pt idx="97">
                  <c:v>36.959519194044347</c:v>
                </c:pt>
                <c:pt idx="98">
                  <c:v>38.769367526995929</c:v>
                </c:pt>
                <c:pt idx="99">
                  <c:v>40.66784122790996</c:v>
                </c:pt>
                <c:pt idx="100">
                  <c:v>42.659280138807176</c:v>
                </c:pt>
                <c:pt idx="101">
                  <c:v>44.748236616806373</c:v>
                </c:pt>
                <c:pt idx="102">
                  <c:v>46.939485940647693</c:v>
                </c:pt>
                <c:pt idx="103">
                  <c:v>49.238037226806597</c:v>
                </c:pt>
                <c:pt idx="104">
                  <c:v>51.649144880152463</c:v>
                </c:pt>
                <c:pt idx="105">
                  <c:v>54.178320605327521</c:v>
                </c:pt>
                <c:pt idx="106">
                  <c:v>56.831346006303754</c:v>
                </c:pt>
                <c:pt idx="107">
                  <c:v>59.614285802919873</c:v>
                </c:pt>
                <c:pt idx="108">
                  <c:v>62.533501694610891</c:v>
                </c:pt>
                <c:pt idx="109">
                  <c:v>65.595666903022305</c:v>
                </c:pt>
                <c:pt idx="110">
                  <c:v>68.807781426752868</c:v>
                </c:pt>
              </c:numCache>
            </c:numRef>
          </c:xVal>
          <c:yVal>
            <c:numRef>
              <c:f>'Berekening trap 2'!$M$76:$M$186</c:f>
              <c:numCache>
                <c:formatCode>0.0000E+00</c:formatCode>
                <c:ptCount val="111"/>
                <c:pt idx="0">
                  <c:v>99.999999167538064</c:v>
                </c:pt>
                <c:pt idx="1">
                  <c:v>99.999997675080365</c:v>
                </c:pt>
                <c:pt idx="2">
                  <c:v>99.999993600080899</c:v>
                </c:pt>
                <c:pt idx="3">
                  <c:v>99.999982408580081</c:v>
                </c:pt>
                <c:pt idx="4">
                  <c:v>99.999951608742265</c:v>
                </c:pt>
                <c:pt idx="5">
                  <c:v>99.999866760052342</c:v>
                </c:pt>
                <c:pt idx="6">
                  <c:v>99.999632897921401</c:v>
                </c:pt>
                <c:pt idx="7">
                  <c:v>99.998988186637717</c:v>
                </c:pt>
                <c:pt idx="8">
                  <c:v>99.997210819599928</c:v>
                </c:pt>
                <c:pt idx="9">
                  <c:v>99.992311509981064</c:v>
                </c:pt>
                <c:pt idx="10">
                  <c:v>99.978809701113647</c:v>
                </c:pt>
                <c:pt idx="11">
                  <c:v>99.941612495141584</c:v>
                </c:pt>
                <c:pt idx="12">
                  <c:v>99.839175473954285</c:v>
                </c:pt>
                <c:pt idx="13">
                  <c:v>99.557207272599697</c:v>
                </c:pt>
                <c:pt idx="14">
                  <c:v>99.053082878462007</c:v>
                </c:pt>
                <c:pt idx="15">
                  <c:v>98.630967526972995</c:v>
                </c:pt>
                <c:pt idx="16">
                  <c:v>97.99773597348134</c:v>
                </c:pt>
                <c:pt idx="17">
                  <c:v>97.047340563943322</c:v>
                </c:pt>
                <c:pt idx="18">
                  <c:v>95.654988059935789</c:v>
                </c:pt>
                <c:pt idx="19">
                  <c:v>94.550805905105932</c:v>
                </c:pt>
                <c:pt idx="20">
                  <c:v>93.292433907254789</c:v>
                </c:pt>
                <c:pt idx="21">
                  <c:v>91.841742655196029</c:v>
                </c:pt>
                <c:pt idx="22">
                  <c:v>90.149907329301541</c:v>
                </c:pt>
                <c:pt idx="23">
                  <c:v>88.362793850089986</c:v>
                </c:pt>
                <c:pt idx="24">
                  <c:v>86.660571533382239</c:v>
                </c:pt>
                <c:pt idx="25">
                  <c:v>84.774199981047232</c:v>
                </c:pt>
                <c:pt idx="26">
                  <c:v>83.083781117900358</c:v>
                </c:pt>
                <c:pt idx="27">
                  <c:v>81.240194704499018</c:v>
                </c:pt>
                <c:pt idx="28">
                  <c:v>79.348992327172198</c:v>
                </c:pt>
                <c:pt idx="29">
                  <c:v>77.313469540798266</c:v>
                </c:pt>
                <c:pt idx="30">
                  <c:v>75.319066037593302</c:v>
                </c:pt>
                <c:pt idx="31">
                  <c:v>73.286808237814583</c:v>
                </c:pt>
                <c:pt idx="32">
                  <c:v>71.250202980926687</c:v>
                </c:pt>
                <c:pt idx="33">
                  <c:v>69.253086701233443</c:v>
                </c:pt>
                <c:pt idx="34">
                  <c:v>67.179399620416547</c:v>
                </c:pt>
                <c:pt idx="35">
                  <c:v>65.067065790237905</c:v>
                </c:pt>
                <c:pt idx="36">
                  <c:v>62.872534476275618</c:v>
                </c:pt>
                <c:pt idx="37">
                  <c:v>60.714322969044538</c:v>
                </c:pt>
                <c:pt idx="38">
                  <c:v>58.492208308139297</c:v>
                </c:pt>
                <c:pt idx="39">
                  <c:v>56.031145302484312</c:v>
                </c:pt>
                <c:pt idx="40">
                  <c:v>53.4220356367207</c:v>
                </c:pt>
                <c:pt idx="41">
                  <c:v>51.064708091567475</c:v>
                </c:pt>
                <c:pt idx="42">
                  <c:v>49.012188951984683</c:v>
                </c:pt>
                <c:pt idx="43">
                  <c:v>46.90000844735119</c:v>
                </c:pt>
                <c:pt idx="44">
                  <c:v>44.640542303065835</c:v>
                </c:pt>
                <c:pt idx="45">
                  <c:v>42.363267258056496</c:v>
                </c:pt>
                <c:pt idx="46">
                  <c:v>40.076807201141101</c:v>
                </c:pt>
                <c:pt idx="47">
                  <c:v>37.783502944945504</c:v>
                </c:pt>
                <c:pt idx="48">
                  <c:v>35.607043374682185</c:v>
                </c:pt>
                <c:pt idx="49">
                  <c:v>33.477157668225999</c:v>
                </c:pt>
                <c:pt idx="50">
                  <c:v>31.444695753331885</c:v>
                </c:pt>
                <c:pt idx="51">
                  <c:v>29.496300019807197</c:v>
                </c:pt>
                <c:pt idx="52">
                  <c:v>27.588746905179324</c:v>
                </c:pt>
                <c:pt idx="53">
                  <c:v>25.731444025002478</c:v>
                </c:pt>
                <c:pt idx="54">
                  <c:v>23.929995665897227</c:v>
                </c:pt>
                <c:pt idx="55">
                  <c:v>22.294456408436417</c:v>
                </c:pt>
                <c:pt idx="56">
                  <c:v>20.718046079661292</c:v>
                </c:pt>
                <c:pt idx="57">
                  <c:v>19.188328639500185</c:v>
                </c:pt>
                <c:pt idx="58">
                  <c:v>17.674083683569489</c:v>
                </c:pt>
                <c:pt idx="59">
                  <c:v>16.250057088860146</c:v>
                </c:pt>
                <c:pt idx="60">
                  <c:v>14.908286661653076</c:v>
                </c:pt>
                <c:pt idx="61">
                  <c:v>13.629860352521874</c:v>
                </c:pt>
                <c:pt idx="62">
                  <c:v>12.422382089641719</c:v>
                </c:pt>
                <c:pt idx="63">
                  <c:v>11.276030326473146</c:v>
                </c:pt>
                <c:pt idx="64">
                  <c:v>10.19617511313141</c:v>
                </c:pt>
                <c:pt idx="65">
                  <c:v>9.1787969592632699</c:v>
                </c:pt>
                <c:pt idx="66">
                  <c:v>8.2384081158354707</c:v>
                </c:pt>
                <c:pt idx="67">
                  <c:v>7.3627385364190125</c:v>
                </c:pt>
                <c:pt idx="68">
                  <c:v>6.4974334510505303</c:v>
                </c:pt>
                <c:pt idx="69">
                  <c:v>5.6646867104839354</c:v>
                </c:pt>
                <c:pt idx="70">
                  <c:v>4.9582429916773156</c:v>
                </c:pt>
                <c:pt idx="71">
                  <c:v>4.3578964440287278</c:v>
                </c:pt>
                <c:pt idx="72">
                  <c:v>3.8075583329747795</c:v>
                </c:pt>
                <c:pt idx="73">
                  <c:v>3.2830808543813452</c:v>
                </c:pt>
                <c:pt idx="74">
                  <c:v>2.8102274721709546</c:v>
                </c:pt>
                <c:pt idx="75">
                  <c:v>2.3788036811970916</c:v>
                </c:pt>
                <c:pt idx="76">
                  <c:v>1.9930244314625019</c:v>
                </c:pt>
                <c:pt idx="77">
                  <c:v>1.6593900163752382</c:v>
                </c:pt>
                <c:pt idx="78">
                  <c:v>1.3694610740559552</c:v>
                </c:pt>
                <c:pt idx="79">
                  <c:v>1.1404657234803364</c:v>
                </c:pt>
                <c:pt idx="80">
                  <c:v>0.97137483885341636</c:v>
                </c:pt>
                <c:pt idx="81">
                  <c:v>0.8271847924122504</c:v>
                </c:pt>
                <c:pt idx="82">
                  <c:v>0.65884537246408725</c:v>
                </c:pt>
                <c:pt idx="83">
                  <c:v>0.49281476436299182</c:v>
                </c:pt>
                <c:pt idx="84">
                  <c:v>0.39282561703334745</c:v>
                </c:pt>
                <c:pt idx="85">
                  <c:v>0.31145564374427687</c:v>
                </c:pt>
                <c:pt idx="86">
                  <c:v>0.24369338319931089</c:v>
                </c:pt>
                <c:pt idx="87">
                  <c:v>0.18794313735946117</c:v>
                </c:pt>
                <c:pt idx="88">
                  <c:v>0.14420441860338853</c:v>
                </c:pt>
                <c:pt idx="89">
                  <c:v>0.11046001791454189</c:v>
                </c:pt>
                <c:pt idx="90">
                  <c:v>8.3860771167088233E-2</c:v>
                </c:pt>
                <c:pt idx="91">
                  <c:v>6.3433311625605449E-2</c:v>
                </c:pt>
                <c:pt idx="92">
                  <c:v>4.7553597774101501E-2</c:v>
                </c:pt>
                <c:pt idx="93">
                  <c:v>3.4246576142588893E-2</c:v>
                </c:pt>
                <c:pt idx="94">
                  <c:v>2.4075795585718221E-2</c:v>
                </c:pt>
                <c:pt idx="95">
                  <c:v>1.8521004831919114E-2</c:v>
                </c:pt>
                <c:pt idx="96">
                  <c:v>1.454527285042592E-2</c:v>
                </c:pt>
                <c:pt idx="97">
                  <c:v>1.1642165532576802E-2</c:v>
                </c:pt>
                <c:pt idx="98">
                  <c:v>7.8132056338732127E-3</c:v>
                </c:pt>
                <c:pt idx="99">
                  <c:v>5.1402980722659967E-3</c:v>
                </c:pt>
                <c:pt idx="100">
                  <c:v>3.6027915681779493E-3</c:v>
                </c:pt>
                <c:pt idx="101">
                  <c:v>2.5262283155035223E-3</c:v>
                </c:pt>
                <c:pt idx="102">
                  <c:v>1.7012860014813322E-3</c:v>
                </c:pt>
                <c:pt idx="103">
                  <c:v>1.1342742399296124E-3</c:v>
                </c:pt>
                <c:pt idx="104">
                  <c:v>7.2784075804063243E-4</c:v>
                </c:pt>
                <c:pt idx="105">
                  <c:v>4.5385882453940541E-4</c:v>
                </c:pt>
                <c:pt idx="106">
                  <c:v>2.7222343643046331E-4</c:v>
                </c:pt>
                <c:pt idx="107">
                  <c:v>1.5417283117171625E-4</c:v>
                </c:pt>
                <c:pt idx="108">
                  <c:v>7.8717471750346874E-5</c:v>
                </c:pt>
                <c:pt idx="109">
                  <c:v>3.0590933371517693E-5</c:v>
                </c:pt>
                <c:pt idx="110">
                  <c:v>3.6965676559249511E-14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55-4C1A-BCF0-AA321876334A}"/>
            </c:ext>
          </c:extLst>
        </c:ser>
        <c:ser>
          <c:idx val="0"/>
          <c:order val="1"/>
          <c:tx>
            <c:v>Grade Efficiency Stage 2</c:v>
          </c:tx>
          <c:spPr>
            <a:ln w="952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'Berekening trap 2'!$B$76:$B$186</c:f>
              <c:numCache>
                <c:formatCode>General</c:formatCode>
                <c:ptCount val="111"/>
                <c:pt idx="0">
                  <c:v>0.17895473832498884</c:v>
                </c:pt>
                <c:pt idx="1">
                  <c:v>0.36667260295394372</c:v>
                </c:pt>
                <c:pt idx="2">
                  <c:v>0.38462797179170033</c:v>
                </c:pt>
                <c:pt idx="3">
                  <c:v>0.40346258622212638</c:v>
                </c:pt>
                <c:pt idx="4">
                  <c:v>0.42321950149065923</c:v>
                </c:pt>
                <c:pt idx="5">
                  <c:v>0.44394388118899941</c:v>
                </c:pt>
                <c:pt idx="6">
                  <c:v>0.4656831004974431</c:v>
                </c:pt>
                <c:pt idx="7">
                  <c:v>0.48848685448282592</c:v>
                </c:pt>
                <c:pt idx="8">
                  <c:v>0.51240727169964306</c:v>
                </c:pt>
                <c:pt idx="9">
                  <c:v>0.53749903335403448</c:v>
                </c:pt>
                <c:pt idx="10">
                  <c:v>0.56381949830303846</c:v>
                </c:pt>
                <c:pt idx="11">
                  <c:v>0.59142883417485859</c:v>
                </c:pt>
                <c:pt idx="12">
                  <c:v>0.62039015490987914</c:v>
                </c:pt>
                <c:pt idx="13">
                  <c:v>0.65076966503684375</c:v>
                </c:pt>
                <c:pt idx="14">
                  <c:v>0.68263681101400731</c:v>
                </c:pt>
                <c:pt idx="15">
                  <c:v>0.71606443998121994</c:v>
                </c:pt>
                <c:pt idx="16">
                  <c:v>0.75112896628584647</c:v>
                </c:pt>
                <c:pt idx="17">
                  <c:v>0.78791054616319345</c:v>
                </c:pt>
                <c:pt idx="18">
                  <c:v>0.82649326097075537</c:v>
                </c:pt>
                <c:pt idx="19">
                  <c:v>0.86696530939514815</c:v>
                </c:pt>
                <c:pt idx="20">
                  <c:v>0.90941920907110763</c:v>
                </c:pt>
                <c:pt idx="21">
                  <c:v>0.95395200807344716</c:v>
                </c:pt>
                <c:pt idx="22">
                  <c:v>1.0006655067654364</c:v>
                </c:pt>
                <c:pt idx="23">
                  <c:v>1.0496664905107393</c:v>
                </c:pt>
                <c:pt idx="24">
                  <c:v>1.101066973780882</c:v>
                </c:pt>
                <c:pt idx="25">
                  <c:v>1.1549844562162725</c:v>
                </c:pt>
                <c:pt idx="26">
                  <c:v>1.2115421912261168</c:v>
                </c:pt>
                <c:pt idx="27">
                  <c:v>1.2708694677412404</c:v>
                </c:pt>
                <c:pt idx="28">
                  <c:v>1.3331019057638969</c:v>
                </c:pt>
                <c:pt idx="29">
                  <c:v>1.3983817663901723</c:v>
                </c:pt>
                <c:pt idx="30">
                  <c:v>1.4668582770136913</c:v>
                </c:pt>
                <c:pt idx="31">
                  <c:v>1.5386879724540274</c:v>
                </c:pt>
                <c:pt idx="32">
                  <c:v>1.614035052789621</c:v>
                </c:pt>
                <c:pt idx="33">
                  <c:v>1.693071758713204</c:v>
                </c:pt>
                <c:pt idx="34">
                  <c:v>1.7759787652677768</c:v>
                </c:pt>
                <c:pt idx="35">
                  <c:v>1.8629455948632017</c:v>
                </c:pt>
                <c:pt idx="36">
                  <c:v>1.9541710505175589</c:v>
                </c:pt>
                <c:pt idx="37">
                  <c:v>2.0498636703136346</c:v>
                </c:pt>
                <c:pt idx="38">
                  <c:v>2.1502422041094142</c:v>
                </c:pt>
                <c:pt idx="39">
                  <c:v>2.2555361135923233</c:v>
                </c:pt>
                <c:pt idx="40">
                  <c:v>2.3659860968203237</c:v>
                </c:pt>
                <c:pt idx="41">
                  <c:v>2.4818446384489414</c:v>
                </c:pt>
                <c:pt idx="42">
                  <c:v>2.6033765869020322</c:v>
                </c:pt>
                <c:pt idx="43">
                  <c:v>2.7308597598056736</c:v>
                </c:pt>
                <c:pt idx="44">
                  <c:v>2.8645855790691792</c:v>
                </c:pt>
                <c:pt idx="45">
                  <c:v>3.004859737065015</c:v>
                </c:pt>
                <c:pt idx="46">
                  <c:v>3.1520028954304724</c:v>
                </c:pt>
                <c:pt idx="47">
                  <c:v>3.3063514180885445</c:v>
                </c:pt>
                <c:pt idx="48">
                  <c:v>3.4682581401636492</c:v>
                </c:pt>
                <c:pt idx="49">
                  <c:v>3.6380931745499301</c:v>
                </c:pt>
                <c:pt idx="50">
                  <c:v>3.8162447579759049</c:v>
                </c:pt>
                <c:pt idx="51">
                  <c:v>4.003120138499547</c:v>
                </c:pt>
                <c:pt idx="52">
                  <c:v>4.1991465064625739</c:v>
                </c:pt>
                <c:pt idx="53">
                  <c:v>4.4047719710320745</c:v>
                </c:pt>
                <c:pt idx="54">
                  <c:v>4.6204665845618109</c:v>
                </c:pt>
                <c:pt idx="55">
                  <c:v>4.8467234171148483</c:v>
                </c:pt>
                <c:pt idx="56">
                  <c:v>5.0840596836038401</c:v>
                </c:pt>
                <c:pt idx="57">
                  <c:v>5.3330179261255513</c:v>
                </c:pt>
                <c:pt idx="58">
                  <c:v>5.5941672541924206</c:v>
                </c:pt>
                <c:pt idx="59">
                  <c:v>5.8681046456962562</c:v>
                </c:pt>
                <c:pt idx="60">
                  <c:v>6.1554563115780505</c:v>
                </c:pt>
                <c:pt idx="61">
                  <c:v>6.4568791273234725</c:v>
                </c:pt>
                <c:pt idx="62">
                  <c:v>6.7730621345564046</c:v>
                </c:pt>
                <c:pt idx="63">
                  <c:v>7.1047281161631046</c:v>
                </c:pt>
                <c:pt idx="64">
                  <c:v>7.4526352485476632</c:v>
                </c:pt>
                <c:pt idx="65">
                  <c:v>7.817578834795766</c:v>
                </c:pt>
                <c:pt idx="66">
                  <c:v>8.2003931227087037</c:v>
                </c:pt>
                <c:pt idx="67">
                  <c:v>8.6019532118635844</c:v>
                </c:pt>
                <c:pt idx="68">
                  <c:v>9.0231770540592215</c:v>
                </c:pt>
                <c:pt idx="69">
                  <c:v>9.465027551720663</c:v>
                </c:pt>
                <c:pt idx="70">
                  <c:v>9.9285147590591922</c:v>
                </c:pt>
                <c:pt idx="71">
                  <c:v>10.414698191019639</c:v>
                </c:pt>
                <c:pt idx="72">
                  <c:v>10.924689245293095</c:v>
                </c:pt>
                <c:pt idx="73">
                  <c:v>11.459653742931739</c:v>
                </c:pt>
                <c:pt idx="74">
                  <c:v>12.020814593373469</c:v>
                </c:pt>
                <c:pt idx="75">
                  <c:v>12.609454589968522</c:v>
                </c:pt>
                <c:pt idx="76">
                  <c:v>13.226919342398542</c:v>
                </c:pt>
                <c:pt idx="77">
                  <c:v>13.874620352691514</c:v>
                </c:pt>
                <c:pt idx="78">
                  <c:v>14.554038241864195</c:v>
                </c:pt>
                <c:pt idx="79">
                  <c:v>15.266726134568058</c:v>
                </c:pt>
                <c:pt idx="80">
                  <c:v>16.014313209475915</c:v>
                </c:pt>
                <c:pt idx="81">
                  <c:v>16.798508423525256</c:v>
                </c:pt>
                <c:pt idx="82">
                  <c:v>17.62110441853185</c:v>
                </c:pt>
                <c:pt idx="83">
                  <c:v>18.483981619103893</c:v>
                </c:pt>
                <c:pt idx="84">
                  <c:v>19.389112531224455</c:v>
                </c:pt>
                <c:pt idx="85">
                  <c:v>20.338566251328629</c:v>
                </c:pt>
                <c:pt idx="86">
                  <c:v>21.334513196182932</c:v>
                </c:pt>
                <c:pt idx="87">
                  <c:v>22.379230064379289</c:v>
                </c:pt>
                <c:pt idx="88">
                  <c:v>23.475105040785458</c:v>
                </c:pt>
                <c:pt idx="89">
                  <c:v>24.624643255849008</c:v>
                </c:pt>
                <c:pt idx="90">
                  <c:v>25.83047251223466</c:v>
                </c:pt>
                <c:pt idx="91">
                  <c:v>27.09534929188586</c:v>
                </c:pt>
                <c:pt idx="92">
                  <c:v>28.42216505724253</c:v>
                </c:pt>
                <c:pt idx="93">
                  <c:v>29.813952861019317</c:v>
                </c:pt>
                <c:pt idx="94">
                  <c:v>31.273894279654101</c:v>
                </c:pt>
                <c:pt idx="95">
                  <c:v>32.805326686276331</c:v>
                </c:pt>
                <c:pt idx="96">
                  <c:v>34.411750879820943</c:v>
                </c:pt>
                <c:pt idx="97">
                  <c:v>36.096839087727737</c:v>
                </c:pt>
                <c:pt idx="98">
                  <c:v>37.864443360520141</c:v>
                </c:pt>
                <c:pt idx="99">
                  <c:v>39.718604377452948</c:v>
                </c:pt>
                <c:pt idx="100">
                  <c:v>41.663560683358568</c:v>
                </c:pt>
                <c:pt idx="101">
                  <c:v>43.703758377806778</c:v>
                </c:pt>
                <c:pt idx="102">
                  <c:v>45.843861278727033</c:v>
                </c:pt>
                <c:pt idx="103">
                  <c:v>48.088761583727148</c:v>
                </c:pt>
                <c:pt idx="104">
                  <c:v>50.44359105347953</c:v>
                </c:pt>
                <c:pt idx="105">
                  <c:v>52.913732742739995</c:v>
                </c:pt>
                <c:pt idx="106">
                  <c:v>55.504833305815637</c:v>
                </c:pt>
                <c:pt idx="107">
                  <c:v>58.222815904611814</c:v>
                </c:pt>
                <c:pt idx="108">
                  <c:v>61.073893748765386</c:v>
                </c:pt>
                <c:pt idx="109">
                  <c:v>64.064584298816598</c:v>
                </c:pt>
                <c:pt idx="110">
                  <c:v>67.201724164887594</c:v>
                </c:pt>
              </c:numCache>
            </c:numRef>
          </c:xVal>
          <c:yVal>
            <c:numRef>
              <c:f>'Berekening trap 2'!$J$76:$J$186</c:f>
              <c:numCache>
                <c:formatCode>General</c:formatCode>
                <c:ptCount val="111"/>
                <c:pt idx="0">
                  <c:v>0</c:v>
                </c:pt>
                <c:pt idx="1">
                  <c:v>2.4291728018478409</c:v>
                </c:pt>
                <c:pt idx="2">
                  <c:v>5.4393159816031869</c:v>
                </c:pt>
                <c:pt idx="3">
                  <c:v>7.9531654606958284</c:v>
                </c:pt>
                <c:pt idx="4">
                  <c:v>10.244112095061894</c:v>
                </c:pt>
                <c:pt idx="5">
                  <c:v>12.402622555094339</c:v>
                </c:pt>
                <c:pt idx="6">
                  <c:v>14.472974912611761</c:v>
                </c:pt>
                <c:pt idx="7">
                  <c:v>16.48089334394227</c:v>
                </c:pt>
                <c:pt idx="8">
                  <c:v>18.442872225608468</c:v>
                </c:pt>
                <c:pt idx="9">
                  <c:v>20.370177846397169</c:v>
                </c:pt>
                <c:pt idx="10">
                  <c:v>22.270838663283243</c:v>
                </c:pt>
                <c:pt idx="11">
                  <c:v>24.150740601559491</c:v>
                </c:pt>
                <c:pt idx="12">
                  <c:v>26.014276325376741</c:v>
                </c:pt>
                <c:pt idx="13">
                  <c:v>27.864752706962889</c:v>
                </c:pt>
                <c:pt idx="14">
                  <c:v>29.704658395495557</c:v>
                </c:pt>
                <c:pt idx="15">
                  <c:v>31.535846134054538</c:v>
                </c:pt>
                <c:pt idx="16">
                  <c:v>33.359660887155201</c:v>
                </c:pt>
                <c:pt idx="17">
                  <c:v>35.177032304114931</c:v>
                </c:pt>
                <c:pt idx="18">
                  <c:v>36.988543023286589</c:v>
                </c:pt>
                <c:pt idx="19">
                  <c:v>38.794480215103597</c:v>
                </c:pt>
                <c:pt idx="20">
                  <c:v>40.594875267327282</c:v>
                </c:pt>
                <c:pt idx="21">
                  <c:v>42.389534950764954</c:v>
                </c:pt>
                <c:pt idx="22">
                  <c:v>44.178066393399362</c:v>
                </c:pt>
                <c:pt idx="23">
                  <c:v>45.959897522000539</c:v>
                </c:pt>
                <c:pt idx="24">
                  <c:v>47.73429417730275</c:v>
                </c:pt>
                <c:pt idx="25">
                  <c:v>49.500374795603562</c:v>
                </c:pt>
                <c:pt idx="26">
                  <c:v>51.257123328808078</c:v>
                </c:pt>
                <c:pt idx="27">
                  <c:v>53.003400916311818</c:v>
                </c:pt>
                <c:pt idx="28">
                  <c:v>54.737956706035099</c:v>
                </c:pt>
                <c:pt idx="29">
                  <c:v>56.459438135336363</c:v>
                </c:pt>
                <c:pt idx="30">
                  <c:v>58.166400916618059</c:v>
                </c:pt>
                <c:pt idx="31">
                  <c:v>59.857318921129057</c:v>
                </c:pt>
                <c:pt idx="32">
                  <c:v>61.530594113531173</c:v>
                </c:pt>
                <c:pt idx="33">
                  <c:v>63.184566656243959</c:v>
                </c:pt>
                <c:pt idx="34">
                  <c:v>64.817525274273152</c:v>
                </c:pt>
                <c:pt idx="35">
                  <c:v>66.427717946627808</c:v>
                </c:pt>
                <c:pt idx="36">
                  <c:v>68.013362968427316</c:v>
                </c:pt>
                <c:pt idx="37">
                  <c:v>69.572660407593006</c:v>
                </c:pt>
                <c:pt idx="38">
                  <c:v>71.103803961044946</c:v>
                </c:pt>
                <c:pt idx="39">
                  <c:v>72.604993197193636</c:v>
                </c:pt>
                <c:pt idx="40">
                  <c:v>74.07444615398245</c:v>
                </c:pt>
                <c:pt idx="41">
                  <c:v>75.510412244666</c:v>
                </c:pt>
                <c:pt idx="42">
                  <c:v>76.911185406866409</c:v>
                </c:pt>
                <c:pt idx="43">
                  <c:v>78.2751174142753</c:v>
                </c:pt>
                <c:pt idx="44">
                  <c:v>79.6006312547824</c:v>
                </c:pt>
                <c:pt idx="45">
                  <c:v>80.886234463988956</c:v>
                </c:pt>
                <c:pt idx="46">
                  <c:v>82.130532289237735</c:v>
                </c:pt>
                <c:pt idx="47">
                  <c:v>83.332240546744259</c:v>
                </c:pt>
                <c:pt idx="48">
                  <c:v>84.490198023462142</c:v>
                </c:pt>
                <c:pt idx="49">
                  <c:v>85.603378266312646</c:v>
                </c:pt>
                <c:pt idx="50">
                  <c:v>86.670900594720166</c:v>
                </c:pt>
                <c:pt idx="51">
                  <c:v>87.6920401684024</c:v>
                </c:pt>
                <c:pt idx="52">
                  <c:v>88.666236941435542</c:v>
                </c:pt>
                <c:pt idx="53">
                  <c:v>89.593103336104008</c:v>
                </c:pt>
                <c:pt idx="54">
                  <c:v>90.472430476263</c:v>
                </c:pt>
                <c:pt idx="55">
                  <c:v>91.304192830150612</c:v>
                </c:pt>
                <c:pt idx="56">
                  <c:v>92.088551126968298</c:v>
                </c:pt>
                <c:pt idx="57">
                  <c:v>92.825853430195991</c:v>
                </c:pt>
                <c:pt idx="58">
                  <c:v>93.302398938276411</c:v>
                </c:pt>
                <c:pt idx="59">
                  <c:v>93.890110005385978</c:v>
                </c:pt>
                <c:pt idx="60">
                  <c:v>94.443927909083854</c:v>
                </c:pt>
                <c:pt idx="61">
                  <c:v>94.964120428237294</c:v>
                </c:pt>
                <c:pt idx="62">
                  <c:v>95.451096040901092</c:v>
                </c:pt>
                <c:pt idx="63">
                  <c:v>95.905400155590016</c:v>
                </c:pt>
                <c:pt idx="64">
                  <c:v>96.327709901270495</c:v>
                </c:pt>
                <c:pt idx="65">
                  <c:v>96.718827505212005</c:v>
                </c:pt>
                <c:pt idx="66">
                  <c:v>97.079672314179149</c:v>
                </c:pt>
                <c:pt idx="67">
                  <c:v>97.411271541280314</c:v>
                </c:pt>
                <c:pt idx="68">
                  <c:v>97.714749847437503</c:v>
                </c:pt>
                <c:pt idx="69">
                  <c:v>97.991317892167046</c:v>
                </c:pt>
                <c:pt idx="70">
                  <c:v>98.242260012379504</c:v>
                </c:pt>
                <c:pt idx="71">
                  <c:v>98.468921209419094</c:v>
                </c:pt>
                <c:pt idx="72">
                  <c:v>98.672693642783329</c:v>
                </c:pt>
                <c:pt idx="73">
                  <c:v>98.855002843145442</c:v>
                </c:pt>
                <c:pt idx="74">
                  <c:v>99.017293866783533</c:v>
                </c:pt>
                <c:pt idx="75">
                  <c:v>99.161017617747078</c:v>
                </c:pt>
                <c:pt idx="76">
                  <c:v>99.287617562658781</c:v>
                </c:pt>
                <c:pt idx="77">
                  <c:v>99.398517055730622</c:v>
                </c:pt>
                <c:pt idx="78">
                  <c:v>99.495107478339975</c:v>
                </c:pt>
                <c:pt idx="79">
                  <c:v>99.578737378562806</c:v>
                </c:pt>
                <c:pt idx="80">
                  <c:v>99.650702771817038</c:v>
                </c:pt>
                <c:pt idx="81">
                  <c:v>99.712238734883471</c:v>
                </c:pt>
                <c:pt idx="82">
                  <c:v>99.764512392906667</c:v>
                </c:pt>
                <c:pt idx="83">
                  <c:v>99.808617363583693</c:v>
                </c:pt>
                <c:pt idx="84">
                  <c:v>99.84556968582163</c:v>
                </c:pt>
                <c:pt idx="85">
                  <c:v>99.876305222981514</c:v>
                </c:pt>
                <c:pt idx="86">
                  <c:v>99.901678494760574</c:v>
                </c:pt>
                <c:pt idx="87">
                  <c:v>99.922462858108602</c:v>
                </c:pt>
                <c:pt idx="88">
                  <c:v>99.939351927548373</c:v>
                </c:pt>
                <c:pt idx="89">
                  <c:v>99.952962099938929</c:v>
                </c:pt>
                <c:pt idx="90">
                  <c:v>99.963836028938999</c:v>
                </c:pt>
                <c:pt idx="91">
                  <c:v>99.97244688078645</c:v>
                </c:pt>
                <c:pt idx="92">
                  <c:v>99.979203195809234</c:v>
                </c:pt>
                <c:pt idx="93">
                  <c:v>99.984454179312479</c:v>
                </c:pt>
                <c:pt idx="94">
                  <c:v>99.988495250829715</c:v>
                </c:pt>
                <c:pt idx="95">
                  <c:v>99.99157369158327</c:v>
                </c:pt>
                <c:pt idx="96">
                  <c:v>99.993894245528651</c:v>
                </c:pt>
                <c:pt idx="97">
                  <c:v>99.995624548529179</c:v>
                </c:pt>
                <c:pt idx="98">
                  <c:v>99.996900281874957</c:v>
                </c:pt>
                <c:pt idx="99">
                  <c:v>99.997829969329544</c:v>
                </c:pt>
                <c:pt idx="100">
                  <c:v>99.99849935999552</c:v>
                </c:pt>
                <c:pt idx="101">
                  <c:v>99.99897536147067</c:v>
                </c:pt>
                <c:pt idx="102">
                  <c:v>99.999309508108894</c:v>
                </c:pt>
                <c:pt idx="103">
                  <c:v>99.999540966996605</c:v>
                </c:pt>
                <c:pt idx="104">
                  <c:v>99.999699099019082</c:v>
                </c:pt>
                <c:pt idx="105">
                  <c:v>99.999805603874236</c:v>
                </c:pt>
                <c:pt idx="106">
                  <c:v>99.999876286061195</c:v>
                </c:pt>
                <c:pt idx="107">
                  <c:v>99.999922483897308</c:v>
                </c:pt>
                <c:pt idx="108">
                  <c:v>99.999952205822154</c:v>
                </c:pt>
                <c:pt idx="109">
                  <c:v>99.99997101806791</c:v>
                </c:pt>
                <c:pt idx="110">
                  <c:v>99.999982725711305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55-4C1A-BCF0-AA3218763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670208"/>
        <c:axId val="110672512"/>
      </c:scatterChart>
      <c:valAx>
        <c:axId val="110670208"/>
        <c:scaling>
          <c:logBase val="10"/>
          <c:orientation val="minMax"/>
          <c:max val="1000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Particle Size (µm)</a:t>
                </a:r>
              </a:p>
            </c:rich>
          </c:tx>
          <c:layout>
            <c:manualLayout>
              <c:xMode val="edge"/>
              <c:yMode val="edge"/>
              <c:x val="0.45464626326907875"/>
              <c:y val="0.94053351876332458"/>
            </c:manualLayout>
          </c:layout>
          <c:overlay val="0"/>
          <c:spPr>
            <a:noFill/>
            <a:ln w="25400">
              <a:noFill/>
            </a:ln>
          </c:spPr>
        </c:title>
        <c:numFmt formatCode="_-* #,##0_-;_-* #,##0\-;_-* &quot;-&quot;_-;_-@_-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0672512"/>
        <c:crossesAt val="0.1"/>
        <c:crossBetween val="midCat"/>
        <c:majorUnit val="10"/>
        <c:minorUnit val="10"/>
      </c:valAx>
      <c:valAx>
        <c:axId val="110672512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PSD Cumulative (%)  -  Grade Efficiency (%)       .</a:t>
                </a:r>
              </a:p>
            </c:rich>
          </c:tx>
          <c:layout>
            <c:manualLayout>
              <c:xMode val="edge"/>
              <c:yMode val="edge"/>
              <c:x val="1.7699124604148991E-2"/>
              <c:y val="0.29421015229202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0670208"/>
        <c:crossesAt val="0.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24885497242360125"/>
          <c:y val="9.5461762264363828E-2"/>
          <c:w val="0.51591059928081651"/>
          <c:h val="4.062315137936306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22" r="0.75000000000000222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PARTICLE SIZE DISTRIBUTION  &amp;  GRADE EFFICIENCY</a:t>
            </a:r>
          </a:p>
        </c:rich>
      </c:tx>
      <c:layout>
        <c:manualLayout>
          <c:xMode val="edge"/>
          <c:yMode val="edge"/>
          <c:x val="0.27876121251534625"/>
          <c:y val="2.816905713434239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327474855392874E-2"/>
          <c:y val="0.16744939518748189"/>
          <c:w val="0.88606242549520653"/>
          <c:h val="0.73239548549290501"/>
        </c:manualLayout>
      </c:layout>
      <c:scatterChart>
        <c:scatterStyle val="smoothMarker"/>
        <c:varyColors val="0"/>
        <c:ser>
          <c:idx val="1"/>
          <c:order val="0"/>
          <c:tx>
            <c:v>PSD user defined</c:v>
          </c:tx>
          <c:spPr>
            <a:ln w="28575">
              <a:noFill/>
            </a:ln>
          </c:spPr>
          <c:marker>
            <c:symbol val="circle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'Berekening trap 1'!$AD$76:$AD$146</c:f>
              <c:numCache>
                <c:formatCode>General</c:formatCode>
                <c:ptCount val="71"/>
                <c:pt idx="0">
                  <c:v>1E-8</c:v>
                </c:pt>
                <c:pt idx="1">
                  <c:v>0.61699999999999999</c:v>
                </c:pt>
                <c:pt idx="2">
                  <c:v>0.68600000000000005</c:v>
                </c:pt>
                <c:pt idx="3">
                  <c:v>0.748</c:v>
                </c:pt>
                <c:pt idx="4">
                  <c:v>0.85</c:v>
                </c:pt>
                <c:pt idx="5">
                  <c:v>0.94699999999999995</c:v>
                </c:pt>
                <c:pt idx="6">
                  <c:v>1.054</c:v>
                </c:pt>
                <c:pt idx="7">
                  <c:v>1.1779999999999999</c:v>
                </c:pt>
                <c:pt idx="8">
                  <c:v>1.3049999999999999</c:v>
                </c:pt>
                <c:pt idx="9">
                  <c:v>1.4530000000000001</c:v>
                </c:pt>
                <c:pt idx="10">
                  <c:v>1.617</c:v>
                </c:pt>
                <c:pt idx="11">
                  <c:v>1.8</c:v>
                </c:pt>
                <c:pt idx="12">
                  <c:v>2.0030000000000001</c:v>
                </c:pt>
                <c:pt idx="13">
                  <c:v>2.23</c:v>
                </c:pt>
                <c:pt idx="14">
                  <c:v>2.4820000000000002</c:v>
                </c:pt>
                <c:pt idx="15">
                  <c:v>2.762</c:v>
                </c:pt>
                <c:pt idx="16">
                  <c:v>3.0750000000000002</c:v>
                </c:pt>
                <c:pt idx="17">
                  <c:v>3.4220000000000002</c:v>
                </c:pt>
                <c:pt idx="18">
                  <c:v>3.8</c:v>
                </c:pt>
                <c:pt idx="19">
                  <c:v>4.2389999999999999</c:v>
                </c:pt>
                <c:pt idx="20">
                  <c:v>4.7160000000000002</c:v>
                </c:pt>
                <c:pt idx="21">
                  <c:v>5.2519999999999998</c:v>
                </c:pt>
                <c:pt idx="22">
                  <c:v>5.8449999999999998</c:v>
                </c:pt>
                <c:pt idx="23">
                  <c:v>6.5049999999999999</c:v>
                </c:pt>
                <c:pt idx="24">
                  <c:v>7.2409999999999997</c:v>
                </c:pt>
                <c:pt idx="25">
                  <c:v>8.0589999999999993</c:v>
                </c:pt>
                <c:pt idx="26">
                  <c:v>8.9700000000000006</c:v>
                </c:pt>
                <c:pt idx="27">
                  <c:v>9.9</c:v>
                </c:pt>
                <c:pt idx="28">
                  <c:v>11.11</c:v>
                </c:pt>
                <c:pt idx="29">
                  <c:v>12.38</c:v>
                </c:pt>
                <c:pt idx="30">
                  <c:v>13.76</c:v>
                </c:pt>
                <c:pt idx="31">
                  <c:v>15.32</c:v>
                </c:pt>
                <c:pt idx="32">
                  <c:v>17.5</c:v>
                </c:pt>
                <c:pt idx="33">
                  <c:v>18.97</c:v>
                </c:pt>
                <c:pt idx="34">
                  <c:v>21.21</c:v>
                </c:pt>
                <c:pt idx="35">
                  <c:v>23.51</c:v>
                </c:pt>
                <c:pt idx="36">
                  <c:v>26.16</c:v>
                </c:pt>
                <c:pt idx="37">
                  <c:v>29.12</c:v>
                </c:pt>
                <c:pt idx="38">
                  <c:v>32.14</c:v>
                </c:pt>
                <c:pt idx="39">
                  <c:v>37.07</c:v>
                </c:pt>
                <c:pt idx="40">
                  <c:v>40.15</c:v>
                </c:pt>
                <c:pt idx="41">
                  <c:v>44.89</c:v>
                </c:pt>
                <c:pt idx="42">
                  <c:v>49.74</c:v>
                </c:pt>
                <c:pt idx="43">
                  <c:v>55.36</c:v>
                </c:pt>
                <c:pt idx="44">
                  <c:v>61.61</c:v>
                </c:pt>
                <c:pt idx="45">
                  <c:v>68.58</c:v>
                </c:pt>
                <c:pt idx="46">
                  <c:v>73.33</c:v>
                </c:pt>
                <c:pt idx="47">
                  <c:v>84.95</c:v>
                </c:pt>
                <c:pt idx="48">
                  <c:v>94.55</c:v>
                </c:pt>
                <c:pt idx="49">
                  <c:v>105.2</c:v>
                </c:pt>
                <c:pt idx="50">
                  <c:v>117.1</c:v>
                </c:pt>
                <c:pt idx="51">
                  <c:v>200</c:v>
                </c:pt>
                <c:pt idx="52">
                  <c:v>10000</c:v>
                </c:pt>
                <c:pt idx="53">
                  <c:v>10000</c:v>
                </c:pt>
                <c:pt idx="54">
                  <c:v>10000</c:v>
                </c:pt>
                <c:pt idx="55">
                  <c:v>10000</c:v>
                </c:pt>
                <c:pt idx="56">
                  <c:v>10000</c:v>
                </c:pt>
                <c:pt idx="57">
                  <c:v>10000</c:v>
                </c:pt>
                <c:pt idx="58">
                  <c:v>10000</c:v>
                </c:pt>
                <c:pt idx="59">
                  <c:v>10000</c:v>
                </c:pt>
                <c:pt idx="60">
                  <c:v>10000</c:v>
                </c:pt>
                <c:pt idx="61">
                  <c:v>10000</c:v>
                </c:pt>
                <c:pt idx="62">
                  <c:v>10000</c:v>
                </c:pt>
                <c:pt idx="63">
                  <c:v>10000</c:v>
                </c:pt>
                <c:pt idx="64">
                  <c:v>10000</c:v>
                </c:pt>
                <c:pt idx="65">
                  <c:v>10000</c:v>
                </c:pt>
                <c:pt idx="66">
                  <c:v>10000</c:v>
                </c:pt>
                <c:pt idx="67">
                  <c:v>10000</c:v>
                </c:pt>
                <c:pt idx="68">
                  <c:v>10000</c:v>
                </c:pt>
                <c:pt idx="69">
                  <c:v>10000</c:v>
                </c:pt>
                <c:pt idx="70">
                  <c:v>10000</c:v>
                </c:pt>
              </c:numCache>
            </c:numRef>
          </c:xVal>
          <c:yVal>
            <c:numRef>
              <c:f>'Berekening trap 1'!$AA$76:$AA$146</c:f>
              <c:numCache>
                <c:formatCode>General</c:formatCode>
                <c:ptCount val="71"/>
                <c:pt idx="0">
                  <c:v>100</c:v>
                </c:pt>
                <c:pt idx="1">
                  <c:v>99.998999999999995</c:v>
                </c:pt>
                <c:pt idx="2">
                  <c:v>99.99</c:v>
                </c:pt>
                <c:pt idx="3">
                  <c:v>99.98</c:v>
                </c:pt>
                <c:pt idx="4">
                  <c:v>99.94</c:v>
                </c:pt>
                <c:pt idx="5">
                  <c:v>99.9</c:v>
                </c:pt>
                <c:pt idx="6">
                  <c:v>99.84</c:v>
                </c:pt>
                <c:pt idx="7">
                  <c:v>99.77</c:v>
                </c:pt>
                <c:pt idx="8">
                  <c:v>99.7</c:v>
                </c:pt>
                <c:pt idx="9">
                  <c:v>99.61</c:v>
                </c:pt>
                <c:pt idx="10">
                  <c:v>99.51</c:v>
                </c:pt>
                <c:pt idx="11">
                  <c:v>99.4</c:v>
                </c:pt>
                <c:pt idx="12">
                  <c:v>99.27</c:v>
                </c:pt>
                <c:pt idx="13">
                  <c:v>99.12</c:v>
                </c:pt>
                <c:pt idx="14">
                  <c:v>98.92</c:v>
                </c:pt>
                <c:pt idx="15">
                  <c:v>98.74</c:v>
                </c:pt>
                <c:pt idx="16">
                  <c:v>98.51</c:v>
                </c:pt>
                <c:pt idx="17">
                  <c:v>98.24</c:v>
                </c:pt>
                <c:pt idx="18">
                  <c:v>97.95</c:v>
                </c:pt>
                <c:pt idx="19">
                  <c:v>97.62</c:v>
                </c:pt>
                <c:pt idx="20">
                  <c:v>97.25</c:v>
                </c:pt>
                <c:pt idx="21">
                  <c:v>96.85</c:v>
                </c:pt>
                <c:pt idx="22">
                  <c:v>96.39</c:v>
                </c:pt>
                <c:pt idx="23">
                  <c:v>95.89</c:v>
                </c:pt>
                <c:pt idx="24">
                  <c:v>95.33</c:v>
                </c:pt>
                <c:pt idx="25">
                  <c:v>94.7</c:v>
                </c:pt>
                <c:pt idx="26">
                  <c:v>94</c:v>
                </c:pt>
                <c:pt idx="27">
                  <c:v>93.2</c:v>
                </c:pt>
                <c:pt idx="28">
                  <c:v>92.3</c:v>
                </c:pt>
                <c:pt idx="29">
                  <c:v>91.289999999999992</c:v>
                </c:pt>
                <c:pt idx="30">
                  <c:v>90.16</c:v>
                </c:pt>
                <c:pt idx="31">
                  <c:v>88.92</c:v>
                </c:pt>
                <c:pt idx="32">
                  <c:v>87.59</c:v>
                </c:pt>
                <c:pt idx="33">
                  <c:v>86.18</c:v>
                </c:pt>
                <c:pt idx="34">
                  <c:v>84.68</c:v>
                </c:pt>
                <c:pt idx="35">
                  <c:v>83.14</c:v>
                </c:pt>
                <c:pt idx="36">
                  <c:v>81.52</c:v>
                </c:pt>
                <c:pt idx="37">
                  <c:v>79.81</c:v>
                </c:pt>
                <c:pt idx="38">
                  <c:v>77.960000000000008</c:v>
                </c:pt>
                <c:pt idx="39">
                  <c:v>75.930000000000007</c:v>
                </c:pt>
                <c:pt idx="40">
                  <c:v>73.650000000000006</c:v>
                </c:pt>
                <c:pt idx="41">
                  <c:v>71.06</c:v>
                </c:pt>
                <c:pt idx="42">
                  <c:v>68.2</c:v>
                </c:pt>
                <c:pt idx="43">
                  <c:v>64.72</c:v>
                </c:pt>
                <c:pt idx="44">
                  <c:v>60.87</c:v>
                </c:pt>
                <c:pt idx="45">
                  <c:v>56.56</c:v>
                </c:pt>
                <c:pt idx="46">
                  <c:v>51.82</c:v>
                </c:pt>
                <c:pt idx="47">
                  <c:v>46.72</c:v>
                </c:pt>
                <c:pt idx="48">
                  <c:v>41.35</c:v>
                </c:pt>
                <c:pt idx="49">
                  <c:v>35.840000000000003</c:v>
                </c:pt>
                <c:pt idx="50">
                  <c:v>30.290000000000006</c:v>
                </c:pt>
                <c:pt idx="51">
                  <c:v>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78-4ADB-82F6-A2969B06FF83}"/>
            </c:ext>
          </c:extLst>
        </c:ser>
        <c:ser>
          <c:idx val="0"/>
          <c:order val="1"/>
          <c:tx>
            <c:v>PSD Rosin Rammler Stage 1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'Berekening trap 1'!$A$76:$A$186</c:f>
              <c:numCache>
                <c:formatCode>General</c:formatCode>
                <c:ptCount val="111"/>
                <c:pt idx="0">
                  <c:v>0.35790947664997769</c:v>
                </c:pt>
                <c:pt idx="1">
                  <c:v>0.37543572925790974</c:v>
                </c:pt>
                <c:pt idx="2">
                  <c:v>0.39382021432549091</c:v>
                </c:pt>
                <c:pt idx="3">
                  <c:v>0.4131049581187618</c:v>
                </c:pt>
                <c:pt idx="4">
                  <c:v>0.43333404486255661</c:v>
                </c:pt>
                <c:pt idx="5">
                  <c:v>0.45455371751544221</c:v>
                </c:pt>
                <c:pt idx="6">
                  <c:v>0.47681248347944405</c:v>
                </c:pt>
                <c:pt idx="7">
                  <c:v>0.50016122548620778</c:v>
                </c:pt>
                <c:pt idx="8">
                  <c:v>0.52465331791307834</c:v>
                </c:pt>
                <c:pt idx="9">
                  <c:v>0.55034474879499062</c:v>
                </c:pt>
                <c:pt idx="10">
                  <c:v>0.5772942478110864</c:v>
                </c:pt>
                <c:pt idx="11">
                  <c:v>0.60556342053863077</c:v>
                </c:pt>
                <c:pt idx="12">
                  <c:v>0.63521688928112741</c:v>
                </c:pt>
                <c:pt idx="13">
                  <c:v>0.6663224407925602</c:v>
                </c:pt>
                <c:pt idx="14">
                  <c:v>0.69895118123545452</c:v>
                </c:pt>
                <c:pt idx="15">
                  <c:v>0.73317769872698524</c:v>
                </c:pt>
                <c:pt idx="16">
                  <c:v>0.76908023384470758</c:v>
                </c:pt>
                <c:pt idx="17">
                  <c:v>0.80674085848167931</c:v>
                </c:pt>
                <c:pt idx="18">
                  <c:v>0.84624566345983143</c:v>
                </c:pt>
                <c:pt idx="19">
                  <c:v>0.88768495533046476</c:v>
                </c:pt>
                <c:pt idx="20">
                  <c:v>0.93115346281175049</c:v>
                </c:pt>
                <c:pt idx="21">
                  <c:v>0.97675055333514393</c:v>
                </c:pt>
                <c:pt idx="22">
                  <c:v>1.0245804601957289</c:v>
                </c:pt>
                <c:pt idx="23">
                  <c:v>1.0747525208257496</c:v>
                </c:pt>
                <c:pt idx="24">
                  <c:v>1.1273814267360145</c:v>
                </c:pt>
                <c:pt idx="25">
                  <c:v>1.1825874856965308</c:v>
                </c:pt>
                <c:pt idx="26">
                  <c:v>1.2404968967557026</c:v>
                </c:pt>
                <c:pt idx="27">
                  <c:v>1.3012420387267782</c:v>
                </c:pt>
                <c:pt idx="28">
                  <c:v>1.3649617728010155</c:v>
                </c:pt>
                <c:pt idx="29">
                  <c:v>1.4318017599793289</c:v>
                </c:pt>
                <c:pt idx="30">
                  <c:v>1.5019147940480539</c:v>
                </c:pt>
                <c:pt idx="31">
                  <c:v>1.5754611508600009</c:v>
                </c:pt>
                <c:pt idx="32">
                  <c:v>1.6526089547192409</c:v>
                </c:pt>
                <c:pt idx="33">
                  <c:v>1.7335345627071672</c:v>
                </c:pt>
                <c:pt idx="34">
                  <c:v>1.8184229678283863</c:v>
                </c:pt>
                <c:pt idx="35">
                  <c:v>1.907468221898017</c:v>
                </c:pt>
                <c:pt idx="36">
                  <c:v>2.0008738791371008</c:v>
                </c:pt>
                <c:pt idx="37">
                  <c:v>2.0988534614901684</c:v>
                </c:pt>
                <c:pt idx="38">
                  <c:v>2.2016309467286597</c:v>
                </c:pt>
                <c:pt idx="39">
                  <c:v>2.309441280455987</c:v>
                </c:pt>
                <c:pt idx="40">
                  <c:v>2.4225309131846604</c:v>
                </c:pt>
                <c:pt idx="41">
                  <c:v>2.541158363713222</c:v>
                </c:pt>
                <c:pt idx="42">
                  <c:v>2.6655948100908424</c:v>
                </c:pt>
                <c:pt idx="43">
                  <c:v>2.7961247095205048</c:v>
                </c:pt>
                <c:pt idx="44">
                  <c:v>2.933046448617854</c:v>
                </c:pt>
                <c:pt idx="45">
                  <c:v>3.0766730255121759</c:v>
                </c:pt>
                <c:pt idx="46">
                  <c:v>3.2273327653487693</c:v>
                </c:pt>
                <c:pt idx="47">
                  <c:v>3.3853700708283196</c:v>
                </c:pt>
                <c:pt idx="48">
                  <c:v>3.5511462094989792</c:v>
                </c:pt>
                <c:pt idx="49">
                  <c:v>3.725040139600881</c:v>
                </c:pt>
                <c:pt idx="50">
                  <c:v>3.9074493763509288</c:v>
                </c:pt>
                <c:pt idx="51">
                  <c:v>4.0987909006481651</c:v>
                </c:pt>
                <c:pt idx="52">
                  <c:v>4.2995021122769828</c:v>
                </c:pt>
                <c:pt idx="53">
                  <c:v>4.5100418297871663</c:v>
                </c:pt>
                <c:pt idx="54">
                  <c:v>4.7308913393364547</c:v>
                </c:pt>
                <c:pt idx="55">
                  <c:v>4.962555494893242</c:v>
                </c:pt>
                <c:pt idx="56">
                  <c:v>5.2055638723144373</c:v>
                </c:pt>
                <c:pt idx="57">
                  <c:v>5.4604719799366652</c:v>
                </c:pt>
                <c:pt idx="58">
                  <c:v>5.727862528448175</c:v>
                </c:pt>
                <c:pt idx="59">
                  <c:v>6.0083467629443374</c:v>
                </c:pt>
                <c:pt idx="60">
                  <c:v>6.3025658602117636</c:v>
                </c:pt>
                <c:pt idx="61">
                  <c:v>6.6111923944351814</c:v>
                </c:pt>
                <c:pt idx="62">
                  <c:v>6.9349318746776287</c:v>
                </c:pt>
                <c:pt idx="63">
                  <c:v>7.2745243576485805</c:v>
                </c:pt>
                <c:pt idx="64">
                  <c:v>7.6307461394467451</c:v>
                </c:pt>
                <c:pt idx="65">
                  <c:v>8.0044115301447878</c:v>
                </c:pt>
                <c:pt idx="66">
                  <c:v>8.3963747152726214</c:v>
                </c:pt>
                <c:pt idx="67">
                  <c:v>8.8075317084545475</c:v>
                </c:pt>
                <c:pt idx="68">
                  <c:v>9.2388223996638974</c:v>
                </c:pt>
                <c:pt idx="69">
                  <c:v>9.6912327037774268</c:v>
                </c:pt>
                <c:pt idx="70">
                  <c:v>10.165796814340958</c:v>
                </c:pt>
                <c:pt idx="71">
                  <c:v>10.663599567698318</c:v>
                </c:pt>
                <c:pt idx="72">
                  <c:v>11.185778922887872</c:v>
                </c:pt>
                <c:pt idx="73">
                  <c:v>11.733528562975607</c:v>
                </c:pt>
                <c:pt idx="74">
                  <c:v>12.308100623771331</c:v>
                </c:pt>
                <c:pt idx="75">
                  <c:v>12.91080855616571</c:v>
                </c:pt>
                <c:pt idx="76">
                  <c:v>13.543030128631372</c:v>
                </c:pt>
                <c:pt idx="77">
                  <c:v>14.206210576751655</c:v>
                </c:pt>
                <c:pt idx="78">
                  <c:v>14.901865906976735</c:v>
                </c:pt>
                <c:pt idx="79">
                  <c:v>15.631586362159382</c:v>
                </c:pt>
                <c:pt idx="80">
                  <c:v>16.397040056792445</c:v>
                </c:pt>
                <c:pt idx="81">
                  <c:v>17.19997679025807</c:v>
                </c:pt>
                <c:pt idx="82">
                  <c:v>18.042232046805633</c:v>
                </c:pt>
                <c:pt idx="83">
                  <c:v>18.92573119140215</c:v>
                </c:pt>
                <c:pt idx="84">
                  <c:v>19.852493871046757</c:v>
                </c:pt>
                <c:pt idx="85">
                  <c:v>20.824638631610505</c:v>
                </c:pt>
                <c:pt idx="86">
                  <c:v>21.84438776075536</c:v>
                </c:pt>
                <c:pt idx="87">
                  <c:v>22.914072368003218</c:v>
                </c:pt>
                <c:pt idx="88">
                  <c:v>24.036137713567701</c:v>
                </c:pt>
                <c:pt idx="89">
                  <c:v>25.21314879813032</c:v>
                </c:pt>
                <c:pt idx="90">
                  <c:v>26.447796226339001</c:v>
                </c:pt>
                <c:pt idx="91">
                  <c:v>27.742902357432719</c:v>
                </c:pt>
                <c:pt idx="92">
                  <c:v>29.101427757052338</c:v>
                </c:pt>
                <c:pt idx="93">
                  <c:v>30.526477964986295</c:v>
                </c:pt>
                <c:pt idx="94">
                  <c:v>32.021310594321911</c:v>
                </c:pt>
                <c:pt idx="95">
                  <c:v>33.589342778230758</c:v>
                </c:pt>
                <c:pt idx="96">
                  <c:v>35.234158981411127</c:v>
                </c:pt>
                <c:pt idx="97">
                  <c:v>36.959519194044347</c:v>
                </c:pt>
                <c:pt idx="98">
                  <c:v>38.769367526995929</c:v>
                </c:pt>
                <c:pt idx="99">
                  <c:v>40.66784122790996</c:v>
                </c:pt>
                <c:pt idx="100">
                  <c:v>42.659280138807176</c:v>
                </c:pt>
                <c:pt idx="101">
                  <c:v>44.748236616806373</c:v>
                </c:pt>
                <c:pt idx="102">
                  <c:v>46.939485940647693</c:v>
                </c:pt>
                <c:pt idx="103">
                  <c:v>49.238037226806597</c:v>
                </c:pt>
                <c:pt idx="104">
                  <c:v>51.649144880152463</c:v>
                </c:pt>
                <c:pt idx="105">
                  <c:v>54.178320605327521</c:v>
                </c:pt>
                <c:pt idx="106">
                  <c:v>56.831346006303754</c:v>
                </c:pt>
                <c:pt idx="107">
                  <c:v>59.614285802919873</c:v>
                </c:pt>
                <c:pt idx="108">
                  <c:v>62.533501694610891</c:v>
                </c:pt>
                <c:pt idx="109">
                  <c:v>65.595666903022305</c:v>
                </c:pt>
                <c:pt idx="110" formatCode="0.00">
                  <c:v>68.807781426752868</c:v>
                </c:pt>
              </c:numCache>
            </c:numRef>
          </c:xVal>
          <c:yVal>
            <c:numRef>
              <c:f>'Berekening trap 1'!$S$76:$S$186</c:f>
              <c:numCache>
                <c:formatCode>General</c:formatCode>
                <c:ptCount val="111"/>
                <c:pt idx="0">
                  <c:v>99.99999999271067</c:v>
                </c:pt>
                <c:pt idx="1">
                  <c:v>99.99999997940931</c:v>
                </c:pt>
                <c:pt idx="2">
                  <c:v>99.999999941835981</c:v>
                </c:pt>
                <c:pt idx="3">
                  <c:v>99.999999835699853</c:v>
                </c:pt>
                <c:pt idx="4">
                  <c:v>99.999999535889401</c:v>
                </c:pt>
                <c:pt idx="5">
                  <c:v>99.999998688993003</c:v>
                </c:pt>
                <c:pt idx="6">
                  <c:v>99.999996296703074</c:v>
                </c:pt>
                <c:pt idx="7">
                  <c:v>99.999989539027709</c:v>
                </c:pt>
                <c:pt idx="8">
                  <c:v>99.999970450132196</c:v>
                </c:pt>
                <c:pt idx="9">
                  <c:v>99.999916528357943</c:v>
                </c:pt>
                <c:pt idx="10">
                  <c:v>99.999764211750517</c:v>
                </c:pt>
                <c:pt idx="11">
                  <c:v>99.99933395318503</c:v>
                </c:pt>
                <c:pt idx="12">
                  <c:v>99.998118580466894</c:v>
                </c:pt>
                <c:pt idx="13">
                  <c:v>99.99468550839326</c:v>
                </c:pt>
                <c:pt idx="14">
                  <c:v>99.988383597295694</c:v>
                </c:pt>
                <c:pt idx="15">
                  <c:v>99.982962819567888</c:v>
                </c:pt>
                <c:pt idx="16">
                  <c:v>99.974603822590822</c:v>
                </c:pt>
                <c:pt idx="17">
                  <c:v>99.96169928269623</c:v>
                </c:pt>
                <c:pt idx="18">
                  <c:v>99.942239463445929</c:v>
                </c:pt>
                <c:pt idx="19">
                  <c:v>99.926342816460917</c:v>
                </c:pt>
                <c:pt idx="20">
                  <c:v>99.907666486448534</c:v>
                </c:pt>
                <c:pt idx="21">
                  <c:v>99.885452003054482</c:v>
                </c:pt>
                <c:pt idx="22">
                  <c:v>99.858698685372204</c:v>
                </c:pt>
                <c:pt idx="23">
                  <c:v>99.82948890628569</c:v>
                </c:pt>
                <c:pt idx="24">
                  <c:v>99.800703915599826</c:v>
                </c:pt>
                <c:pt idx="25">
                  <c:v>99.76766795790877</c:v>
                </c:pt>
                <c:pt idx="26">
                  <c:v>99.736976364714565</c:v>
                </c:pt>
                <c:pt idx="27">
                  <c:v>99.702236395980194</c:v>
                </c:pt>
                <c:pt idx="28">
                  <c:v>99.665207534824106</c:v>
                </c:pt>
                <c:pt idx="29">
                  <c:v>99.623747367443542</c:v>
                </c:pt>
                <c:pt idx="30">
                  <c:v>99.581435871728459</c:v>
                </c:pt>
                <c:pt idx="31">
                  <c:v>99.53647095996638</c:v>
                </c:pt>
                <c:pt idx="32">
                  <c:v>99.48941299543489</c:v>
                </c:pt>
                <c:pt idx="33">
                  <c:v>99.441155392252625</c:v>
                </c:pt>
                <c:pt idx="34">
                  <c:v>99.388678239439159</c:v>
                </c:pt>
                <c:pt idx="35">
                  <c:v>99.332611250132132</c:v>
                </c:pt>
                <c:pt idx="36">
                  <c:v>99.271420986341042</c:v>
                </c:pt>
                <c:pt idx="37">
                  <c:v>99.20810189675268</c:v>
                </c:pt>
                <c:pt idx="38">
                  <c:v>99.139388983753278</c:v>
                </c:pt>
                <c:pt idx="39">
                  <c:v>99.059039195788074</c:v>
                </c:pt>
                <c:pt idx="40">
                  <c:v>98.968937704961334</c:v>
                </c:pt>
                <c:pt idx="41">
                  <c:v>98.882668783872489</c:v>
                </c:pt>
                <c:pt idx="42">
                  <c:v>98.802912628545187</c:v>
                </c:pt>
                <c:pt idx="43">
                  <c:v>98.71558935623564</c:v>
                </c:pt>
                <c:pt idx="44">
                  <c:v>98.615994035347057</c:v>
                </c:pt>
                <c:pt idx="45">
                  <c:v>98.508736279112185</c:v>
                </c:pt>
                <c:pt idx="46">
                  <c:v>98.393407424682039</c:v>
                </c:pt>
                <c:pt idx="47">
                  <c:v>98.269238071900006</c:v>
                </c:pt>
                <c:pt idx="48">
                  <c:v>98.142433050311496</c:v>
                </c:pt>
                <c:pt idx="49">
                  <c:v>98.008567517373322</c:v>
                </c:pt>
                <c:pt idx="50">
                  <c:v>97.870403429827519</c:v>
                </c:pt>
                <c:pt idx="51">
                  <c:v>97.72676011404829</c:v>
                </c:pt>
                <c:pt idx="52">
                  <c:v>97.573813944780241</c:v>
                </c:pt>
                <c:pt idx="53">
                  <c:v>97.411385850811456</c:v>
                </c:pt>
                <c:pt idx="54">
                  <c:v>97.239030206028815</c:v>
                </c:pt>
                <c:pt idx="55">
                  <c:v>97.067300080056086</c:v>
                </c:pt>
                <c:pt idx="56">
                  <c:v>96.885060564260613</c:v>
                </c:pt>
                <c:pt idx="57">
                  <c:v>96.68970339271911</c:v>
                </c:pt>
                <c:pt idx="58">
                  <c:v>96.481836584481727</c:v>
                </c:pt>
                <c:pt idx="59">
                  <c:v>96.267197939392517</c:v>
                </c:pt>
                <c:pt idx="60">
                  <c:v>96.044419442760514</c:v>
                </c:pt>
                <c:pt idx="61">
                  <c:v>95.809819095620028</c:v>
                </c:pt>
                <c:pt idx="62">
                  <c:v>95.564069548042255</c:v>
                </c:pt>
                <c:pt idx="63">
                  <c:v>95.304385104829052</c:v>
                </c:pt>
                <c:pt idx="64">
                  <c:v>95.031100137563698</c:v>
                </c:pt>
                <c:pt idx="65">
                  <c:v>94.742353063700818</c:v>
                </c:pt>
                <c:pt idx="66">
                  <c:v>94.441850944627348</c:v>
                </c:pt>
                <c:pt idx="67">
                  <c:v>94.125503571267032</c:v>
                </c:pt>
                <c:pt idx="68">
                  <c:v>93.77059436155298</c:v>
                </c:pt>
                <c:pt idx="69">
                  <c:v>93.381111477850325</c:v>
                </c:pt>
                <c:pt idx="70">
                  <c:v>93.002626002822382</c:v>
                </c:pt>
                <c:pt idx="71">
                  <c:v>92.632451639973894</c:v>
                </c:pt>
                <c:pt idx="72">
                  <c:v>92.240011853919896</c:v>
                </c:pt>
                <c:pt idx="73">
                  <c:v>91.805313233933234</c:v>
                </c:pt>
                <c:pt idx="74">
                  <c:v>91.34742483096025</c:v>
                </c:pt>
                <c:pt idx="75">
                  <c:v>90.856697566392924</c:v>
                </c:pt>
                <c:pt idx="76">
                  <c:v>90.338387932151477</c:v>
                </c:pt>
                <c:pt idx="77">
                  <c:v>89.805875381058073</c:v>
                </c:pt>
                <c:pt idx="78">
                  <c:v>89.252857482280845</c:v>
                </c:pt>
                <c:pt idx="79">
                  <c:v>88.727649133728377</c:v>
                </c:pt>
                <c:pt idx="80">
                  <c:v>88.258357317591617</c:v>
                </c:pt>
                <c:pt idx="81">
                  <c:v>87.77090594050641</c:v>
                </c:pt>
                <c:pt idx="82">
                  <c:v>87.072981070070782</c:v>
                </c:pt>
                <c:pt idx="83">
                  <c:v>86.222836092636086</c:v>
                </c:pt>
                <c:pt idx="84">
                  <c:v>85.585894064893282</c:v>
                </c:pt>
                <c:pt idx="85">
                  <c:v>84.936179924799575</c:v>
                </c:pt>
                <c:pt idx="86">
                  <c:v>84.252680031859754</c:v>
                </c:pt>
                <c:pt idx="87">
                  <c:v>83.53655743777648</c:v>
                </c:pt>
                <c:pt idx="88">
                  <c:v>82.815093604193564</c:v>
                </c:pt>
                <c:pt idx="89">
                  <c:v>82.0941513640024</c:v>
                </c:pt>
                <c:pt idx="90">
                  <c:v>81.351492491183251</c:v>
                </c:pt>
                <c:pt idx="91">
                  <c:v>80.599246535361885</c:v>
                </c:pt>
                <c:pt idx="92">
                  <c:v>79.820572755122811</c:v>
                </c:pt>
                <c:pt idx="93">
                  <c:v>78.943076049490827</c:v>
                </c:pt>
                <c:pt idx="94">
                  <c:v>78.031899748440622</c:v>
                </c:pt>
                <c:pt idx="95">
                  <c:v>77.348643638374199</c:v>
                </c:pt>
                <c:pt idx="96">
                  <c:v>76.669842618057345</c:v>
                </c:pt>
                <c:pt idx="97">
                  <c:v>75.974012794250825</c:v>
                </c:pt>
                <c:pt idx="98">
                  <c:v>74.670518745697052</c:v>
                </c:pt>
                <c:pt idx="99">
                  <c:v>73.362395321150487</c:v>
                </c:pt>
                <c:pt idx="100">
                  <c:v>72.267059982268165</c:v>
                </c:pt>
                <c:pt idx="101">
                  <c:v>71.136091221823293</c:v>
                </c:pt>
                <c:pt idx="102">
                  <c:v>69.840928583438838</c:v>
                </c:pt>
                <c:pt idx="103">
                  <c:v>68.491993503156095</c:v>
                </c:pt>
                <c:pt idx="104">
                  <c:v>67.005708794455686</c:v>
                </c:pt>
                <c:pt idx="105">
                  <c:v>65.442643463694353</c:v>
                </c:pt>
                <c:pt idx="106">
                  <c:v>63.801114123551507</c:v>
                </c:pt>
                <c:pt idx="107">
                  <c:v>62.08404221120847</c:v>
                </c:pt>
                <c:pt idx="108">
                  <c:v>60.288489266685019</c:v>
                </c:pt>
                <c:pt idx="109">
                  <c:v>58.382847792266915</c:v>
                </c:pt>
                <c:pt idx="110">
                  <c:v>56.331630928007279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78-4ADB-82F6-A2969B06FF83}"/>
            </c:ext>
          </c:extLst>
        </c:ser>
        <c:ser>
          <c:idx val="4"/>
          <c:order val="2"/>
          <c:tx>
            <c:v>PSD Calculated Stage 2</c:v>
          </c:tx>
          <c:spPr>
            <a:ln w="9525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'Berekening trap 2'!$A$76:$A$186</c:f>
              <c:numCache>
                <c:formatCode>General</c:formatCode>
                <c:ptCount val="111"/>
                <c:pt idx="0">
                  <c:v>0.35790947664997769</c:v>
                </c:pt>
                <c:pt idx="1">
                  <c:v>0.37543572925790974</c:v>
                </c:pt>
                <c:pt idx="2">
                  <c:v>0.39382021432549091</c:v>
                </c:pt>
                <c:pt idx="3">
                  <c:v>0.4131049581187618</c:v>
                </c:pt>
                <c:pt idx="4">
                  <c:v>0.43333404486255661</c:v>
                </c:pt>
                <c:pt idx="5">
                  <c:v>0.45455371751544221</c:v>
                </c:pt>
                <c:pt idx="6">
                  <c:v>0.47681248347944405</c:v>
                </c:pt>
                <c:pt idx="7">
                  <c:v>0.50016122548620778</c:v>
                </c:pt>
                <c:pt idx="8">
                  <c:v>0.52465331791307834</c:v>
                </c:pt>
                <c:pt idx="9">
                  <c:v>0.55034474879499062</c:v>
                </c:pt>
                <c:pt idx="10">
                  <c:v>0.5772942478110864</c:v>
                </c:pt>
                <c:pt idx="11">
                  <c:v>0.60556342053863077</c:v>
                </c:pt>
                <c:pt idx="12">
                  <c:v>0.63521688928112741</c:v>
                </c:pt>
                <c:pt idx="13">
                  <c:v>0.6663224407925602</c:v>
                </c:pt>
                <c:pt idx="14">
                  <c:v>0.69895118123545452</c:v>
                </c:pt>
                <c:pt idx="15">
                  <c:v>0.73317769872698524</c:v>
                </c:pt>
                <c:pt idx="16">
                  <c:v>0.76908023384470758</c:v>
                </c:pt>
                <c:pt idx="17">
                  <c:v>0.80674085848167931</c:v>
                </c:pt>
                <c:pt idx="18">
                  <c:v>0.84624566345983143</c:v>
                </c:pt>
                <c:pt idx="19">
                  <c:v>0.88768495533046476</c:v>
                </c:pt>
                <c:pt idx="20">
                  <c:v>0.93115346281175049</c:v>
                </c:pt>
                <c:pt idx="21">
                  <c:v>0.97675055333514393</c:v>
                </c:pt>
                <c:pt idx="22">
                  <c:v>1.0245804601957289</c:v>
                </c:pt>
                <c:pt idx="23">
                  <c:v>1.0747525208257496</c:v>
                </c:pt>
                <c:pt idx="24">
                  <c:v>1.1273814267360145</c:v>
                </c:pt>
                <c:pt idx="25">
                  <c:v>1.1825874856965308</c:v>
                </c:pt>
                <c:pt idx="26">
                  <c:v>1.2404968967557026</c:v>
                </c:pt>
                <c:pt idx="27">
                  <c:v>1.3012420387267782</c:v>
                </c:pt>
                <c:pt idx="28">
                  <c:v>1.3649617728010155</c:v>
                </c:pt>
                <c:pt idx="29">
                  <c:v>1.4318017599793289</c:v>
                </c:pt>
                <c:pt idx="30">
                  <c:v>1.5019147940480539</c:v>
                </c:pt>
                <c:pt idx="31">
                  <c:v>1.5754611508600009</c:v>
                </c:pt>
                <c:pt idx="32">
                  <c:v>1.6526089547192409</c:v>
                </c:pt>
                <c:pt idx="33">
                  <c:v>1.7335345627071672</c:v>
                </c:pt>
                <c:pt idx="34">
                  <c:v>1.8184229678283863</c:v>
                </c:pt>
                <c:pt idx="35">
                  <c:v>1.907468221898017</c:v>
                </c:pt>
                <c:pt idx="36">
                  <c:v>2.0008738791371008</c:v>
                </c:pt>
                <c:pt idx="37">
                  <c:v>2.0988534614901684</c:v>
                </c:pt>
                <c:pt idx="38">
                  <c:v>2.2016309467286597</c:v>
                </c:pt>
                <c:pt idx="39">
                  <c:v>2.309441280455987</c:v>
                </c:pt>
                <c:pt idx="40">
                  <c:v>2.4225309131846604</c:v>
                </c:pt>
                <c:pt idx="41">
                  <c:v>2.541158363713222</c:v>
                </c:pt>
                <c:pt idx="42">
                  <c:v>2.6655948100908424</c:v>
                </c:pt>
                <c:pt idx="43">
                  <c:v>2.7961247095205048</c:v>
                </c:pt>
                <c:pt idx="44">
                  <c:v>2.933046448617854</c:v>
                </c:pt>
                <c:pt idx="45">
                  <c:v>3.0766730255121759</c:v>
                </c:pt>
                <c:pt idx="46">
                  <c:v>3.2273327653487693</c:v>
                </c:pt>
                <c:pt idx="47">
                  <c:v>3.3853700708283196</c:v>
                </c:pt>
                <c:pt idx="48">
                  <c:v>3.5511462094989792</c:v>
                </c:pt>
                <c:pt idx="49">
                  <c:v>3.725040139600881</c:v>
                </c:pt>
                <c:pt idx="50">
                  <c:v>3.9074493763509288</c:v>
                </c:pt>
                <c:pt idx="51">
                  <c:v>4.0987909006481651</c:v>
                </c:pt>
                <c:pt idx="52">
                  <c:v>4.2995021122769828</c:v>
                </c:pt>
                <c:pt idx="53">
                  <c:v>4.5100418297871663</c:v>
                </c:pt>
                <c:pt idx="54">
                  <c:v>4.7308913393364547</c:v>
                </c:pt>
                <c:pt idx="55">
                  <c:v>4.962555494893242</c:v>
                </c:pt>
                <c:pt idx="56">
                  <c:v>5.2055638723144373</c:v>
                </c:pt>
                <c:pt idx="57">
                  <c:v>5.4604719799366652</c:v>
                </c:pt>
                <c:pt idx="58">
                  <c:v>5.727862528448175</c:v>
                </c:pt>
                <c:pt idx="59">
                  <c:v>6.0083467629443374</c:v>
                </c:pt>
                <c:pt idx="60">
                  <c:v>6.3025658602117636</c:v>
                </c:pt>
                <c:pt idx="61">
                  <c:v>6.6111923944351814</c:v>
                </c:pt>
                <c:pt idx="62">
                  <c:v>6.9349318746776287</c:v>
                </c:pt>
                <c:pt idx="63">
                  <c:v>7.2745243576485805</c:v>
                </c:pt>
                <c:pt idx="64">
                  <c:v>7.6307461394467451</c:v>
                </c:pt>
                <c:pt idx="65">
                  <c:v>8.0044115301447878</c:v>
                </c:pt>
                <c:pt idx="66">
                  <c:v>8.3963747152726214</c:v>
                </c:pt>
                <c:pt idx="67">
                  <c:v>8.8075317084545475</c:v>
                </c:pt>
                <c:pt idx="68">
                  <c:v>9.2388223996638974</c:v>
                </c:pt>
                <c:pt idx="69">
                  <c:v>9.6912327037774268</c:v>
                </c:pt>
                <c:pt idx="70">
                  <c:v>10.165796814340958</c:v>
                </c:pt>
                <c:pt idx="71">
                  <c:v>10.663599567698318</c:v>
                </c:pt>
                <c:pt idx="72">
                  <c:v>11.185778922887872</c:v>
                </c:pt>
                <c:pt idx="73">
                  <c:v>11.733528562975607</c:v>
                </c:pt>
                <c:pt idx="74">
                  <c:v>12.308100623771331</c:v>
                </c:pt>
                <c:pt idx="75">
                  <c:v>12.91080855616571</c:v>
                </c:pt>
                <c:pt idx="76">
                  <c:v>13.543030128631372</c:v>
                </c:pt>
                <c:pt idx="77">
                  <c:v>14.206210576751655</c:v>
                </c:pt>
                <c:pt idx="78">
                  <c:v>14.901865906976735</c:v>
                </c:pt>
                <c:pt idx="79">
                  <c:v>15.631586362159382</c:v>
                </c:pt>
                <c:pt idx="80">
                  <c:v>16.397040056792445</c:v>
                </c:pt>
                <c:pt idx="81">
                  <c:v>17.19997679025807</c:v>
                </c:pt>
                <c:pt idx="82">
                  <c:v>18.042232046805633</c:v>
                </c:pt>
                <c:pt idx="83">
                  <c:v>18.92573119140215</c:v>
                </c:pt>
                <c:pt idx="84">
                  <c:v>19.852493871046757</c:v>
                </c:pt>
                <c:pt idx="85">
                  <c:v>20.824638631610505</c:v>
                </c:pt>
                <c:pt idx="86">
                  <c:v>21.84438776075536</c:v>
                </c:pt>
                <c:pt idx="87">
                  <c:v>22.914072368003218</c:v>
                </c:pt>
                <c:pt idx="88">
                  <c:v>24.036137713567701</c:v>
                </c:pt>
                <c:pt idx="89">
                  <c:v>25.21314879813032</c:v>
                </c:pt>
                <c:pt idx="90">
                  <c:v>26.447796226339001</c:v>
                </c:pt>
                <c:pt idx="91">
                  <c:v>27.742902357432719</c:v>
                </c:pt>
                <c:pt idx="92">
                  <c:v>29.101427757052338</c:v>
                </c:pt>
                <c:pt idx="93">
                  <c:v>30.526477964986295</c:v>
                </c:pt>
                <c:pt idx="94">
                  <c:v>32.021310594321911</c:v>
                </c:pt>
                <c:pt idx="95">
                  <c:v>33.589342778230758</c:v>
                </c:pt>
                <c:pt idx="96">
                  <c:v>35.234158981411127</c:v>
                </c:pt>
                <c:pt idx="97">
                  <c:v>36.959519194044347</c:v>
                </c:pt>
                <c:pt idx="98">
                  <c:v>38.769367526995929</c:v>
                </c:pt>
                <c:pt idx="99">
                  <c:v>40.66784122790996</c:v>
                </c:pt>
                <c:pt idx="100">
                  <c:v>42.659280138807176</c:v>
                </c:pt>
                <c:pt idx="101">
                  <c:v>44.748236616806373</c:v>
                </c:pt>
                <c:pt idx="102">
                  <c:v>46.939485940647693</c:v>
                </c:pt>
                <c:pt idx="103">
                  <c:v>49.238037226806597</c:v>
                </c:pt>
                <c:pt idx="104">
                  <c:v>51.649144880152463</c:v>
                </c:pt>
                <c:pt idx="105">
                  <c:v>54.178320605327521</c:v>
                </c:pt>
                <c:pt idx="106">
                  <c:v>56.831346006303754</c:v>
                </c:pt>
                <c:pt idx="107">
                  <c:v>59.614285802919873</c:v>
                </c:pt>
                <c:pt idx="108">
                  <c:v>62.533501694610891</c:v>
                </c:pt>
                <c:pt idx="109">
                  <c:v>65.595666903022305</c:v>
                </c:pt>
                <c:pt idx="110">
                  <c:v>68.807781426752868</c:v>
                </c:pt>
              </c:numCache>
            </c:numRef>
          </c:xVal>
          <c:yVal>
            <c:numRef>
              <c:f>'Berekening trap 2'!$M$76:$M$186</c:f>
              <c:numCache>
                <c:formatCode>0.0000E+00</c:formatCode>
                <c:ptCount val="111"/>
                <c:pt idx="0">
                  <c:v>99.999999167538064</c:v>
                </c:pt>
                <c:pt idx="1">
                  <c:v>99.999997675080365</c:v>
                </c:pt>
                <c:pt idx="2">
                  <c:v>99.999993600080899</c:v>
                </c:pt>
                <c:pt idx="3">
                  <c:v>99.999982408580081</c:v>
                </c:pt>
                <c:pt idx="4">
                  <c:v>99.999951608742265</c:v>
                </c:pt>
                <c:pt idx="5">
                  <c:v>99.999866760052342</c:v>
                </c:pt>
                <c:pt idx="6">
                  <c:v>99.999632897921401</c:v>
                </c:pt>
                <c:pt idx="7">
                  <c:v>99.998988186637717</c:v>
                </c:pt>
                <c:pt idx="8">
                  <c:v>99.997210819599928</c:v>
                </c:pt>
                <c:pt idx="9">
                  <c:v>99.992311509981064</c:v>
                </c:pt>
                <c:pt idx="10">
                  <c:v>99.978809701113647</c:v>
                </c:pt>
                <c:pt idx="11">
                  <c:v>99.941612495141584</c:v>
                </c:pt>
                <c:pt idx="12">
                  <c:v>99.839175473954285</c:v>
                </c:pt>
                <c:pt idx="13">
                  <c:v>99.557207272599697</c:v>
                </c:pt>
                <c:pt idx="14">
                  <c:v>99.053082878462007</c:v>
                </c:pt>
                <c:pt idx="15">
                  <c:v>98.630967526972995</c:v>
                </c:pt>
                <c:pt idx="16">
                  <c:v>97.99773597348134</c:v>
                </c:pt>
                <c:pt idx="17">
                  <c:v>97.047340563943322</c:v>
                </c:pt>
                <c:pt idx="18">
                  <c:v>95.654988059935789</c:v>
                </c:pt>
                <c:pt idx="19">
                  <c:v>94.550805905105932</c:v>
                </c:pt>
                <c:pt idx="20">
                  <c:v>93.292433907254789</c:v>
                </c:pt>
                <c:pt idx="21">
                  <c:v>91.841742655196029</c:v>
                </c:pt>
                <c:pt idx="22">
                  <c:v>90.149907329301541</c:v>
                </c:pt>
                <c:pt idx="23">
                  <c:v>88.362793850089986</c:v>
                </c:pt>
                <c:pt idx="24">
                  <c:v>86.660571533382239</c:v>
                </c:pt>
                <c:pt idx="25">
                  <c:v>84.774199981047232</c:v>
                </c:pt>
                <c:pt idx="26">
                  <c:v>83.083781117900358</c:v>
                </c:pt>
                <c:pt idx="27">
                  <c:v>81.240194704499018</c:v>
                </c:pt>
                <c:pt idx="28">
                  <c:v>79.348992327172198</c:v>
                </c:pt>
                <c:pt idx="29">
                  <c:v>77.313469540798266</c:v>
                </c:pt>
                <c:pt idx="30">
                  <c:v>75.319066037593302</c:v>
                </c:pt>
                <c:pt idx="31">
                  <c:v>73.286808237814583</c:v>
                </c:pt>
                <c:pt idx="32">
                  <c:v>71.250202980926687</c:v>
                </c:pt>
                <c:pt idx="33">
                  <c:v>69.253086701233443</c:v>
                </c:pt>
                <c:pt idx="34">
                  <c:v>67.179399620416547</c:v>
                </c:pt>
                <c:pt idx="35">
                  <c:v>65.067065790237905</c:v>
                </c:pt>
                <c:pt idx="36">
                  <c:v>62.872534476275618</c:v>
                </c:pt>
                <c:pt idx="37">
                  <c:v>60.714322969044538</c:v>
                </c:pt>
                <c:pt idx="38">
                  <c:v>58.492208308139297</c:v>
                </c:pt>
                <c:pt idx="39">
                  <c:v>56.031145302484312</c:v>
                </c:pt>
                <c:pt idx="40">
                  <c:v>53.4220356367207</c:v>
                </c:pt>
                <c:pt idx="41">
                  <c:v>51.064708091567475</c:v>
                </c:pt>
                <c:pt idx="42">
                  <c:v>49.012188951984683</c:v>
                </c:pt>
                <c:pt idx="43">
                  <c:v>46.90000844735119</c:v>
                </c:pt>
                <c:pt idx="44">
                  <c:v>44.640542303065835</c:v>
                </c:pt>
                <c:pt idx="45">
                  <c:v>42.363267258056496</c:v>
                </c:pt>
                <c:pt idx="46">
                  <c:v>40.076807201141101</c:v>
                </c:pt>
                <c:pt idx="47">
                  <c:v>37.783502944945504</c:v>
                </c:pt>
                <c:pt idx="48">
                  <c:v>35.607043374682185</c:v>
                </c:pt>
                <c:pt idx="49">
                  <c:v>33.477157668225999</c:v>
                </c:pt>
                <c:pt idx="50">
                  <c:v>31.444695753331885</c:v>
                </c:pt>
                <c:pt idx="51">
                  <c:v>29.496300019807197</c:v>
                </c:pt>
                <c:pt idx="52">
                  <c:v>27.588746905179324</c:v>
                </c:pt>
                <c:pt idx="53">
                  <c:v>25.731444025002478</c:v>
                </c:pt>
                <c:pt idx="54">
                  <c:v>23.929995665897227</c:v>
                </c:pt>
                <c:pt idx="55">
                  <c:v>22.294456408436417</c:v>
                </c:pt>
                <c:pt idx="56">
                  <c:v>20.718046079661292</c:v>
                </c:pt>
                <c:pt idx="57">
                  <c:v>19.188328639500185</c:v>
                </c:pt>
                <c:pt idx="58">
                  <c:v>17.674083683569489</c:v>
                </c:pt>
                <c:pt idx="59">
                  <c:v>16.250057088860146</c:v>
                </c:pt>
                <c:pt idx="60">
                  <c:v>14.908286661653076</c:v>
                </c:pt>
                <c:pt idx="61">
                  <c:v>13.629860352521874</c:v>
                </c:pt>
                <c:pt idx="62">
                  <c:v>12.422382089641719</c:v>
                </c:pt>
                <c:pt idx="63">
                  <c:v>11.276030326473146</c:v>
                </c:pt>
                <c:pt idx="64">
                  <c:v>10.19617511313141</c:v>
                </c:pt>
                <c:pt idx="65">
                  <c:v>9.1787969592632699</c:v>
                </c:pt>
                <c:pt idx="66">
                  <c:v>8.2384081158354707</c:v>
                </c:pt>
                <c:pt idx="67">
                  <c:v>7.3627385364190125</c:v>
                </c:pt>
                <c:pt idx="68">
                  <c:v>6.4974334510505303</c:v>
                </c:pt>
                <c:pt idx="69">
                  <c:v>5.6646867104839354</c:v>
                </c:pt>
                <c:pt idx="70">
                  <c:v>4.9582429916773156</c:v>
                </c:pt>
                <c:pt idx="71">
                  <c:v>4.3578964440287278</c:v>
                </c:pt>
                <c:pt idx="72">
                  <c:v>3.8075583329747795</c:v>
                </c:pt>
                <c:pt idx="73">
                  <c:v>3.2830808543813452</c:v>
                </c:pt>
                <c:pt idx="74">
                  <c:v>2.8102274721709546</c:v>
                </c:pt>
                <c:pt idx="75">
                  <c:v>2.3788036811970916</c:v>
                </c:pt>
                <c:pt idx="76">
                  <c:v>1.9930244314625019</c:v>
                </c:pt>
                <c:pt idx="77">
                  <c:v>1.6593900163752382</c:v>
                </c:pt>
                <c:pt idx="78">
                  <c:v>1.3694610740559552</c:v>
                </c:pt>
                <c:pt idx="79">
                  <c:v>1.1404657234803364</c:v>
                </c:pt>
                <c:pt idx="80">
                  <c:v>0.97137483885341636</c:v>
                </c:pt>
                <c:pt idx="81">
                  <c:v>0.8271847924122504</c:v>
                </c:pt>
                <c:pt idx="82">
                  <c:v>0.65884537246408725</c:v>
                </c:pt>
                <c:pt idx="83">
                  <c:v>0.49281476436299182</c:v>
                </c:pt>
                <c:pt idx="84">
                  <c:v>0.39282561703334745</c:v>
                </c:pt>
                <c:pt idx="85">
                  <c:v>0.31145564374427687</c:v>
                </c:pt>
                <c:pt idx="86">
                  <c:v>0.24369338319931089</c:v>
                </c:pt>
                <c:pt idx="87">
                  <c:v>0.18794313735946117</c:v>
                </c:pt>
                <c:pt idx="88">
                  <c:v>0.14420441860338853</c:v>
                </c:pt>
                <c:pt idx="89">
                  <c:v>0.11046001791454189</c:v>
                </c:pt>
                <c:pt idx="90">
                  <c:v>8.3860771167088233E-2</c:v>
                </c:pt>
                <c:pt idx="91">
                  <c:v>6.3433311625605449E-2</c:v>
                </c:pt>
                <c:pt idx="92">
                  <c:v>4.7553597774101501E-2</c:v>
                </c:pt>
                <c:pt idx="93">
                  <c:v>3.4246576142588893E-2</c:v>
                </c:pt>
                <c:pt idx="94">
                  <c:v>2.4075795585718221E-2</c:v>
                </c:pt>
                <c:pt idx="95">
                  <c:v>1.8521004831919114E-2</c:v>
                </c:pt>
                <c:pt idx="96">
                  <c:v>1.454527285042592E-2</c:v>
                </c:pt>
                <c:pt idx="97">
                  <c:v>1.1642165532576802E-2</c:v>
                </c:pt>
                <c:pt idx="98">
                  <c:v>7.8132056338732127E-3</c:v>
                </c:pt>
                <c:pt idx="99">
                  <c:v>5.1402980722659967E-3</c:v>
                </c:pt>
                <c:pt idx="100">
                  <c:v>3.6027915681779493E-3</c:v>
                </c:pt>
                <c:pt idx="101">
                  <c:v>2.5262283155035223E-3</c:v>
                </c:pt>
                <c:pt idx="102">
                  <c:v>1.7012860014813322E-3</c:v>
                </c:pt>
                <c:pt idx="103">
                  <c:v>1.1342742399296124E-3</c:v>
                </c:pt>
                <c:pt idx="104">
                  <c:v>7.2784075804063243E-4</c:v>
                </c:pt>
                <c:pt idx="105">
                  <c:v>4.5385882453940541E-4</c:v>
                </c:pt>
                <c:pt idx="106">
                  <c:v>2.7222343643046331E-4</c:v>
                </c:pt>
                <c:pt idx="107">
                  <c:v>1.5417283117171625E-4</c:v>
                </c:pt>
                <c:pt idx="108">
                  <c:v>7.8717471750346874E-5</c:v>
                </c:pt>
                <c:pt idx="109">
                  <c:v>3.0590933371517693E-5</c:v>
                </c:pt>
                <c:pt idx="110">
                  <c:v>3.6965676559249511E-14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78-4ADB-82F6-A2969B06FF83}"/>
            </c:ext>
          </c:extLst>
        </c:ser>
        <c:ser>
          <c:idx val="3"/>
          <c:order val="3"/>
          <c:tx>
            <c:v>Grade Efficiency stage 1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'Berekening trap 1'!$B$76:$B$186</c:f>
              <c:numCache>
                <c:formatCode>General</c:formatCode>
                <c:ptCount val="111"/>
                <c:pt idx="0">
                  <c:v>0.17895473832498884</c:v>
                </c:pt>
                <c:pt idx="1">
                  <c:v>0.36667260295394372</c:v>
                </c:pt>
                <c:pt idx="2">
                  <c:v>0.38462797179170033</c:v>
                </c:pt>
                <c:pt idx="3">
                  <c:v>0.40346258622212638</c:v>
                </c:pt>
                <c:pt idx="4">
                  <c:v>0.42321950149065923</c:v>
                </c:pt>
                <c:pt idx="5">
                  <c:v>0.44394388118899941</c:v>
                </c:pt>
                <c:pt idx="6">
                  <c:v>0.4656831004974431</c:v>
                </c:pt>
                <c:pt idx="7">
                  <c:v>0.48848685448282592</c:v>
                </c:pt>
                <c:pt idx="8">
                  <c:v>0.51240727169964306</c:v>
                </c:pt>
                <c:pt idx="9">
                  <c:v>0.53749903335403448</c:v>
                </c:pt>
                <c:pt idx="10">
                  <c:v>0.56381949830303846</c:v>
                </c:pt>
                <c:pt idx="11">
                  <c:v>0.59142883417485859</c:v>
                </c:pt>
                <c:pt idx="12">
                  <c:v>0.62039015490987914</c:v>
                </c:pt>
                <c:pt idx="13">
                  <c:v>0.65076966503684375</c:v>
                </c:pt>
                <c:pt idx="14">
                  <c:v>0.68263681101400731</c:v>
                </c:pt>
                <c:pt idx="15">
                  <c:v>0.71606443998121994</c:v>
                </c:pt>
                <c:pt idx="16">
                  <c:v>0.75112896628584647</c:v>
                </c:pt>
                <c:pt idx="17">
                  <c:v>0.78791054616319345</c:v>
                </c:pt>
                <c:pt idx="18">
                  <c:v>0.82649326097075537</c:v>
                </c:pt>
                <c:pt idx="19">
                  <c:v>0.86696530939514815</c:v>
                </c:pt>
                <c:pt idx="20">
                  <c:v>0.90941920907110763</c:v>
                </c:pt>
                <c:pt idx="21">
                  <c:v>0.95395200807344716</c:v>
                </c:pt>
                <c:pt idx="22">
                  <c:v>1.0006655067654364</c:v>
                </c:pt>
                <c:pt idx="23">
                  <c:v>1.0496664905107393</c:v>
                </c:pt>
                <c:pt idx="24">
                  <c:v>1.101066973780882</c:v>
                </c:pt>
                <c:pt idx="25">
                  <c:v>1.1549844562162725</c:v>
                </c:pt>
                <c:pt idx="26">
                  <c:v>1.2115421912261168</c:v>
                </c:pt>
                <c:pt idx="27">
                  <c:v>1.2708694677412404</c:v>
                </c:pt>
                <c:pt idx="28">
                  <c:v>1.3331019057638969</c:v>
                </c:pt>
                <c:pt idx="29">
                  <c:v>1.3983817663901723</c:v>
                </c:pt>
                <c:pt idx="30">
                  <c:v>1.4668582770136913</c:v>
                </c:pt>
                <c:pt idx="31">
                  <c:v>1.5386879724540274</c:v>
                </c:pt>
                <c:pt idx="32">
                  <c:v>1.614035052789621</c:v>
                </c:pt>
                <c:pt idx="33">
                  <c:v>1.693071758713204</c:v>
                </c:pt>
                <c:pt idx="34">
                  <c:v>1.7759787652677768</c:v>
                </c:pt>
                <c:pt idx="35">
                  <c:v>1.8629455948632017</c:v>
                </c:pt>
                <c:pt idx="36">
                  <c:v>1.9541710505175589</c:v>
                </c:pt>
                <c:pt idx="37">
                  <c:v>2.0498636703136346</c:v>
                </c:pt>
                <c:pt idx="38">
                  <c:v>2.1502422041094142</c:v>
                </c:pt>
                <c:pt idx="39">
                  <c:v>2.2555361135923233</c:v>
                </c:pt>
                <c:pt idx="40">
                  <c:v>2.3659860968203237</c:v>
                </c:pt>
                <c:pt idx="41">
                  <c:v>2.4818446384489414</c:v>
                </c:pt>
                <c:pt idx="42">
                  <c:v>2.6033765869020322</c:v>
                </c:pt>
                <c:pt idx="43">
                  <c:v>2.7308597598056736</c:v>
                </c:pt>
                <c:pt idx="44">
                  <c:v>2.8645855790691792</c:v>
                </c:pt>
                <c:pt idx="45">
                  <c:v>3.004859737065015</c:v>
                </c:pt>
                <c:pt idx="46">
                  <c:v>3.1520028954304724</c:v>
                </c:pt>
                <c:pt idx="47">
                  <c:v>3.3063514180885445</c:v>
                </c:pt>
                <c:pt idx="48">
                  <c:v>3.4682581401636492</c:v>
                </c:pt>
                <c:pt idx="49">
                  <c:v>3.6380931745499301</c:v>
                </c:pt>
                <c:pt idx="50">
                  <c:v>3.8162447579759049</c:v>
                </c:pt>
                <c:pt idx="51">
                  <c:v>4.003120138499547</c:v>
                </c:pt>
                <c:pt idx="52">
                  <c:v>4.1991465064625739</c:v>
                </c:pt>
                <c:pt idx="53">
                  <c:v>4.4047719710320745</c:v>
                </c:pt>
                <c:pt idx="54">
                  <c:v>4.6204665845618109</c:v>
                </c:pt>
                <c:pt idx="55">
                  <c:v>4.8467234171148483</c:v>
                </c:pt>
                <c:pt idx="56">
                  <c:v>5.0840596836038401</c:v>
                </c:pt>
                <c:pt idx="57">
                  <c:v>5.3330179261255513</c:v>
                </c:pt>
                <c:pt idx="58">
                  <c:v>5.5941672541924206</c:v>
                </c:pt>
                <c:pt idx="59">
                  <c:v>5.8681046456962562</c:v>
                </c:pt>
                <c:pt idx="60">
                  <c:v>6.1554563115780505</c:v>
                </c:pt>
                <c:pt idx="61">
                  <c:v>6.4568791273234725</c:v>
                </c:pt>
                <c:pt idx="62">
                  <c:v>6.7730621345564046</c:v>
                </c:pt>
                <c:pt idx="63">
                  <c:v>7.1047281161631046</c:v>
                </c:pt>
                <c:pt idx="64">
                  <c:v>7.4526352485476632</c:v>
                </c:pt>
                <c:pt idx="65">
                  <c:v>7.817578834795766</c:v>
                </c:pt>
                <c:pt idx="66">
                  <c:v>8.2003931227087037</c:v>
                </c:pt>
                <c:pt idx="67">
                  <c:v>8.6019532118635844</c:v>
                </c:pt>
                <c:pt idx="68">
                  <c:v>9.0231770540592215</c:v>
                </c:pt>
                <c:pt idx="69">
                  <c:v>9.465027551720663</c:v>
                </c:pt>
                <c:pt idx="70">
                  <c:v>9.9285147590591922</c:v>
                </c:pt>
                <c:pt idx="71">
                  <c:v>10.414698191019639</c:v>
                </c:pt>
                <c:pt idx="72">
                  <c:v>10.924689245293095</c:v>
                </c:pt>
                <c:pt idx="73">
                  <c:v>11.459653742931739</c:v>
                </c:pt>
                <c:pt idx="74">
                  <c:v>12.020814593373469</c:v>
                </c:pt>
                <c:pt idx="75">
                  <c:v>12.609454589968522</c:v>
                </c:pt>
                <c:pt idx="76">
                  <c:v>13.226919342398542</c:v>
                </c:pt>
                <c:pt idx="77">
                  <c:v>13.874620352691514</c:v>
                </c:pt>
                <c:pt idx="78">
                  <c:v>14.554038241864195</c:v>
                </c:pt>
                <c:pt idx="79">
                  <c:v>15.266726134568058</c:v>
                </c:pt>
                <c:pt idx="80">
                  <c:v>16.014313209475915</c:v>
                </c:pt>
                <c:pt idx="81">
                  <c:v>16.798508423525256</c:v>
                </c:pt>
                <c:pt idx="82">
                  <c:v>17.62110441853185</c:v>
                </c:pt>
                <c:pt idx="83">
                  <c:v>18.483981619103893</c:v>
                </c:pt>
                <c:pt idx="84">
                  <c:v>19.389112531224455</c:v>
                </c:pt>
                <c:pt idx="85">
                  <c:v>20.338566251328629</c:v>
                </c:pt>
                <c:pt idx="86">
                  <c:v>21.334513196182932</c:v>
                </c:pt>
                <c:pt idx="87">
                  <c:v>22.379230064379289</c:v>
                </c:pt>
                <c:pt idx="88">
                  <c:v>23.475105040785458</c:v>
                </c:pt>
                <c:pt idx="89">
                  <c:v>24.624643255849008</c:v>
                </c:pt>
                <c:pt idx="90">
                  <c:v>25.83047251223466</c:v>
                </c:pt>
                <c:pt idx="91">
                  <c:v>27.09534929188586</c:v>
                </c:pt>
                <c:pt idx="92">
                  <c:v>28.42216505724253</c:v>
                </c:pt>
                <c:pt idx="93">
                  <c:v>29.813952861019317</c:v>
                </c:pt>
                <c:pt idx="94">
                  <c:v>31.273894279654101</c:v>
                </c:pt>
                <c:pt idx="95">
                  <c:v>32.805326686276331</c:v>
                </c:pt>
                <c:pt idx="96">
                  <c:v>34.411750879820943</c:v>
                </c:pt>
                <c:pt idx="97">
                  <c:v>36.096839087727737</c:v>
                </c:pt>
                <c:pt idx="98">
                  <c:v>37.864443360520141</c:v>
                </c:pt>
                <c:pt idx="99">
                  <c:v>39.718604377452948</c:v>
                </c:pt>
                <c:pt idx="100">
                  <c:v>41.663560683358568</c:v>
                </c:pt>
                <c:pt idx="101">
                  <c:v>43.703758377806778</c:v>
                </c:pt>
                <c:pt idx="102">
                  <c:v>45.843861278727033</c:v>
                </c:pt>
                <c:pt idx="103">
                  <c:v>48.088761583727148</c:v>
                </c:pt>
                <c:pt idx="104">
                  <c:v>50.44359105347953</c:v>
                </c:pt>
                <c:pt idx="105">
                  <c:v>52.913732742739995</c:v>
                </c:pt>
                <c:pt idx="106">
                  <c:v>55.504833305815637</c:v>
                </c:pt>
                <c:pt idx="107">
                  <c:v>58.222815904611814</c:v>
                </c:pt>
                <c:pt idx="108">
                  <c:v>61.073893748765386</c:v>
                </c:pt>
                <c:pt idx="109">
                  <c:v>64.064584298816598</c:v>
                </c:pt>
                <c:pt idx="110">
                  <c:v>67.201724164887594</c:v>
                </c:pt>
              </c:numCache>
            </c:numRef>
          </c:xVal>
          <c:yVal>
            <c:numRef>
              <c:f>'Berekening trap 1'!$J$76:$J$186</c:f>
              <c:numCache>
                <c:formatCode>General</c:formatCode>
                <c:ptCount val="111"/>
                <c:pt idx="0">
                  <c:v>0</c:v>
                </c:pt>
                <c:pt idx="1">
                  <c:v>1.7508294120623447</c:v>
                </c:pt>
                <c:pt idx="2">
                  <c:v>5.0334323531390339</c:v>
                </c:pt>
                <c:pt idx="3">
                  <c:v>7.6688966605174613</c:v>
                </c:pt>
                <c:pt idx="4">
                  <c:v>10.045153395114241</c:v>
                </c:pt>
                <c:pt idx="5">
                  <c:v>12.272093460562289</c:v>
                </c:pt>
                <c:pt idx="6">
                  <c:v>14.400939094982149</c:v>
                </c:pt>
                <c:pt idx="7">
                  <c:v>16.460695195769759</c:v>
                </c:pt>
                <c:pt idx="8">
                  <c:v>18.469664176858927</c:v>
                </c:pt>
                <c:pt idx="9">
                  <c:v>20.440211041077234</c:v>
                </c:pt>
                <c:pt idx="10">
                  <c:v>22.381077800608111</c:v>
                </c:pt>
                <c:pt idx="11">
                  <c:v>24.298635994991358</c:v>
                </c:pt>
                <c:pt idx="12">
                  <c:v>26.197619928358733</c:v>
                </c:pt>
                <c:pt idx="13">
                  <c:v>28.081582410522159</c:v>
                </c:pt>
                <c:pt idx="14">
                  <c:v>29.953191747321256</c:v>
                </c:pt>
                <c:pt idx="15">
                  <c:v>31.814432869087</c:v>
                </c:pt>
                <c:pt idx="16">
                  <c:v>33.666747980765493</c:v>
                </c:pt>
                <c:pt idx="17">
                  <c:v>35.511137657424314</c:v>
                </c:pt>
                <c:pt idx="18">
                  <c:v>37.348235286323451</c:v>
                </c:pt>
                <c:pt idx="19">
                  <c:v>39.178363099675771</c:v>
                </c:pt>
                <c:pt idx="20">
                  <c:v>41.001575232450072</c:v>
                </c:pt>
                <c:pt idx="21">
                  <c:v>42.817691486831144</c:v>
                </c:pt>
                <c:pt idx="22">
                  <c:v>44.626324359199756</c:v>
                </c:pt>
                <c:pt idx="23">
                  <c:v>46.426901143498633</c:v>
                </c:pt>
                <c:pt idx="24">
                  <c:v>48.218682424292304</c:v>
                </c:pt>
                <c:pt idx="25">
                  <c:v>50.000777927897467</c:v>
                </c:pt>
                <c:pt idx="26">
                  <c:v>51.772160457516726</c:v>
                </c:pt>
                <c:pt idx="27">
                  <c:v>53.53167846462685</c:v>
                </c:pt>
                <c:pt idx="28">
                  <c:v>55.278067682089969</c:v>
                </c:pt>
                <c:pt idx="29">
                  <c:v>57.009962150100776</c:v>
                </c:pt>
                <c:pt idx="30">
                  <c:v>58.725904894408778</c:v>
                </c:pt>
                <c:pt idx="31">
                  <c:v>60.424358460584536</c:v>
                </c:pt>
                <c:pt idx="32">
                  <c:v>62.103715463789221</c:v>
                </c:pt>
                <c:pt idx="33">
                  <c:v>63.76230927728885</c:v>
                </c:pt>
                <c:pt idx="34">
                  <c:v>65.39842495249934</c:v>
                </c:pt>
                <c:pt idx="35">
                  <c:v>67.010310436987339</c:v>
                </c:pt>
                <c:pt idx="36">
                  <c:v>68.596188133384103</c:v>
                </c:pt>
                <c:pt idx="37">
                  <c:v>70.154266820736694</c:v>
                </c:pt>
                <c:pt idx="38">
                  <c:v>71.682753939816308</c:v>
                </c:pt>
                <c:pt idx="39">
                  <c:v>73.179868224917684</c:v>
                </c:pt>
                <c:pt idx="40">
                  <c:v>74.643852646454732</c:v>
                </c:pt>
                <c:pt idx="41">
                  <c:v>76.072987611050394</c:v>
                </c:pt>
                <c:pt idx="42">
                  <c:v>77.465604348797726</c:v>
                </c:pt>
                <c:pt idx="43">
                  <c:v>78.820098400984151</c:v>
                </c:pt>
                <c:pt idx="44">
                  <c:v>80.134943105947642</c:v>
                </c:pt>
                <c:pt idx="45">
                  <c:v>81.408702966061981</c:v>
                </c:pt>
                <c:pt idx="46">
                  <c:v>82.640046765370457</c:v>
                </c:pt>
                <c:pt idx="47">
                  <c:v>83.827760295396843</c:v>
                </c:pt>
                <c:pt idx="48">
                  <c:v>84.970758536485405</c:v>
                </c:pt>
                <c:pt idx="49">
                  <c:v>86.06809713401401</c:v>
                </c:pt>
                <c:pt idx="50">
                  <c:v>87.118983003355353</c:v>
                </c:pt>
                <c:pt idx="51">
                  <c:v>88.122783894904302</c:v>
                </c:pt>
                <c:pt idx="52">
                  <c:v>89.079036751204555</c:v>
                </c:pt>
                <c:pt idx="53">
                  <c:v>89.987454692525432</c:v>
                </c:pt>
                <c:pt idx="54">
                  <c:v>90.847932475448744</c:v>
                </c:pt>
                <c:pt idx="55">
                  <c:v>91.660550281343561</c:v>
                </c:pt>
                <c:pt idx="56">
                  <c:v>92.425575708175899</c:v>
                </c:pt>
                <c:pt idx="57">
                  <c:v>93.143463859954466</c:v>
                </c:pt>
                <c:pt idx="58">
                  <c:v>93.621274720503209</c:v>
                </c:pt>
                <c:pt idx="59">
                  <c:v>94.190575765062803</c:v>
                </c:pt>
                <c:pt idx="60">
                  <c:v>94.726148983805714</c:v>
                </c:pt>
                <c:pt idx="61">
                  <c:v>95.228334853319353</c:v>
                </c:pt>
                <c:pt idx="62">
                  <c:v>95.697612684439861</c:v>
                </c:pt>
                <c:pt idx="63">
                  <c:v>96.134596103503185</c:v>
                </c:pt>
                <c:pt idx="64">
                  <c:v>96.540027104938744</c:v>
                </c:pt>
                <c:pt idx="65">
                  <c:v>96.91476871798514</c:v>
                </c:pt>
                <c:pt idx="66">
                  <c:v>97.259796356977475</c:v>
                </c:pt>
                <c:pt idx="67">
                  <c:v>97.576187951470899</c:v>
                </c:pt>
                <c:pt idx="68">
                  <c:v>97.865112978717249</c:v>
                </c:pt>
                <c:pt idx="69">
                  <c:v>98.127820545932607</c:v>
                </c:pt>
                <c:pt idx="70">
                  <c:v>98.365626692592627</c:v>
                </c:pt>
                <c:pt idx="71">
                  <c:v>98.579901102870139</c:v>
                </c:pt>
                <c:pt idx="72">
                  <c:v>98.772053434519435</c:v>
                </c:pt>
                <c:pt idx="73">
                  <c:v>98.943519482305845</c:v>
                </c:pt>
                <c:pt idx="74">
                  <c:v>99.095747400868333</c:v>
                </c:pt>
                <c:pt idx="75">
                  <c:v>99.230184213207778</c:v>
                </c:pt>
                <c:pt idx="76">
                  <c:v>99.348262826498271</c:v>
                </c:pt>
                <c:pt idx="77">
                  <c:v>99.451389766498792</c:v>
                </c:pt>
                <c:pt idx="78">
                  <c:v>99.540933825586734</c:v>
                </c:pt>
                <c:pt idx="79">
                  <c:v>99.618215797656617</c:v>
                </c:pt>
                <c:pt idx="80">
                  <c:v>99.684499446371547</c:v>
                </c:pt>
                <c:pt idx="81">
                  <c:v>99.740983822285429</c:v>
                </c:pt>
                <c:pt idx="82">
                  <c:v>99.788797010135326</c:v>
                </c:pt>
                <c:pt idx="83">
                  <c:v>99.828991351268769</c:v>
                </c:pt>
                <c:pt idx="84">
                  <c:v>99.862540148973451</c:v>
                </c:pt>
                <c:pt idx="85">
                  <c:v>99.890335827741495</c:v>
                </c:pt>
                <c:pt idx="86">
                  <c:v>99.913189482556604</c:v>
                </c:pt>
                <c:pt idx="87">
                  <c:v>99.931831722411545</c:v>
                </c:pt>
                <c:pt idx="88">
                  <c:v>99.946914684592059</c:v>
                </c:pt>
                <c:pt idx="89">
                  <c:v>99.959015073762004</c:v>
                </c:pt>
                <c:pt idx="90">
                  <c:v>99.968638063273886</c:v>
                </c:pt>
                <c:pt idx="91">
                  <c:v>99.976221885851572</c:v>
                </c:pt>
                <c:pt idx="92">
                  <c:v>99.982142936984104</c:v>
                </c:pt>
                <c:pt idx="93">
                  <c:v>99.986721216860559</c:v>
                </c:pt>
                <c:pt idx="94">
                  <c:v>99.99022594499553</c:v>
                </c:pt>
                <c:pt idx="95">
                  <c:v>99.992881195111494</c:v>
                </c:pt>
                <c:pt idx="96">
                  <c:v>99.994871415410259</c:v>
                </c:pt>
                <c:pt idx="97">
                  <c:v>99.99634671998038</c:v>
                </c:pt>
                <c:pt idx="98">
                  <c:v>99.997427859572383</c:v>
                </c:pt>
                <c:pt idx="99">
                  <c:v>99.998210803140765</c:v>
                </c:pt>
                <c:pt idx="100">
                  <c:v>99.99877088428272</c:v>
                </c:pt>
                <c:pt idx="101">
                  <c:v>99.999166488007717</c:v>
                </c:pt>
                <c:pt idx="102">
                  <c:v>99.999442272340701</c:v>
                </c:pt>
                <c:pt idx="103">
                  <c:v>99.999631935502421</c:v>
                </c:pt>
                <c:pt idx="104">
                  <c:v>99.999760552460714</c:v>
                </c:pt>
                <c:pt idx="105">
                  <c:v>99.999846514375378</c:v>
                </c:pt>
                <c:pt idx="106">
                  <c:v>99.999903110943492</c:v>
                </c:pt>
                <c:pt idx="107">
                  <c:v>99.999939799147114</c:v>
                </c:pt>
                <c:pt idx="108">
                  <c:v>99.999963202798853</c:v>
                </c:pt>
                <c:pt idx="109">
                  <c:v>99.999977886049194</c:v>
                </c:pt>
                <c:pt idx="110">
                  <c:v>99.999986941176289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578-4ADB-82F6-A2969B06FF83}"/>
            </c:ext>
          </c:extLst>
        </c:ser>
        <c:ser>
          <c:idx val="5"/>
          <c:order val="4"/>
          <c:tx>
            <c:v>Grade Efficiency Stage 2</c:v>
          </c:tx>
          <c:spPr>
            <a:ln w="952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'Berekening trap 2'!$B$76:$B$186</c:f>
              <c:numCache>
                <c:formatCode>General</c:formatCode>
                <c:ptCount val="111"/>
                <c:pt idx="0">
                  <c:v>0.17895473832498884</c:v>
                </c:pt>
                <c:pt idx="1">
                  <c:v>0.36667260295394372</c:v>
                </c:pt>
                <c:pt idx="2">
                  <c:v>0.38462797179170033</c:v>
                </c:pt>
                <c:pt idx="3">
                  <c:v>0.40346258622212638</c:v>
                </c:pt>
                <c:pt idx="4">
                  <c:v>0.42321950149065923</c:v>
                </c:pt>
                <c:pt idx="5">
                  <c:v>0.44394388118899941</c:v>
                </c:pt>
                <c:pt idx="6">
                  <c:v>0.4656831004974431</c:v>
                </c:pt>
                <c:pt idx="7">
                  <c:v>0.48848685448282592</c:v>
                </c:pt>
                <c:pt idx="8">
                  <c:v>0.51240727169964306</c:v>
                </c:pt>
                <c:pt idx="9">
                  <c:v>0.53749903335403448</c:v>
                </c:pt>
                <c:pt idx="10">
                  <c:v>0.56381949830303846</c:v>
                </c:pt>
                <c:pt idx="11">
                  <c:v>0.59142883417485859</c:v>
                </c:pt>
                <c:pt idx="12">
                  <c:v>0.62039015490987914</c:v>
                </c:pt>
                <c:pt idx="13">
                  <c:v>0.65076966503684375</c:v>
                </c:pt>
                <c:pt idx="14">
                  <c:v>0.68263681101400731</c:v>
                </c:pt>
                <c:pt idx="15">
                  <c:v>0.71606443998121994</c:v>
                </c:pt>
                <c:pt idx="16">
                  <c:v>0.75112896628584647</c:v>
                </c:pt>
                <c:pt idx="17">
                  <c:v>0.78791054616319345</c:v>
                </c:pt>
                <c:pt idx="18">
                  <c:v>0.82649326097075537</c:v>
                </c:pt>
                <c:pt idx="19">
                  <c:v>0.86696530939514815</c:v>
                </c:pt>
                <c:pt idx="20">
                  <c:v>0.90941920907110763</c:v>
                </c:pt>
                <c:pt idx="21">
                  <c:v>0.95395200807344716</c:v>
                </c:pt>
                <c:pt idx="22">
                  <c:v>1.0006655067654364</c:v>
                </c:pt>
                <c:pt idx="23">
                  <c:v>1.0496664905107393</c:v>
                </c:pt>
                <c:pt idx="24">
                  <c:v>1.101066973780882</c:v>
                </c:pt>
                <c:pt idx="25">
                  <c:v>1.1549844562162725</c:v>
                </c:pt>
                <c:pt idx="26">
                  <c:v>1.2115421912261168</c:v>
                </c:pt>
                <c:pt idx="27">
                  <c:v>1.2708694677412404</c:v>
                </c:pt>
                <c:pt idx="28">
                  <c:v>1.3331019057638969</c:v>
                </c:pt>
                <c:pt idx="29">
                  <c:v>1.3983817663901723</c:v>
                </c:pt>
                <c:pt idx="30">
                  <c:v>1.4668582770136913</c:v>
                </c:pt>
                <c:pt idx="31">
                  <c:v>1.5386879724540274</c:v>
                </c:pt>
                <c:pt idx="32">
                  <c:v>1.614035052789621</c:v>
                </c:pt>
                <c:pt idx="33">
                  <c:v>1.693071758713204</c:v>
                </c:pt>
                <c:pt idx="34">
                  <c:v>1.7759787652677768</c:v>
                </c:pt>
                <c:pt idx="35">
                  <c:v>1.8629455948632017</c:v>
                </c:pt>
                <c:pt idx="36">
                  <c:v>1.9541710505175589</c:v>
                </c:pt>
                <c:pt idx="37">
                  <c:v>2.0498636703136346</c:v>
                </c:pt>
                <c:pt idx="38">
                  <c:v>2.1502422041094142</c:v>
                </c:pt>
                <c:pt idx="39">
                  <c:v>2.2555361135923233</c:v>
                </c:pt>
                <c:pt idx="40">
                  <c:v>2.3659860968203237</c:v>
                </c:pt>
                <c:pt idx="41">
                  <c:v>2.4818446384489414</c:v>
                </c:pt>
                <c:pt idx="42">
                  <c:v>2.6033765869020322</c:v>
                </c:pt>
                <c:pt idx="43">
                  <c:v>2.7308597598056736</c:v>
                </c:pt>
                <c:pt idx="44">
                  <c:v>2.8645855790691792</c:v>
                </c:pt>
                <c:pt idx="45">
                  <c:v>3.004859737065015</c:v>
                </c:pt>
                <c:pt idx="46">
                  <c:v>3.1520028954304724</c:v>
                </c:pt>
                <c:pt idx="47">
                  <c:v>3.3063514180885445</c:v>
                </c:pt>
                <c:pt idx="48">
                  <c:v>3.4682581401636492</c:v>
                </c:pt>
                <c:pt idx="49">
                  <c:v>3.6380931745499301</c:v>
                </c:pt>
                <c:pt idx="50">
                  <c:v>3.8162447579759049</c:v>
                </c:pt>
                <c:pt idx="51">
                  <c:v>4.003120138499547</c:v>
                </c:pt>
                <c:pt idx="52">
                  <c:v>4.1991465064625739</c:v>
                </c:pt>
                <c:pt idx="53">
                  <c:v>4.4047719710320745</c:v>
                </c:pt>
                <c:pt idx="54">
                  <c:v>4.6204665845618109</c:v>
                </c:pt>
                <c:pt idx="55">
                  <c:v>4.8467234171148483</c:v>
                </c:pt>
                <c:pt idx="56">
                  <c:v>5.0840596836038401</c:v>
                </c:pt>
                <c:pt idx="57">
                  <c:v>5.3330179261255513</c:v>
                </c:pt>
                <c:pt idx="58">
                  <c:v>5.5941672541924206</c:v>
                </c:pt>
                <c:pt idx="59">
                  <c:v>5.8681046456962562</c:v>
                </c:pt>
                <c:pt idx="60">
                  <c:v>6.1554563115780505</c:v>
                </c:pt>
                <c:pt idx="61">
                  <c:v>6.4568791273234725</c:v>
                </c:pt>
                <c:pt idx="62">
                  <c:v>6.7730621345564046</c:v>
                </c:pt>
                <c:pt idx="63">
                  <c:v>7.1047281161631046</c:v>
                </c:pt>
                <c:pt idx="64">
                  <c:v>7.4526352485476632</c:v>
                </c:pt>
                <c:pt idx="65">
                  <c:v>7.817578834795766</c:v>
                </c:pt>
                <c:pt idx="66">
                  <c:v>8.2003931227087037</c:v>
                </c:pt>
                <c:pt idx="67">
                  <c:v>8.6019532118635844</c:v>
                </c:pt>
                <c:pt idx="68">
                  <c:v>9.0231770540592215</c:v>
                </c:pt>
                <c:pt idx="69">
                  <c:v>9.465027551720663</c:v>
                </c:pt>
                <c:pt idx="70">
                  <c:v>9.9285147590591922</c:v>
                </c:pt>
                <c:pt idx="71">
                  <c:v>10.414698191019639</c:v>
                </c:pt>
                <c:pt idx="72">
                  <c:v>10.924689245293095</c:v>
                </c:pt>
                <c:pt idx="73">
                  <c:v>11.459653742931739</c:v>
                </c:pt>
                <c:pt idx="74">
                  <c:v>12.020814593373469</c:v>
                </c:pt>
                <c:pt idx="75">
                  <c:v>12.609454589968522</c:v>
                </c:pt>
                <c:pt idx="76">
                  <c:v>13.226919342398542</c:v>
                </c:pt>
                <c:pt idx="77">
                  <c:v>13.874620352691514</c:v>
                </c:pt>
                <c:pt idx="78">
                  <c:v>14.554038241864195</c:v>
                </c:pt>
                <c:pt idx="79">
                  <c:v>15.266726134568058</c:v>
                </c:pt>
                <c:pt idx="80">
                  <c:v>16.014313209475915</c:v>
                </c:pt>
                <c:pt idx="81">
                  <c:v>16.798508423525256</c:v>
                </c:pt>
                <c:pt idx="82">
                  <c:v>17.62110441853185</c:v>
                </c:pt>
                <c:pt idx="83">
                  <c:v>18.483981619103893</c:v>
                </c:pt>
                <c:pt idx="84">
                  <c:v>19.389112531224455</c:v>
                </c:pt>
                <c:pt idx="85">
                  <c:v>20.338566251328629</c:v>
                </c:pt>
                <c:pt idx="86">
                  <c:v>21.334513196182932</c:v>
                </c:pt>
                <c:pt idx="87">
                  <c:v>22.379230064379289</c:v>
                </c:pt>
                <c:pt idx="88">
                  <c:v>23.475105040785458</c:v>
                </c:pt>
                <c:pt idx="89">
                  <c:v>24.624643255849008</c:v>
                </c:pt>
                <c:pt idx="90">
                  <c:v>25.83047251223466</c:v>
                </c:pt>
                <c:pt idx="91">
                  <c:v>27.09534929188586</c:v>
                </c:pt>
                <c:pt idx="92">
                  <c:v>28.42216505724253</c:v>
                </c:pt>
                <c:pt idx="93">
                  <c:v>29.813952861019317</c:v>
                </c:pt>
                <c:pt idx="94">
                  <c:v>31.273894279654101</c:v>
                </c:pt>
                <c:pt idx="95">
                  <c:v>32.805326686276331</c:v>
                </c:pt>
                <c:pt idx="96">
                  <c:v>34.411750879820943</c:v>
                </c:pt>
                <c:pt idx="97">
                  <c:v>36.096839087727737</c:v>
                </c:pt>
                <c:pt idx="98">
                  <c:v>37.864443360520141</c:v>
                </c:pt>
                <c:pt idx="99">
                  <c:v>39.718604377452948</c:v>
                </c:pt>
                <c:pt idx="100">
                  <c:v>41.663560683358568</c:v>
                </c:pt>
                <c:pt idx="101">
                  <c:v>43.703758377806778</c:v>
                </c:pt>
                <c:pt idx="102">
                  <c:v>45.843861278727033</c:v>
                </c:pt>
                <c:pt idx="103">
                  <c:v>48.088761583727148</c:v>
                </c:pt>
                <c:pt idx="104">
                  <c:v>50.44359105347953</c:v>
                </c:pt>
                <c:pt idx="105">
                  <c:v>52.913732742739995</c:v>
                </c:pt>
                <c:pt idx="106">
                  <c:v>55.504833305815637</c:v>
                </c:pt>
                <c:pt idx="107">
                  <c:v>58.222815904611814</c:v>
                </c:pt>
                <c:pt idx="108">
                  <c:v>61.073893748765386</c:v>
                </c:pt>
                <c:pt idx="109">
                  <c:v>64.064584298816598</c:v>
                </c:pt>
                <c:pt idx="110">
                  <c:v>67.201724164887594</c:v>
                </c:pt>
              </c:numCache>
            </c:numRef>
          </c:xVal>
          <c:yVal>
            <c:numRef>
              <c:f>'Berekening trap 2'!$J$76:$J$186</c:f>
              <c:numCache>
                <c:formatCode>General</c:formatCode>
                <c:ptCount val="111"/>
                <c:pt idx="0">
                  <c:v>0</c:v>
                </c:pt>
                <c:pt idx="1">
                  <c:v>2.4291728018478409</c:v>
                </c:pt>
                <c:pt idx="2">
                  <c:v>5.4393159816031869</c:v>
                </c:pt>
                <c:pt idx="3">
                  <c:v>7.9531654606958284</c:v>
                </c:pt>
                <c:pt idx="4">
                  <c:v>10.244112095061894</c:v>
                </c:pt>
                <c:pt idx="5">
                  <c:v>12.402622555094339</c:v>
                </c:pt>
                <c:pt idx="6">
                  <c:v>14.472974912611761</c:v>
                </c:pt>
                <c:pt idx="7">
                  <c:v>16.48089334394227</c:v>
                </c:pt>
                <c:pt idx="8">
                  <c:v>18.442872225608468</c:v>
                </c:pt>
                <c:pt idx="9">
                  <c:v>20.370177846397169</c:v>
                </c:pt>
                <c:pt idx="10">
                  <c:v>22.270838663283243</c:v>
                </c:pt>
                <c:pt idx="11">
                  <c:v>24.150740601559491</c:v>
                </c:pt>
                <c:pt idx="12">
                  <c:v>26.014276325376741</c:v>
                </c:pt>
                <c:pt idx="13">
                  <c:v>27.864752706962889</c:v>
                </c:pt>
                <c:pt idx="14">
                  <c:v>29.704658395495557</c:v>
                </c:pt>
                <c:pt idx="15">
                  <c:v>31.535846134054538</c:v>
                </c:pt>
                <c:pt idx="16">
                  <c:v>33.359660887155201</c:v>
                </c:pt>
                <c:pt idx="17">
                  <c:v>35.177032304114931</c:v>
                </c:pt>
                <c:pt idx="18">
                  <c:v>36.988543023286589</c:v>
                </c:pt>
                <c:pt idx="19">
                  <c:v>38.794480215103597</c:v>
                </c:pt>
                <c:pt idx="20">
                  <c:v>40.594875267327282</c:v>
                </c:pt>
                <c:pt idx="21">
                  <c:v>42.389534950764954</c:v>
                </c:pt>
                <c:pt idx="22">
                  <c:v>44.178066393399362</c:v>
                </c:pt>
                <c:pt idx="23">
                  <c:v>45.959897522000539</c:v>
                </c:pt>
                <c:pt idx="24">
                  <c:v>47.73429417730275</c:v>
                </c:pt>
                <c:pt idx="25">
                  <c:v>49.500374795603562</c:v>
                </c:pt>
                <c:pt idx="26">
                  <c:v>51.257123328808078</c:v>
                </c:pt>
                <c:pt idx="27">
                  <c:v>53.003400916311818</c:v>
                </c:pt>
                <c:pt idx="28">
                  <c:v>54.737956706035099</c:v>
                </c:pt>
                <c:pt idx="29">
                  <c:v>56.459438135336363</c:v>
                </c:pt>
                <c:pt idx="30">
                  <c:v>58.166400916618059</c:v>
                </c:pt>
                <c:pt idx="31">
                  <c:v>59.857318921129057</c:v>
                </c:pt>
                <c:pt idx="32">
                  <c:v>61.530594113531173</c:v>
                </c:pt>
                <c:pt idx="33">
                  <c:v>63.184566656243959</c:v>
                </c:pt>
                <c:pt idx="34">
                  <c:v>64.817525274273152</c:v>
                </c:pt>
                <c:pt idx="35">
                  <c:v>66.427717946627808</c:v>
                </c:pt>
                <c:pt idx="36">
                  <c:v>68.013362968427316</c:v>
                </c:pt>
                <c:pt idx="37">
                  <c:v>69.572660407593006</c:v>
                </c:pt>
                <c:pt idx="38">
                  <c:v>71.103803961044946</c:v>
                </c:pt>
                <c:pt idx="39">
                  <c:v>72.604993197193636</c:v>
                </c:pt>
                <c:pt idx="40">
                  <c:v>74.07444615398245</c:v>
                </c:pt>
                <c:pt idx="41">
                  <c:v>75.510412244666</c:v>
                </c:pt>
                <c:pt idx="42">
                  <c:v>76.911185406866409</c:v>
                </c:pt>
                <c:pt idx="43">
                  <c:v>78.2751174142753</c:v>
                </c:pt>
                <c:pt idx="44">
                  <c:v>79.6006312547824</c:v>
                </c:pt>
                <c:pt idx="45">
                  <c:v>80.886234463988956</c:v>
                </c:pt>
                <c:pt idx="46">
                  <c:v>82.130532289237735</c:v>
                </c:pt>
                <c:pt idx="47">
                  <c:v>83.332240546744259</c:v>
                </c:pt>
                <c:pt idx="48">
                  <c:v>84.490198023462142</c:v>
                </c:pt>
                <c:pt idx="49">
                  <c:v>85.603378266312646</c:v>
                </c:pt>
                <c:pt idx="50">
                  <c:v>86.670900594720166</c:v>
                </c:pt>
                <c:pt idx="51">
                  <c:v>87.6920401684024</c:v>
                </c:pt>
                <c:pt idx="52">
                  <c:v>88.666236941435542</c:v>
                </c:pt>
                <c:pt idx="53">
                  <c:v>89.593103336104008</c:v>
                </c:pt>
                <c:pt idx="54">
                  <c:v>90.472430476263</c:v>
                </c:pt>
                <c:pt idx="55">
                  <c:v>91.304192830150612</c:v>
                </c:pt>
                <c:pt idx="56">
                  <c:v>92.088551126968298</c:v>
                </c:pt>
                <c:pt idx="57">
                  <c:v>92.825853430195991</c:v>
                </c:pt>
                <c:pt idx="58">
                  <c:v>93.302398938276411</c:v>
                </c:pt>
                <c:pt idx="59">
                  <c:v>93.890110005385978</c:v>
                </c:pt>
                <c:pt idx="60">
                  <c:v>94.443927909083854</c:v>
                </c:pt>
                <c:pt idx="61">
                  <c:v>94.964120428237294</c:v>
                </c:pt>
                <c:pt idx="62">
                  <c:v>95.451096040901092</c:v>
                </c:pt>
                <c:pt idx="63">
                  <c:v>95.905400155590016</c:v>
                </c:pt>
                <c:pt idx="64">
                  <c:v>96.327709901270495</c:v>
                </c:pt>
                <c:pt idx="65">
                  <c:v>96.718827505212005</c:v>
                </c:pt>
                <c:pt idx="66">
                  <c:v>97.079672314179149</c:v>
                </c:pt>
                <c:pt idx="67">
                  <c:v>97.411271541280314</c:v>
                </c:pt>
                <c:pt idx="68">
                  <c:v>97.714749847437503</c:v>
                </c:pt>
                <c:pt idx="69">
                  <c:v>97.991317892167046</c:v>
                </c:pt>
                <c:pt idx="70">
                  <c:v>98.242260012379504</c:v>
                </c:pt>
                <c:pt idx="71">
                  <c:v>98.468921209419094</c:v>
                </c:pt>
                <c:pt idx="72">
                  <c:v>98.672693642783329</c:v>
                </c:pt>
                <c:pt idx="73">
                  <c:v>98.855002843145442</c:v>
                </c:pt>
                <c:pt idx="74">
                  <c:v>99.017293866783533</c:v>
                </c:pt>
                <c:pt idx="75">
                  <c:v>99.161017617747078</c:v>
                </c:pt>
                <c:pt idx="76">
                  <c:v>99.287617562658781</c:v>
                </c:pt>
                <c:pt idx="77">
                  <c:v>99.398517055730622</c:v>
                </c:pt>
                <c:pt idx="78">
                  <c:v>99.495107478339975</c:v>
                </c:pt>
                <c:pt idx="79">
                  <c:v>99.578737378562806</c:v>
                </c:pt>
                <c:pt idx="80">
                  <c:v>99.650702771817038</c:v>
                </c:pt>
                <c:pt idx="81">
                  <c:v>99.712238734883471</c:v>
                </c:pt>
                <c:pt idx="82">
                  <c:v>99.764512392906667</c:v>
                </c:pt>
                <c:pt idx="83">
                  <c:v>99.808617363583693</c:v>
                </c:pt>
                <c:pt idx="84">
                  <c:v>99.84556968582163</c:v>
                </c:pt>
                <c:pt idx="85">
                  <c:v>99.876305222981514</c:v>
                </c:pt>
                <c:pt idx="86">
                  <c:v>99.901678494760574</c:v>
                </c:pt>
                <c:pt idx="87">
                  <c:v>99.922462858108602</c:v>
                </c:pt>
                <c:pt idx="88">
                  <c:v>99.939351927548373</c:v>
                </c:pt>
                <c:pt idx="89">
                  <c:v>99.952962099938929</c:v>
                </c:pt>
                <c:pt idx="90">
                  <c:v>99.963836028938999</c:v>
                </c:pt>
                <c:pt idx="91">
                  <c:v>99.97244688078645</c:v>
                </c:pt>
                <c:pt idx="92">
                  <c:v>99.979203195809234</c:v>
                </c:pt>
                <c:pt idx="93">
                  <c:v>99.984454179312479</c:v>
                </c:pt>
                <c:pt idx="94">
                  <c:v>99.988495250829715</c:v>
                </c:pt>
                <c:pt idx="95">
                  <c:v>99.99157369158327</c:v>
                </c:pt>
                <c:pt idx="96">
                  <c:v>99.993894245528651</c:v>
                </c:pt>
                <c:pt idx="97">
                  <c:v>99.995624548529179</c:v>
                </c:pt>
                <c:pt idx="98">
                  <c:v>99.996900281874957</c:v>
                </c:pt>
                <c:pt idx="99">
                  <c:v>99.997829969329544</c:v>
                </c:pt>
                <c:pt idx="100">
                  <c:v>99.99849935999552</c:v>
                </c:pt>
                <c:pt idx="101">
                  <c:v>99.99897536147067</c:v>
                </c:pt>
                <c:pt idx="102">
                  <c:v>99.999309508108894</c:v>
                </c:pt>
                <c:pt idx="103">
                  <c:v>99.999540966996605</c:v>
                </c:pt>
                <c:pt idx="104">
                  <c:v>99.999699099019082</c:v>
                </c:pt>
                <c:pt idx="105">
                  <c:v>99.999805603874236</c:v>
                </c:pt>
                <c:pt idx="106">
                  <c:v>99.999876286061195</c:v>
                </c:pt>
                <c:pt idx="107">
                  <c:v>99.999922483897308</c:v>
                </c:pt>
                <c:pt idx="108">
                  <c:v>99.999952205822154</c:v>
                </c:pt>
                <c:pt idx="109">
                  <c:v>99.99997101806791</c:v>
                </c:pt>
                <c:pt idx="110">
                  <c:v>99.999982725711305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578-4ADB-82F6-A2969B06FF83}"/>
            </c:ext>
          </c:extLst>
        </c:ser>
        <c:ser>
          <c:idx val="2"/>
          <c:order val="5"/>
          <c:tx>
            <c:v>Total Grade Efficiency Stage 1 &amp; 2</c:v>
          </c:tx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'Berekening trap 2'!$B$76:$B$186</c:f>
              <c:numCache>
                <c:formatCode>General</c:formatCode>
                <c:ptCount val="111"/>
                <c:pt idx="0">
                  <c:v>0.17895473832498884</c:v>
                </c:pt>
                <c:pt idx="1">
                  <c:v>0.36667260295394372</c:v>
                </c:pt>
                <c:pt idx="2">
                  <c:v>0.38462797179170033</c:v>
                </c:pt>
                <c:pt idx="3">
                  <c:v>0.40346258622212638</c:v>
                </c:pt>
                <c:pt idx="4">
                  <c:v>0.42321950149065923</c:v>
                </c:pt>
                <c:pt idx="5">
                  <c:v>0.44394388118899941</c:v>
                </c:pt>
                <c:pt idx="6">
                  <c:v>0.4656831004974431</c:v>
                </c:pt>
                <c:pt idx="7">
                  <c:v>0.48848685448282592</c:v>
                </c:pt>
                <c:pt idx="8">
                  <c:v>0.51240727169964306</c:v>
                </c:pt>
                <c:pt idx="9">
                  <c:v>0.53749903335403448</c:v>
                </c:pt>
                <c:pt idx="10">
                  <c:v>0.56381949830303846</c:v>
                </c:pt>
                <c:pt idx="11">
                  <c:v>0.59142883417485859</c:v>
                </c:pt>
                <c:pt idx="12">
                  <c:v>0.62039015490987914</c:v>
                </c:pt>
                <c:pt idx="13">
                  <c:v>0.65076966503684375</c:v>
                </c:pt>
                <c:pt idx="14">
                  <c:v>0.68263681101400731</c:v>
                </c:pt>
                <c:pt idx="15">
                  <c:v>0.71606443998121994</c:v>
                </c:pt>
                <c:pt idx="16">
                  <c:v>0.75112896628584647</c:v>
                </c:pt>
                <c:pt idx="17">
                  <c:v>0.78791054616319345</c:v>
                </c:pt>
                <c:pt idx="18">
                  <c:v>0.82649326097075537</c:v>
                </c:pt>
                <c:pt idx="19">
                  <c:v>0.86696530939514815</c:v>
                </c:pt>
                <c:pt idx="20">
                  <c:v>0.90941920907110763</c:v>
                </c:pt>
                <c:pt idx="21">
                  <c:v>0.95395200807344716</c:v>
                </c:pt>
                <c:pt idx="22">
                  <c:v>1.0006655067654364</c:v>
                </c:pt>
                <c:pt idx="23">
                  <c:v>1.0496664905107393</c:v>
                </c:pt>
                <c:pt idx="24">
                  <c:v>1.101066973780882</c:v>
                </c:pt>
                <c:pt idx="25">
                  <c:v>1.1549844562162725</c:v>
                </c:pt>
                <c:pt idx="26">
                  <c:v>1.2115421912261168</c:v>
                </c:pt>
                <c:pt idx="27">
                  <c:v>1.2708694677412404</c:v>
                </c:pt>
                <c:pt idx="28">
                  <c:v>1.3331019057638969</c:v>
                </c:pt>
                <c:pt idx="29">
                  <c:v>1.3983817663901723</c:v>
                </c:pt>
                <c:pt idx="30">
                  <c:v>1.4668582770136913</c:v>
                </c:pt>
                <c:pt idx="31">
                  <c:v>1.5386879724540274</c:v>
                </c:pt>
                <c:pt idx="32">
                  <c:v>1.614035052789621</c:v>
                </c:pt>
                <c:pt idx="33">
                  <c:v>1.693071758713204</c:v>
                </c:pt>
                <c:pt idx="34">
                  <c:v>1.7759787652677768</c:v>
                </c:pt>
                <c:pt idx="35">
                  <c:v>1.8629455948632017</c:v>
                </c:pt>
                <c:pt idx="36">
                  <c:v>1.9541710505175589</c:v>
                </c:pt>
                <c:pt idx="37">
                  <c:v>2.0498636703136346</c:v>
                </c:pt>
                <c:pt idx="38">
                  <c:v>2.1502422041094142</c:v>
                </c:pt>
                <c:pt idx="39">
                  <c:v>2.2555361135923233</c:v>
                </c:pt>
                <c:pt idx="40">
                  <c:v>2.3659860968203237</c:v>
                </c:pt>
                <c:pt idx="41">
                  <c:v>2.4818446384489414</c:v>
                </c:pt>
                <c:pt idx="42">
                  <c:v>2.6033765869020322</c:v>
                </c:pt>
                <c:pt idx="43">
                  <c:v>2.7308597598056736</c:v>
                </c:pt>
                <c:pt idx="44">
                  <c:v>2.8645855790691792</c:v>
                </c:pt>
                <c:pt idx="45">
                  <c:v>3.004859737065015</c:v>
                </c:pt>
                <c:pt idx="46">
                  <c:v>3.1520028954304724</c:v>
                </c:pt>
                <c:pt idx="47">
                  <c:v>3.3063514180885445</c:v>
                </c:pt>
                <c:pt idx="48">
                  <c:v>3.4682581401636492</c:v>
                </c:pt>
                <c:pt idx="49">
                  <c:v>3.6380931745499301</c:v>
                </c:pt>
                <c:pt idx="50">
                  <c:v>3.8162447579759049</c:v>
                </c:pt>
                <c:pt idx="51">
                  <c:v>4.003120138499547</c:v>
                </c:pt>
                <c:pt idx="52">
                  <c:v>4.1991465064625739</c:v>
                </c:pt>
                <c:pt idx="53">
                  <c:v>4.4047719710320745</c:v>
                </c:pt>
                <c:pt idx="54">
                  <c:v>4.6204665845618109</c:v>
                </c:pt>
                <c:pt idx="55">
                  <c:v>4.8467234171148483</c:v>
                </c:pt>
                <c:pt idx="56">
                  <c:v>5.0840596836038401</c:v>
                </c:pt>
                <c:pt idx="57">
                  <c:v>5.3330179261255513</c:v>
                </c:pt>
                <c:pt idx="58">
                  <c:v>5.5941672541924206</c:v>
                </c:pt>
                <c:pt idx="59">
                  <c:v>5.8681046456962562</c:v>
                </c:pt>
                <c:pt idx="60">
                  <c:v>6.1554563115780505</c:v>
                </c:pt>
                <c:pt idx="61">
                  <c:v>6.4568791273234725</c:v>
                </c:pt>
                <c:pt idx="62">
                  <c:v>6.7730621345564046</c:v>
                </c:pt>
                <c:pt idx="63">
                  <c:v>7.1047281161631046</c:v>
                </c:pt>
                <c:pt idx="64">
                  <c:v>7.4526352485476632</c:v>
                </c:pt>
                <c:pt idx="65">
                  <c:v>7.817578834795766</c:v>
                </c:pt>
                <c:pt idx="66">
                  <c:v>8.2003931227087037</c:v>
                </c:pt>
                <c:pt idx="67">
                  <c:v>8.6019532118635844</c:v>
                </c:pt>
                <c:pt idx="68">
                  <c:v>9.0231770540592215</c:v>
                </c:pt>
                <c:pt idx="69">
                  <c:v>9.465027551720663</c:v>
                </c:pt>
                <c:pt idx="70">
                  <c:v>9.9285147590591922</c:v>
                </c:pt>
                <c:pt idx="71">
                  <c:v>10.414698191019639</c:v>
                </c:pt>
                <c:pt idx="72">
                  <c:v>10.924689245293095</c:v>
                </c:pt>
                <c:pt idx="73">
                  <c:v>11.459653742931739</c:v>
                </c:pt>
                <c:pt idx="74">
                  <c:v>12.020814593373469</c:v>
                </c:pt>
                <c:pt idx="75">
                  <c:v>12.609454589968522</c:v>
                </c:pt>
                <c:pt idx="76">
                  <c:v>13.226919342398542</c:v>
                </c:pt>
                <c:pt idx="77">
                  <c:v>13.874620352691514</c:v>
                </c:pt>
                <c:pt idx="78">
                  <c:v>14.554038241864195</c:v>
                </c:pt>
                <c:pt idx="79">
                  <c:v>15.266726134568058</c:v>
                </c:pt>
                <c:pt idx="80">
                  <c:v>16.014313209475915</c:v>
                </c:pt>
                <c:pt idx="81">
                  <c:v>16.798508423525256</c:v>
                </c:pt>
                <c:pt idx="82">
                  <c:v>17.62110441853185</c:v>
                </c:pt>
                <c:pt idx="83">
                  <c:v>18.483981619103893</c:v>
                </c:pt>
                <c:pt idx="84">
                  <c:v>19.389112531224455</c:v>
                </c:pt>
                <c:pt idx="85">
                  <c:v>20.338566251328629</c:v>
                </c:pt>
                <c:pt idx="86">
                  <c:v>21.334513196182932</c:v>
                </c:pt>
                <c:pt idx="87">
                  <c:v>22.379230064379289</c:v>
                </c:pt>
                <c:pt idx="88">
                  <c:v>23.475105040785458</c:v>
                </c:pt>
                <c:pt idx="89">
                  <c:v>24.624643255849008</c:v>
                </c:pt>
                <c:pt idx="90">
                  <c:v>25.83047251223466</c:v>
                </c:pt>
                <c:pt idx="91">
                  <c:v>27.09534929188586</c:v>
                </c:pt>
                <c:pt idx="92">
                  <c:v>28.42216505724253</c:v>
                </c:pt>
                <c:pt idx="93">
                  <c:v>29.813952861019317</c:v>
                </c:pt>
                <c:pt idx="94">
                  <c:v>31.273894279654101</c:v>
                </c:pt>
                <c:pt idx="95">
                  <c:v>32.805326686276331</c:v>
                </c:pt>
                <c:pt idx="96">
                  <c:v>34.411750879820943</c:v>
                </c:pt>
                <c:pt idx="97">
                  <c:v>36.096839087727737</c:v>
                </c:pt>
                <c:pt idx="98">
                  <c:v>37.864443360520141</c:v>
                </c:pt>
                <c:pt idx="99">
                  <c:v>39.718604377452948</c:v>
                </c:pt>
                <c:pt idx="100">
                  <c:v>41.663560683358568</c:v>
                </c:pt>
                <c:pt idx="101">
                  <c:v>43.703758377806778</c:v>
                </c:pt>
                <c:pt idx="102">
                  <c:v>45.843861278727033</c:v>
                </c:pt>
                <c:pt idx="103">
                  <c:v>48.088761583727148</c:v>
                </c:pt>
                <c:pt idx="104">
                  <c:v>50.44359105347953</c:v>
                </c:pt>
                <c:pt idx="105">
                  <c:v>52.913732742739995</c:v>
                </c:pt>
                <c:pt idx="106">
                  <c:v>55.504833305815637</c:v>
                </c:pt>
                <c:pt idx="107">
                  <c:v>58.222815904611814</c:v>
                </c:pt>
                <c:pt idx="108">
                  <c:v>61.073893748765386</c:v>
                </c:pt>
                <c:pt idx="109">
                  <c:v>64.064584298816598</c:v>
                </c:pt>
                <c:pt idx="110">
                  <c:v>67.201724164887594</c:v>
                </c:pt>
              </c:numCache>
            </c:numRef>
          </c:xVal>
          <c:yVal>
            <c:numRef>
              <c:f>'Berekening trap 2'!$Q$76:$Q$186</c:f>
              <c:numCache>
                <c:formatCode>0.000</c:formatCode>
                <c:ptCount val="111"/>
                <c:pt idx="0">
                  <c:v>-6.4332349853006305E-4</c:v>
                </c:pt>
                <c:pt idx="1">
                  <c:v>4.1368548358537582</c:v>
                </c:pt>
                <c:pt idx="2">
                  <c:v>10.198386333168513</c:v>
                </c:pt>
                <c:pt idx="3">
                  <c:v>15.011595333931671</c:v>
                </c:pt>
                <c:pt idx="4">
                  <c:v>19.2597092983384</c:v>
                </c:pt>
                <c:pt idx="5">
                  <c:v>23.152160207103584</c:v>
                </c:pt>
                <c:pt idx="6">
                  <c:v>26.789198725938494</c:v>
                </c:pt>
                <c:pt idx="7">
                  <c:v>30.228270065779387</c:v>
                </c:pt>
                <c:pt idx="8">
                  <c:v>33.505772067588808</c:v>
                </c:pt>
                <c:pt idx="9">
                  <c:v>36.64627397944335</c:v>
                </c:pt>
                <c:pt idx="10">
                  <c:v>39.667074602424535</c:v>
                </c:pt>
                <c:pt idx="11">
                  <c:v>42.580706658252922</c:v>
                </c:pt>
                <c:pt idx="12">
                  <c:v>45.396423739522973</c:v>
                </c:pt>
                <c:pt idx="13">
                  <c:v>48.121137875827323</c:v>
                </c:pt>
                <c:pt idx="14">
                  <c:v>50.760040085532324</c:v>
                </c:pt>
                <c:pt idx="15">
                  <c:v>53.317028084528076</c:v>
                </c:pt>
                <c:pt idx="16">
                  <c:v>55.795011530555293</c:v>
                </c:pt>
                <c:pt idx="17">
                  <c:v>58.196136663882349</c:v>
                </c:pt>
                <c:pt idx="18">
                  <c:v>60.521956262391718</c:v>
                </c:pt>
                <c:pt idx="19">
                  <c:v>62.773561508588379</c:v>
                </c:pt>
                <c:pt idx="20">
                  <c:v>64.95168670394014</c:v>
                </c:pt>
                <c:pt idx="21">
                  <c:v>67.056794209654484</c:v>
                </c:pt>
                <c:pt idx="22">
                  <c:v>69.089144692741613</c:v>
                </c:pt>
                <c:pt idx="23">
                  <c:v>71.048856228993898</c:v>
                </c:pt>
                <c:pt idx="24">
                  <c:v>72.935954776521498</c:v>
                </c:pt>
                <c:pt idx="25">
                  <c:v>74.750417813023859</c:v>
                </c:pt>
                <c:pt idx="26">
                  <c:v>76.492212420478467</c:v>
                </c:pt>
                <c:pt idx="27">
                  <c:v>78.161328734701343</c:v>
                </c:pt>
                <c:pt idx="28">
                  <c:v>79.757809410438952</c:v>
                </c:pt>
                <c:pt idx="29">
                  <c:v>81.281775556360643</c:v>
                </c:pt>
                <c:pt idx="30">
                  <c:v>82.733449449170706</c:v>
                </c:pt>
                <c:pt idx="31">
                  <c:v>84.11317422888942</c:v>
                </c:pt>
                <c:pt idx="32">
                  <c:v>85.421430699115248</c:v>
                </c:pt>
                <c:pt idx="33">
                  <c:v>86.658851300471383</c:v>
                </c:pt>
                <c:pt idx="34">
                  <c:v>87.826231287998738</c:v>
                </c:pt>
                <c:pt idx="35">
                  <c:v>88.924537120776606</c:v>
                </c:pt>
                <c:pt idx="36">
                  <c:v>89.954912062152204</c:v>
                </c:pt>
                <c:pt idx="37">
                  <c:v>90.918678989805684</c:v>
                </c:pt>
                <c:pt idx="38">
                  <c:v>91.817340424982845</c:v>
                </c:pt>
                <c:pt idx="39">
                  <c:v>92.652575808292283</c:v>
                </c:pt>
                <c:pt idx="40">
                  <c:v>93.426236074285057</c:v>
                </c:pt>
                <c:pt idx="41">
                  <c:v>94.140335607423083</c:v>
                </c:pt>
                <c:pt idx="42">
                  <c:v>94.797041696772709</c:v>
                </c:pt>
                <c:pt idx="43">
                  <c:v>95.39866164454132</c:v>
                </c:pt>
                <c:pt idx="44">
                  <c:v>95.947627723039588</c:v>
                </c:pt>
                <c:pt idx="45">
                  <c:v>96.446480214348966</c:v>
                </c:pt>
                <c:pt idx="46">
                  <c:v>96.897848805395228</c:v>
                </c:pt>
                <c:pt idx="47">
                  <c:v>97.304432646726198</c:v>
                </c:pt>
                <c:pt idx="48">
                  <c:v>97.668979414526461</c:v>
                </c:pt>
                <c:pt idx="49">
                  <c:v>97.994263740789592</c:v>
                </c:pt>
                <c:pt idx="50">
                  <c:v>98.283065394733526</c:v>
                </c:pt>
                <c:pt idx="51">
                  <c:v>98.538147608293343</c:v>
                </c:pt>
                <c:pt idx="52">
                  <c:v>98.762235938892786</c:v>
                </c:pt>
                <c:pt idx="53">
                  <c:v>98.957998053025094</c:v>
                </c:pt>
                <c:pt idx="54">
                  <c:v>99.128024794153703</c:v>
                </c:pt>
                <c:pt idx="55">
                  <c:v>99.274812868169874</c:v>
                </c:pt>
                <c:pt idx="56">
                  <c:v>99.400749439630971</c:v>
                </c:pt>
                <c:pt idx="57">
                  <c:v>99.508098883206443</c:v>
                </c:pt>
                <c:pt idx="58">
                  <c:v>99.57277567953922</c:v>
                </c:pt>
                <c:pt idx="59">
                  <c:v>99.645048286451797</c:v>
                </c:pt>
                <c:pt idx="60">
                  <c:v>99.706979150512879</c:v>
                </c:pt>
                <c:pt idx="61">
                  <c:v>99.759703143769201</c:v>
                </c:pt>
                <c:pt idx="62">
                  <c:v>99.804287274008857</c:v>
                </c:pt>
                <c:pt idx="63">
                  <c:v>99.841726159861977</c:v>
                </c:pt>
                <c:pt idx="64">
                  <c:v>99.872938940547542</c:v>
                </c:pt>
                <c:pt idx="65">
                  <c:v>99.898767588526255</c:v>
                </c:pt>
                <c:pt idx="66">
                  <c:v>99.919976559558648</c:v>
                </c:pt>
                <c:pt idx="67">
                  <c:v>99.937253684054667</c:v>
                </c:pt>
                <c:pt idx="68">
                  <c:v>99.951212177227589</c:v>
                </c:pt>
                <c:pt idx="69">
                  <c:v>99.962393624350511</c:v>
                </c:pt>
                <c:pt idx="70">
                  <c:v>99.971271782014526</c:v>
                </c:pt>
                <c:pt idx="71">
                  <c:v>99.978257027104021</c:v>
                </c:pt>
                <c:pt idx="72">
                  <c:v>99.983701282320339</c:v>
                </c:pt>
                <c:pt idx="73">
                  <c:v>99.987903250288952</c:v>
                </c:pt>
                <c:pt idx="74">
                  <c:v>99.991113797081908</c:v>
                </c:pt>
                <c:pt idx="75">
                  <c:v>99.993541339623192</c:v>
                </c:pt>
                <c:pt idx="76">
                  <c:v>99.995357108969728</c:v>
                </c:pt>
                <c:pt idx="77">
                  <c:v>99.996700181786608</c:v>
                </c:pt>
                <c:pt idx="78">
                  <c:v>99.997682194305028</c:v>
                </c:pt>
                <c:pt idx="79">
                  <c:v>99.998391675514327</c:v>
                </c:pt>
                <c:pt idx="80">
                  <c:v>99.998897958221633</c:v>
                </c:pt>
                <c:pt idx="81">
                  <c:v>99.999254646975146</c:v>
                </c:pt>
                <c:pt idx="82">
                  <c:v>99.999502639933439</c:v>
                </c:pt>
                <c:pt idx="83">
                  <c:v>99.999672717034073</c:v>
                </c:pt>
                <c:pt idx="84">
                  <c:v>99.999787718954536</c:v>
                </c:pt>
                <c:pt idx="85">
                  <c:v>99.999864350273995</c:v>
                </c:pt>
                <c:pt idx="86">
                  <c:v>99.999914646043436</c:v>
                </c:pt>
                <c:pt idx="87">
                  <c:v>99.999947143925866</c:v>
                </c:pt>
                <c:pt idx="88">
                  <c:v>99.999967804572336</c:v>
                </c:pt>
                <c:pt idx="89">
                  <c:v>99.99998072142732</c:v>
                </c:pt>
                <c:pt idx="90">
                  <c:v>99.999988658205311</c:v>
                </c:pt>
                <c:pt idx="91">
                  <c:v>99.999993448345705</c:v>
                </c:pt>
                <c:pt idx="92">
                  <c:v>99.999996286277693</c:v>
                </c:pt>
                <c:pt idx="93">
                  <c:v>99.999997935690899</c:v>
                </c:pt>
                <c:pt idx="94">
                  <c:v>99.999998875512262</c:v>
                </c:pt>
                <c:pt idx="95">
                  <c:v>99.999999400143693</c:v>
                </c:pt>
                <c:pt idx="96">
                  <c:v>99.999999686859212</c:v>
                </c:pt>
                <c:pt idx="97">
                  <c:v>99.999999840151474</c:v>
                </c:pt>
                <c:pt idx="98">
                  <c:v>99.999999920270369</c:v>
                </c:pt>
                <c:pt idx="99">
                  <c:v>99.999999961173629</c:v>
                </c:pt>
                <c:pt idx="100">
                  <c:v>99.999999981555291</c:v>
                </c:pt>
                <c:pt idx="101">
                  <c:v>99.999999991459475</c:v>
                </c:pt>
                <c:pt idx="102">
                  <c:v>99.999999996148901</c:v>
                </c:pt>
                <c:pt idx="103">
                  <c:v>99.999999998310457</c:v>
                </c:pt>
                <c:pt idx="104">
                  <c:v>99.999999999279481</c:v>
                </c:pt>
                <c:pt idx="105">
                  <c:v>99.999999999701629</c:v>
                </c:pt>
                <c:pt idx="106">
                  <c:v>99.999999999880146</c:v>
                </c:pt>
                <c:pt idx="107">
                  <c:v>99.999999999953332</c:v>
                </c:pt>
                <c:pt idx="108">
                  <c:v>99.999999999982407</c:v>
                </c:pt>
                <c:pt idx="109">
                  <c:v>99.999999999993591</c:v>
                </c:pt>
                <c:pt idx="110">
                  <c:v>99.999999999997755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578-4ADB-82F6-A2969B06F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21120"/>
        <c:axId val="52375552"/>
      </c:scatterChart>
      <c:valAx>
        <c:axId val="52021120"/>
        <c:scaling>
          <c:logBase val="10"/>
          <c:orientation val="minMax"/>
          <c:max val="1000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Particle Size (µm)</a:t>
                </a:r>
              </a:p>
            </c:rich>
          </c:tx>
          <c:layout>
            <c:manualLayout>
              <c:xMode val="edge"/>
              <c:yMode val="edge"/>
              <c:x val="0.45464626326907853"/>
              <c:y val="0.94053351876332458"/>
            </c:manualLayout>
          </c:layout>
          <c:overlay val="0"/>
          <c:spPr>
            <a:noFill/>
            <a:ln w="25400">
              <a:noFill/>
            </a:ln>
          </c:spPr>
        </c:title>
        <c:numFmt formatCode="_-* #,##0_-;_-* #,##0\-;_-* &quot;-&quot;_-;_-@_-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375552"/>
        <c:crossesAt val="0.1"/>
        <c:crossBetween val="midCat"/>
        <c:majorUnit val="10"/>
        <c:minorUnit val="10"/>
      </c:valAx>
      <c:valAx>
        <c:axId val="52375552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PSD Cumulative (%)  -  Grade Efficiency (%)       .</a:t>
                </a:r>
              </a:p>
            </c:rich>
          </c:tx>
          <c:layout>
            <c:manualLayout>
              <c:xMode val="edge"/>
              <c:yMode val="edge"/>
              <c:x val="1.7699124604148991E-2"/>
              <c:y val="0.29421015229202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021120"/>
        <c:crossesAt val="0.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7.5580376241516103E-2"/>
          <c:y val="7.2943850288928816E-2"/>
          <c:w val="0.88595465214425284"/>
          <c:h val="6.518814626165575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Drop" dropStyle="combo" dx="16" fmlaLink="$S$2" fmlaRange="$R$2:$R$5" sel="1" val="0"/>
</file>

<file path=xl/ctrlProps/ctrlProp2.xml><?xml version="1.0" encoding="utf-8"?>
<formControlPr xmlns="http://schemas.microsoft.com/office/spreadsheetml/2009/9/main" objectType="Drop" dropStyle="combo" dx="16" fmlaLink="$S$9" fmlaRange="$R$9:$R$12" sel="2" val="0"/>
</file>

<file path=xl/ctrlProps/ctrlProp3.xml><?xml version="1.0" encoding="utf-8"?>
<formControlPr xmlns="http://schemas.microsoft.com/office/spreadsheetml/2009/9/main" objectType="Drop" dropStyle="combo" dx="16" fmlaLink="$S$15" fmlaRange="$R$15:$R$16" sel="2" val="0"/>
</file>

<file path=xl/ctrlProps/ctrlProp4.xml><?xml version="1.0" encoding="utf-8"?>
<formControlPr xmlns="http://schemas.microsoft.com/office/spreadsheetml/2009/9/main" objectType="Drop" dropStyle="combo" dx="16" fmlaLink="$S$19" fmlaRange="$R$19:$R$23" sel="5" val="0"/>
</file>

<file path=xl/ctrlProps/ctrlProp5.xml><?xml version="1.0" encoding="utf-8"?>
<formControlPr xmlns="http://schemas.microsoft.com/office/spreadsheetml/2009/9/main" objectType="Drop" dropStyle="combo" dx="16" fmlaLink="$S$25" fmlaRange="$R$25:$R$33" sel="6" val="0"/>
</file>

<file path=xl/ctrlProps/ctrlProp6.xml><?xml version="1.0" encoding="utf-8"?>
<formControlPr xmlns="http://schemas.microsoft.com/office/spreadsheetml/2009/9/main" objectType="Drop" dropStyle="combo" dx="16" fmlaLink="$S$36" fmlaRange="$R$36:$R$37" sel="2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16" fmlaLink="$S$26" fmlaRange="$R$25:$R$33" sel="6" val="0"/>
</file>

<file path=xl/ctrlProps/ctrlProp9.xml><?xml version="1.0" encoding="utf-8"?>
<formControlPr xmlns="http://schemas.microsoft.com/office/spreadsheetml/2009/9/main" objectType="Drop" dropStyle="combo" dx="16" fmlaLink="$T$36" fmlaRange="$R$36:$R$37" sel="2" val="0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chart" Target="../charts/chart3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0</xdr:rowOff>
        </xdr:from>
        <xdr:to>
          <xdr:col>1</xdr:col>
          <xdr:colOff>828675</xdr:colOff>
          <xdr:row>6</xdr:row>
          <xdr:rowOff>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9525</xdr:rowOff>
        </xdr:from>
        <xdr:to>
          <xdr:col>1</xdr:col>
          <xdr:colOff>828675</xdr:colOff>
          <xdr:row>7</xdr:row>
          <xdr:rowOff>9525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828675</xdr:colOff>
          <xdr:row>8</xdr:row>
          <xdr:rowOff>9525</xdr:rowOff>
        </xdr:to>
        <xdr:sp macro="" textlink="">
          <xdr:nvSpPr>
            <xdr:cNvPr id="1039" name="Drop Dow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828675</xdr:colOff>
          <xdr:row>11</xdr:row>
          <xdr:rowOff>9525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13</xdr:row>
          <xdr:rowOff>0</xdr:rowOff>
        </xdr:from>
        <xdr:to>
          <xdr:col>2</xdr:col>
          <xdr:colOff>866775</xdr:colOff>
          <xdr:row>14</xdr:row>
          <xdr:rowOff>0</xdr:rowOff>
        </xdr:to>
        <xdr:sp macro="" textlink="">
          <xdr:nvSpPr>
            <xdr:cNvPr id="1041" name="Drop Dow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9525</xdr:rowOff>
        </xdr:from>
        <xdr:to>
          <xdr:col>2</xdr:col>
          <xdr:colOff>866775</xdr:colOff>
          <xdr:row>21</xdr:row>
          <xdr:rowOff>9525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7</xdr:row>
          <xdr:rowOff>76200</xdr:rowOff>
        </xdr:from>
        <xdr:to>
          <xdr:col>10</xdr:col>
          <xdr:colOff>0</xdr:colOff>
          <xdr:row>10</xdr:row>
          <xdr:rowOff>66675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AFDRUKKEN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0</xdr:rowOff>
        </xdr:from>
        <xdr:to>
          <xdr:col>4</xdr:col>
          <xdr:colOff>866775</xdr:colOff>
          <xdr:row>14</xdr:row>
          <xdr:rowOff>0</xdr:rowOff>
        </xdr:to>
        <xdr:sp macro="" textlink="">
          <xdr:nvSpPr>
            <xdr:cNvPr id="1066" name="Drop Dow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9525</xdr:rowOff>
        </xdr:from>
        <xdr:to>
          <xdr:col>4</xdr:col>
          <xdr:colOff>866775</xdr:colOff>
          <xdr:row>21</xdr:row>
          <xdr:rowOff>9525</xdr:rowOff>
        </xdr:to>
        <xdr:sp macro="" textlink="">
          <xdr:nvSpPr>
            <xdr:cNvPr id="1067" name="Drop Dow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69</xdr:row>
      <xdr:rowOff>9525</xdr:rowOff>
    </xdr:from>
    <xdr:to>
      <xdr:col>2</xdr:col>
      <xdr:colOff>695325</xdr:colOff>
      <xdr:row>73</xdr:row>
      <xdr:rowOff>66675</xdr:rowOff>
    </xdr:to>
    <xdr:sp macro="" textlink="">
      <xdr:nvSpPr>
        <xdr:cNvPr id="2753" name="Line 705">
          <a:extLst>
            <a:ext uri="{FF2B5EF4-FFF2-40B4-BE49-F238E27FC236}">
              <a16:creationId xmlns:a16="http://schemas.microsoft.com/office/drawing/2014/main" id="{00000000-0008-0000-0100-0000C10A0000}"/>
            </a:ext>
          </a:extLst>
        </xdr:cNvPr>
        <xdr:cNvSpPr>
          <a:spLocks noChangeShapeType="1"/>
        </xdr:cNvSpPr>
      </xdr:nvSpPr>
      <xdr:spPr bwMode="auto">
        <a:xfrm flipV="1">
          <a:off x="1095375" y="11182350"/>
          <a:ext cx="1028700" cy="704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444499</xdr:colOff>
      <xdr:row>67</xdr:row>
      <xdr:rowOff>25400</xdr:rowOff>
    </xdr:from>
    <xdr:to>
      <xdr:col>1</xdr:col>
      <xdr:colOff>190500</xdr:colOff>
      <xdr:row>75</xdr:row>
      <xdr:rowOff>50800</xdr:rowOff>
    </xdr:to>
    <xdr:sp macro="" textlink="">
      <xdr:nvSpPr>
        <xdr:cNvPr id="3" name="Line 705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ShapeType="1"/>
        </xdr:cNvSpPr>
      </xdr:nvSpPr>
      <xdr:spPr bwMode="auto">
        <a:xfrm flipV="1">
          <a:off x="444499" y="11087100"/>
          <a:ext cx="457201" cy="134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8</xdr:col>
      <xdr:colOff>63501</xdr:colOff>
      <xdr:row>57</xdr:row>
      <xdr:rowOff>101600</xdr:rowOff>
    </xdr:from>
    <xdr:to>
      <xdr:col>11</xdr:col>
      <xdr:colOff>685800</xdr:colOff>
      <xdr:row>57</xdr:row>
      <xdr:rowOff>101600</xdr:rowOff>
    </xdr:to>
    <xdr:sp macro="" textlink="">
      <xdr:nvSpPr>
        <xdr:cNvPr id="4" name="Line 70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ShapeType="1"/>
        </xdr:cNvSpPr>
      </xdr:nvSpPr>
      <xdr:spPr bwMode="auto">
        <a:xfrm flipV="1">
          <a:off x="5753101" y="9512300"/>
          <a:ext cx="2755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600075</xdr:colOff>
          <xdr:row>68</xdr:row>
          <xdr:rowOff>9525</xdr:rowOff>
        </xdr:from>
        <xdr:to>
          <xdr:col>15</xdr:col>
          <xdr:colOff>638175</xdr:colOff>
          <xdr:row>70</xdr:row>
          <xdr:rowOff>104775</xdr:rowOff>
        </xdr:to>
        <xdr:sp macro="" textlink="">
          <xdr:nvSpPr>
            <xdr:cNvPr id="2293" name="Object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8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33</xdr:row>
          <xdr:rowOff>152400</xdr:rowOff>
        </xdr:from>
        <xdr:to>
          <xdr:col>13</xdr:col>
          <xdr:colOff>638175</xdr:colOff>
          <xdr:row>40</xdr:row>
          <xdr:rowOff>142875</xdr:rowOff>
        </xdr:to>
        <xdr:grpSp>
          <xdr:nvGrpSpPr>
            <xdr:cNvPr id="2458" name="Group 410">
              <a:extLst>
                <a:ext uri="{FF2B5EF4-FFF2-40B4-BE49-F238E27FC236}">
                  <a16:creationId xmlns:a16="http://schemas.microsoft.com/office/drawing/2014/main" id="{00000000-0008-0000-0100-00009A09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7934325" y="5495925"/>
              <a:ext cx="1990725" cy="1123950"/>
              <a:chOff x="741" y="577"/>
              <a:chExt cx="213" cy="118"/>
            </a:xfrm>
          </xdr:grpSpPr>
          <xdr:sp macro="" textlink="">
            <xdr:nvSpPr>
              <xdr:cNvPr id="2049" name="Object 1" hidden="1">
                <a:extLst>
                  <a:ext uri="{63B3BB69-23CF-44E3-9099-C40C66FF867C}">
                    <a14:compatExt spid="_x0000_s2049"/>
                  </a:ext>
                  <a:ext uri="{FF2B5EF4-FFF2-40B4-BE49-F238E27FC236}">
                    <a16:creationId xmlns:a16="http://schemas.microsoft.com/office/drawing/2014/main" id="{00000000-0008-0000-0100-000001080000}"/>
                  </a:ext>
                </a:extLst>
              </xdr:cNvPr>
              <xdr:cNvSpPr/>
            </xdr:nvSpPr>
            <xdr:spPr bwMode="auto">
              <a:xfrm>
                <a:off x="741" y="577"/>
                <a:ext cx="213" cy="59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000000" mc:Ignorable="a14" a14:legacySpreadsheetColorIndex="8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94" name="Object 246" hidden="1">
                <a:extLst>
                  <a:ext uri="{63B3BB69-23CF-44E3-9099-C40C66FF867C}">
                    <a14:compatExt spid="_x0000_s2294"/>
                  </a:ex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/>
            </xdr:nvSpPr>
            <xdr:spPr bwMode="auto">
              <a:xfrm>
                <a:off x="741" y="636"/>
                <a:ext cx="213" cy="59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000000" mc:Ignorable="a14" a14:legacySpreadsheetColorIndex="8"/>
                </a:solidFill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49</xdr:row>
          <xdr:rowOff>66675</xdr:rowOff>
        </xdr:from>
        <xdr:to>
          <xdr:col>4</xdr:col>
          <xdr:colOff>533400</xdr:colOff>
          <xdr:row>51</xdr:row>
          <xdr:rowOff>95250</xdr:rowOff>
        </xdr:to>
        <xdr:sp macro="" textlink="">
          <xdr:nvSpPr>
            <xdr:cNvPr id="2296" name="Object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69</xdr:row>
      <xdr:rowOff>9525</xdr:rowOff>
    </xdr:from>
    <xdr:to>
      <xdr:col>2</xdr:col>
      <xdr:colOff>695325</xdr:colOff>
      <xdr:row>73</xdr:row>
      <xdr:rowOff>66675</xdr:rowOff>
    </xdr:to>
    <xdr:sp macro="" textlink="">
      <xdr:nvSpPr>
        <xdr:cNvPr id="2" name="Line 705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 flipV="1">
          <a:off x="1095375" y="11182350"/>
          <a:ext cx="1028700" cy="704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10</xdr:col>
      <xdr:colOff>457201</xdr:colOff>
      <xdr:row>69</xdr:row>
      <xdr:rowOff>38100</xdr:rowOff>
    </xdr:from>
    <xdr:to>
      <xdr:col>11</xdr:col>
      <xdr:colOff>114301</xdr:colOff>
      <xdr:row>73</xdr:row>
      <xdr:rowOff>25400</xdr:rowOff>
    </xdr:to>
    <xdr:sp macro="" textlink="">
      <xdr:nvSpPr>
        <xdr:cNvPr id="3" name="Line 70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 flipV="1">
          <a:off x="7569201" y="11430000"/>
          <a:ext cx="368300" cy="647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215901</xdr:colOff>
      <xdr:row>68</xdr:row>
      <xdr:rowOff>38100</xdr:rowOff>
    </xdr:from>
    <xdr:to>
      <xdr:col>1</xdr:col>
      <xdr:colOff>215901</xdr:colOff>
      <xdr:row>73</xdr:row>
      <xdr:rowOff>57150</xdr:rowOff>
    </xdr:to>
    <xdr:sp macro="" textlink="">
      <xdr:nvSpPr>
        <xdr:cNvPr id="4" name="Line 705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 flipV="1">
          <a:off x="215901" y="11264900"/>
          <a:ext cx="711200" cy="844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33</xdr:row>
          <xdr:rowOff>152400</xdr:rowOff>
        </xdr:from>
        <xdr:to>
          <xdr:col>13</xdr:col>
          <xdr:colOff>666750</xdr:colOff>
          <xdr:row>40</xdr:row>
          <xdr:rowOff>142875</xdr:rowOff>
        </xdr:to>
        <xdr:grpSp>
          <xdr:nvGrpSpPr>
            <xdr:cNvPr id="4098" name="Group 2">
              <a:extLs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7980965" y="5571797"/>
              <a:ext cx="1994009" cy="1140044"/>
              <a:chOff x="741" y="577"/>
              <a:chExt cx="213" cy="118"/>
            </a:xfrm>
          </xdr:grpSpPr>
          <xdr:sp macro="" textlink="">
            <xdr:nvSpPr>
              <xdr:cNvPr id="4099" name="Object 3" hidden="1">
                <a:extLst>
                  <a:ext uri="{63B3BB69-23CF-44E3-9099-C40C66FF867C}">
                    <a14:compatExt spid="_x0000_s4099"/>
                  </a:ext>
                  <a:ext uri="{FF2B5EF4-FFF2-40B4-BE49-F238E27FC236}">
                    <a16:creationId xmlns:a16="http://schemas.microsoft.com/office/drawing/2014/main" id="{00000000-0008-0000-0200-000003100000}"/>
                  </a:ext>
                </a:extLst>
              </xdr:cNvPr>
              <xdr:cNvSpPr/>
            </xdr:nvSpPr>
            <xdr:spPr bwMode="auto">
              <a:xfrm>
                <a:off x="741" y="577"/>
                <a:ext cx="213" cy="59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000000" mc:Ignorable="a14" a14:legacySpreadsheetColorIndex="8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100" name="Object 4" hidden="1">
                <a:extLst>
                  <a:ext uri="{63B3BB69-23CF-44E3-9099-C40C66FF867C}">
                    <a14:compatExt spid="_x0000_s4100"/>
                  </a:ext>
                  <a:ext uri="{FF2B5EF4-FFF2-40B4-BE49-F238E27FC236}">
                    <a16:creationId xmlns:a16="http://schemas.microsoft.com/office/drawing/2014/main" id="{00000000-0008-0000-0200-000004100000}"/>
                  </a:ext>
                </a:extLst>
              </xdr:cNvPr>
              <xdr:cNvSpPr/>
            </xdr:nvSpPr>
            <xdr:spPr bwMode="auto">
              <a:xfrm>
                <a:off x="741" y="636"/>
                <a:ext cx="213" cy="59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000000" mc:Ignorable="a14" a14:legacySpreadsheetColorIndex="8"/>
                </a:solidFill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49</xdr:row>
          <xdr:rowOff>66675</xdr:rowOff>
        </xdr:from>
        <xdr:to>
          <xdr:col>4</xdr:col>
          <xdr:colOff>533400</xdr:colOff>
          <xdr:row>51</xdr:row>
          <xdr:rowOff>95250</xdr:rowOff>
        </xdr:to>
        <xdr:sp macro="" textlink="">
          <xdr:nvSpPr>
            <xdr:cNvPr id="4101" name="Object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44</xdr:row>
      <xdr:rowOff>88900</xdr:rowOff>
    </xdr:from>
    <xdr:to>
      <xdr:col>15</xdr:col>
      <xdr:colOff>0</xdr:colOff>
      <xdr:row>82</xdr:row>
      <xdr:rowOff>19050</xdr:rowOff>
    </xdr:to>
    <xdr:graphicFrame macro="">
      <xdr:nvGraphicFramePr>
        <xdr:cNvPr id="3076" name="Chart 4">
          <a:extLst>
            <a:ext uri="{FF2B5EF4-FFF2-40B4-BE49-F238E27FC236}">
              <a16:creationId xmlns:a16="http://schemas.microsoft.com/office/drawing/2014/main" id="{00000000-0008-0000-0300-000004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0</xdr:row>
      <xdr:rowOff>47625</xdr:rowOff>
    </xdr:from>
    <xdr:to>
      <xdr:col>7</xdr:col>
      <xdr:colOff>514350</xdr:colOff>
      <xdr:row>4</xdr:row>
      <xdr:rowOff>104775</xdr:rowOff>
    </xdr:to>
    <xdr:sp macro="" textlink="">
      <xdr:nvSpPr>
        <xdr:cNvPr id="3079" name="Tekst 1">
          <a:extLst>
            <a:ext uri="{FF2B5EF4-FFF2-40B4-BE49-F238E27FC236}">
              <a16:creationId xmlns:a16="http://schemas.microsoft.com/office/drawing/2014/main" id="{00000000-0008-0000-0300-0000070C0000}"/>
            </a:ext>
          </a:extLst>
        </xdr:cNvPr>
        <xdr:cNvSpPr txBox="1">
          <a:spLocks noChangeArrowheads="1"/>
        </xdr:cNvSpPr>
      </xdr:nvSpPr>
      <xdr:spPr bwMode="auto">
        <a:xfrm>
          <a:off x="19050" y="47625"/>
          <a:ext cx="3943350" cy="78105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P.O.  Box  4   -   NL - 1940 AA  Beverwijk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E-mail   :    email@tongerenkennemer.nl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Tel.(31)251-229160 Fax.(31)251-212382</a:t>
          </a:r>
        </a:p>
        <a:p>
          <a:pPr algn="r" rtl="0">
            <a:defRPr sz="1000"/>
          </a:pPr>
          <a:endParaRPr lang="nl-NL" sz="7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r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I N D U S T R I A L   F A N S  &amp;  D U S T C O L L E C T I O N   S Y S T E M S</a:t>
          </a:r>
        </a:p>
      </xdr:txBody>
    </xdr:sp>
    <xdr:clientData/>
  </xdr:twoCellAnchor>
  <xdr:twoCellAnchor editAs="oneCell">
    <xdr:from>
      <xdr:col>0</xdr:col>
      <xdr:colOff>123825</xdr:colOff>
      <xdr:row>0</xdr:row>
      <xdr:rowOff>28575</xdr:rowOff>
    </xdr:from>
    <xdr:to>
      <xdr:col>4</xdr:col>
      <xdr:colOff>457200</xdr:colOff>
      <xdr:row>3</xdr:row>
      <xdr:rowOff>76200</xdr:rowOff>
    </xdr:to>
    <xdr:pic>
      <xdr:nvPicPr>
        <xdr:cNvPr id="3078" name="Picture 6">
          <a:extLst>
            <a:ext uri="{FF2B5EF4-FFF2-40B4-BE49-F238E27FC236}">
              <a16:creationId xmlns:a16="http://schemas.microsoft.com/office/drawing/2014/main" id="{00000000-0008-0000-0300-000006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grayscl/>
          <a:biLevel thresh="50000"/>
        </a:blip>
        <a:srcRect/>
        <a:stretch>
          <a:fillRect/>
        </a:stretch>
      </xdr:blipFill>
      <xdr:spPr bwMode="auto">
        <a:xfrm>
          <a:off x="123825" y="28575"/>
          <a:ext cx="2181225" cy="609600"/>
        </a:xfrm>
        <a:prstGeom prst="rect">
          <a:avLst/>
        </a:prstGeom>
        <a:noFill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47625</xdr:rowOff>
    </xdr:from>
    <xdr:to>
      <xdr:col>7</xdr:col>
      <xdr:colOff>514350</xdr:colOff>
      <xdr:row>4</xdr:row>
      <xdr:rowOff>104775</xdr:rowOff>
    </xdr:to>
    <xdr:sp macro="" textlink="">
      <xdr:nvSpPr>
        <xdr:cNvPr id="3" name="Tekst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>
          <a:spLocks noChangeArrowheads="1"/>
        </xdr:cNvSpPr>
      </xdr:nvSpPr>
      <xdr:spPr bwMode="auto">
        <a:xfrm>
          <a:off x="19050" y="47625"/>
          <a:ext cx="3943350" cy="78105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P.O.  Box  4   -   NL - 1940 AA  Beverwijk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E-mail   :    email@tongerenkennemer.nl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Tel.(31)251-229160 Fax.(31)251-212382</a:t>
          </a:r>
        </a:p>
        <a:p>
          <a:pPr algn="r" rtl="0">
            <a:defRPr sz="1000"/>
          </a:pPr>
          <a:endParaRPr lang="nl-NL" sz="7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r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I N D U S T R I A L   F A N S  &amp;  D U S T C O L L E C T I O N   S Y S T E M S</a:t>
          </a:r>
        </a:p>
      </xdr:txBody>
    </xdr:sp>
    <xdr:clientData/>
  </xdr:twoCellAnchor>
  <xdr:twoCellAnchor editAs="oneCell">
    <xdr:from>
      <xdr:col>0</xdr:col>
      <xdr:colOff>123825</xdr:colOff>
      <xdr:row>0</xdr:row>
      <xdr:rowOff>28575</xdr:rowOff>
    </xdr:from>
    <xdr:to>
      <xdr:col>4</xdr:col>
      <xdr:colOff>457200</xdr:colOff>
      <xdr:row>3</xdr:row>
      <xdr:rowOff>76200</xdr:rowOff>
    </xdr:to>
    <xdr:pic>
      <xdr:nvPicPr>
        <xdr:cNvPr id="4" name="Picture 6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grayscl/>
          <a:biLevel thresh="50000"/>
        </a:blip>
        <a:srcRect/>
        <a:stretch>
          <a:fillRect/>
        </a:stretch>
      </xdr:blipFill>
      <xdr:spPr bwMode="auto">
        <a:xfrm>
          <a:off x="123825" y="28575"/>
          <a:ext cx="2181225" cy="609600"/>
        </a:xfrm>
        <a:prstGeom prst="rect">
          <a:avLst/>
        </a:prstGeom>
        <a:noFill/>
      </xdr:spPr>
    </xdr:pic>
    <xdr:clientData/>
  </xdr:twoCellAnchor>
  <xdr:twoCellAnchor>
    <xdr:from>
      <xdr:col>1</xdr:col>
      <xdr:colOff>12700</xdr:colOff>
      <xdr:row>44</xdr:row>
      <xdr:rowOff>88900</xdr:rowOff>
    </xdr:from>
    <xdr:to>
      <xdr:col>15</xdr:col>
      <xdr:colOff>12700</xdr:colOff>
      <xdr:row>82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45</xdr:row>
      <xdr:rowOff>0</xdr:rowOff>
    </xdr:from>
    <xdr:to>
      <xdr:col>15</xdr:col>
      <xdr:colOff>0</xdr:colOff>
      <xdr:row>82</xdr:row>
      <xdr:rowOff>95250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0</xdr:row>
      <xdr:rowOff>47625</xdr:rowOff>
    </xdr:from>
    <xdr:to>
      <xdr:col>7</xdr:col>
      <xdr:colOff>514350</xdr:colOff>
      <xdr:row>4</xdr:row>
      <xdr:rowOff>104775</xdr:rowOff>
    </xdr:to>
    <xdr:sp macro="" textlink="">
      <xdr:nvSpPr>
        <xdr:cNvPr id="3" name="Tekst 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>
          <a:spLocks noChangeArrowheads="1"/>
        </xdr:cNvSpPr>
      </xdr:nvSpPr>
      <xdr:spPr bwMode="auto">
        <a:xfrm>
          <a:off x="19050" y="47625"/>
          <a:ext cx="3943350" cy="78105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P.O.  Box  4   -   NL - 1940 AA  Beverwijk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E-mail   :    email@tongerenkennemer.nl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Tel.(31)251-229160 Fax.(31)251-212382</a:t>
          </a:r>
        </a:p>
        <a:p>
          <a:pPr algn="r" rtl="0">
            <a:defRPr sz="1000"/>
          </a:pPr>
          <a:endParaRPr lang="nl-NL" sz="7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r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I N D U S T R I A L   F A N S  &amp;  D U S T C O L L E C T I O N   S Y S T E M S</a:t>
          </a:r>
        </a:p>
      </xdr:txBody>
    </xdr:sp>
    <xdr:clientData/>
  </xdr:twoCellAnchor>
  <xdr:twoCellAnchor editAs="oneCell">
    <xdr:from>
      <xdr:col>0</xdr:col>
      <xdr:colOff>123825</xdr:colOff>
      <xdr:row>0</xdr:row>
      <xdr:rowOff>28575</xdr:rowOff>
    </xdr:from>
    <xdr:to>
      <xdr:col>4</xdr:col>
      <xdr:colOff>457200</xdr:colOff>
      <xdr:row>3</xdr:row>
      <xdr:rowOff>76200</xdr:rowOff>
    </xdr:to>
    <xdr:pic>
      <xdr:nvPicPr>
        <xdr:cNvPr id="4" name="Picture 6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grayscl/>
          <a:biLevel thresh="50000"/>
        </a:blip>
        <a:srcRect/>
        <a:stretch>
          <a:fillRect/>
        </a:stretch>
      </xdr:blipFill>
      <xdr:spPr bwMode="auto">
        <a:xfrm>
          <a:off x="123825" y="28575"/>
          <a:ext cx="2181225" cy="609600"/>
        </a:xfrm>
        <a:prstGeom prst="rect">
          <a:avLst/>
        </a:prstGeom>
        <a:noFill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Mijn%20documenten\VENTILATOREN\prog%20patrick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STANDOC\DATA\DEMPING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STANDOC\DATA\FAN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er"/>
      <sheetName val="Klant"/>
      <sheetName val="Grafiek"/>
      <sheetName val="Uitvoer"/>
      <sheetName val="Calculatie"/>
      <sheetName val="Tabellen"/>
      <sheetName val="Berekening"/>
      <sheetName val="Spanning"/>
      <sheetName val="Dynamica"/>
      <sheetName val="Geluid"/>
      <sheetName val="Cases"/>
      <sheetName val="Zuigkast"/>
    </sheetNames>
    <sheetDataSet>
      <sheetData sheetId="0"/>
      <sheetData sheetId="1"/>
      <sheetData sheetId="2"/>
      <sheetData sheetId="3"/>
      <sheetData sheetId="4"/>
      <sheetData sheetId="5">
        <row r="6">
          <cell r="A6">
            <v>250</v>
          </cell>
          <cell r="C6">
            <v>184.57499999999999</v>
          </cell>
          <cell r="D6">
            <v>1426.25</v>
          </cell>
          <cell r="E6">
            <v>10</v>
          </cell>
          <cell r="F6">
            <v>9</v>
          </cell>
          <cell r="G6">
            <v>9.9</v>
          </cell>
          <cell r="I6">
            <v>4</v>
          </cell>
          <cell r="J6">
            <v>8</v>
          </cell>
          <cell r="K6">
            <v>8</v>
          </cell>
          <cell r="L6">
            <v>4</v>
          </cell>
          <cell r="M6">
            <v>8</v>
          </cell>
          <cell r="N6">
            <v>7</v>
          </cell>
          <cell r="O6">
            <v>4</v>
          </cell>
          <cell r="P6">
            <v>2</v>
          </cell>
          <cell r="Q6">
            <v>3</v>
          </cell>
          <cell r="R6">
            <v>2.5</v>
          </cell>
          <cell r="S6">
            <v>0.922875</v>
          </cell>
          <cell r="U6">
            <v>44</v>
          </cell>
          <cell r="V6">
            <v>43</v>
          </cell>
        </row>
        <row r="7">
          <cell r="A7">
            <v>300</v>
          </cell>
          <cell r="C7">
            <v>221.49</v>
          </cell>
          <cell r="D7">
            <v>1711.5</v>
          </cell>
          <cell r="E7">
            <v>11</v>
          </cell>
          <cell r="F7">
            <v>10</v>
          </cell>
          <cell r="G7">
            <v>11</v>
          </cell>
          <cell r="I7">
            <v>4</v>
          </cell>
          <cell r="J7">
            <v>8</v>
          </cell>
          <cell r="K7">
            <v>8</v>
          </cell>
          <cell r="L7">
            <v>4</v>
          </cell>
          <cell r="M7">
            <v>8</v>
          </cell>
          <cell r="N7">
            <v>7</v>
          </cell>
          <cell r="O7">
            <v>4</v>
          </cell>
          <cell r="P7">
            <v>2</v>
          </cell>
          <cell r="Q7">
            <v>3</v>
          </cell>
          <cell r="R7">
            <v>3</v>
          </cell>
          <cell r="S7">
            <v>1.1074499999999998</v>
          </cell>
          <cell r="T7">
            <v>38</v>
          </cell>
          <cell r="U7">
            <v>46</v>
          </cell>
          <cell r="V7">
            <v>45</v>
          </cell>
        </row>
        <row r="8">
          <cell r="A8">
            <v>350</v>
          </cell>
          <cell r="C8">
            <v>258.40499999999997</v>
          </cell>
          <cell r="D8">
            <v>1996.75</v>
          </cell>
          <cell r="E8">
            <v>11</v>
          </cell>
          <cell r="F8">
            <v>11</v>
          </cell>
          <cell r="G8">
            <v>12.1</v>
          </cell>
          <cell r="I8">
            <v>5</v>
          </cell>
          <cell r="J8">
            <v>8</v>
          </cell>
          <cell r="K8">
            <v>9</v>
          </cell>
          <cell r="L8">
            <v>4</v>
          </cell>
          <cell r="M8">
            <v>8</v>
          </cell>
          <cell r="N8">
            <v>7</v>
          </cell>
          <cell r="O8">
            <v>5</v>
          </cell>
          <cell r="P8">
            <v>2</v>
          </cell>
          <cell r="Q8">
            <v>3</v>
          </cell>
          <cell r="R8">
            <v>3.5</v>
          </cell>
          <cell r="S8">
            <v>1.292025</v>
          </cell>
          <cell r="T8">
            <v>41</v>
          </cell>
          <cell r="U8">
            <v>48</v>
          </cell>
          <cell r="V8">
            <v>48</v>
          </cell>
        </row>
        <row r="9">
          <cell r="A9">
            <v>400</v>
          </cell>
          <cell r="C9">
            <v>295.32</v>
          </cell>
          <cell r="D9">
            <v>2282</v>
          </cell>
          <cell r="E9">
            <v>13</v>
          </cell>
          <cell r="F9">
            <v>12</v>
          </cell>
          <cell r="G9">
            <v>13.2</v>
          </cell>
          <cell r="I9">
            <v>5</v>
          </cell>
          <cell r="J9">
            <v>8</v>
          </cell>
          <cell r="K9">
            <v>10</v>
          </cell>
          <cell r="L9">
            <v>4</v>
          </cell>
          <cell r="M9">
            <v>8</v>
          </cell>
          <cell r="N9">
            <v>7</v>
          </cell>
          <cell r="O9">
            <v>5</v>
          </cell>
          <cell r="P9">
            <v>2</v>
          </cell>
          <cell r="Q9">
            <v>4</v>
          </cell>
          <cell r="R9">
            <v>4</v>
          </cell>
          <cell r="S9">
            <v>1.4765999999999999</v>
          </cell>
          <cell r="T9">
            <v>45</v>
          </cell>
          <cell r="U9">
            <v>52</v>
          </cell>
          <cell r="V9">
            <v>53</v>
          </cell>
        </row>
        <row r="10">
          <cell r="A10">
            <v>500</v>
          </cell>
          <cell r="C10">
            <v>369.15</v>
          </cell>
          <cell r="D10">
            <v>2852.5</v>
          </cell>
          <cell r="E10">
            <v>15</v>
          </cell>
          <cell r="F10">
            <v>13</v>
          </cell>
          <cell r="G10">
            <v>14.3</v>
          </cell>
          <cell r="I10">
            <v>7</v>
          </cell>
          <cell r="J10">
            <v>10</v>
          </cell>
          <cell r="K10">
            <v>12</v>
          </cell>
          <cell r="L10">
            <v>5</v>
          </cell>
          <cell r="M10">
            <v>8</v>
          </cell>
          <cell r="N10">
            <v>8</v>
          </cell>
          <cell r="O10">
            <v>5</v>
          </cell>
          <cell r="P10">
            <v>3</v>
          </cell>
          <cell r="Q10">
            <v>4</v>
          </cell>
          <cell r="R10">
            <v>5</v>
          </cell>
          <cell r="S10">
            <v>1.84575</v>
          </cell>
          <cell r="T10">
            <v>52</v>
          </cell>
          <cell r="U10">
            <v>58</v>
          </cell>
          <cell r="V10">
            <v>60</v>
          </cell>
        </row>
        <row r="11">
          <cell r="A11">
            <v>600</v>
          </cell>
          <cell r="C11">
            <v>442.98</v>
          </cell>
          <cell r="D11">
            <v>3423</v>
          </cell>
          <cell r="E11">
            <v>16</v>
          </cell>
          <cell r="F11">
            <v>15</v>
          </cell>
          <cell r="G11">
            <v>16.5</v>
          </cell>
          <cell r="I11">
            <v>9</v>
          </cell>
          <cell r="J11">
            <v>13</v>
          </cell>
          <cell r="K11">
            <v>13</v>
          </cell>
          <cell r="L11">
            <v>7</v>
          </cell>
          <cell r="M11">
            <v>10</v>
          </cell>
          <cell r="N11">
            <v>9</v>
          </cell>
          <cell r="O11">
            <v>6</v>
          </cell>
          <cell r="P11">
            <v>3</v>
          </cell>
          <cell r="Q11">
            <v>4</v>
          </cell>
          <cell r="R11">
            <v>6</v>
          </cell>
          <cell r="S11">
            <v>2.2148999999999996</v>
          </cell>
          <cell r="T11">
            <v>60</v>
          </cell>
          <cell r="U11">
            <v>67</v>
          </cell>
          <cell r="V11">
            <v>66</v>
          </cell>
        </row>
        <row r="12">
          <cell r="A12">
            <v>700</v>
          </cell>
          <cell r="C12">
            <v>516.80999999999995</v>
          </cell>
          <cell r="D12">
            <v>3993.5</v>
          </cell>
          <cell r="E12">
            <v>19</v>
          </cell>
          <cell r="F12">
            <v>18</v>
          </cell>
          <cell r="G12">
            <v>19.8</v>
          </cell>
          <cell r="I12">
            <v>12</v>
          </cell>
          <cell r="J12">
            <v>15</v>
          </cell>
          <cell r="K12">
            <v>16</v>
          </cell>
          <cell r="L12">
            <v>7</v>
          </cell>
          <cell r="M12">
            <v>12</v>
          </cell>
          <cell r="N12">
            <v>9</v>
          </cell>
          <cell r="O12">
            <v>6</v>
          </cell>
          <cell r="P12">
            <v>3</v>
          </cell>
          <cell r="Q12">
            <v>4</v>
          </cell>
          <cell r="R12">
            <v>7</v>
          </cell>
          <cell r="S12">
            <v>2.58405</v>
          </cell>
          <cell r="T12">
            <v>69</v>
          </cell>
          <cell r="U12">
            <v>77</v>
          </cell>
          <cell r="V12">
            <v>75</v>
          </cell>
        </row>
        <row r="13">
          <cell r="A13">
            <v>800</v>
          </cell>
          <cell r="C13">
            <v>590.64</v>
          </cell>
          <cell r="D13">
            <v>4564</v>
          </cell>
          <cell r="E13">
            <v>21</v>
          </cell>
          <cell r="F13">
            <v>21</v>
          </cell>
          <cell r="G13">
            <v>23.1</v>
          </cell>
          <cell r="I13">
            <v>12</v>
          </cell>
          <cell r="J13">
            <v>17</v>
          </cell>
          <cell r="K13">
            <v>17</v>
          </cell>
          <cell r="L13">
            <v>7</v>
          </cell>
          <cell r="M13">
            <v>13</v>
          </cell>
          <cell r="N13">
            <v>10</v>
          </cell>
          <cell r="O13">
            <v>6</v>
          </cell>
          <cell r="P13">
            <v>4</v>
          </cell>
          <cell r="Q13">
            <v>5</v>
          </cell>
          <cell r="R13">
            <v>8</v>
          </cell>
          <cell r="S13">
            <v>2.9531999999999998</v>
          </cell>
          <cell r="T13">
            <v>76</v>
          </cell>
          <cell r="U13">
            <v>87</v>
          </cell>
          <cell r="V13">
            <v>84</v>
          </cell>
        </row>
        <row r="14">
          <cell r="A14">
            <v>900</v>
          </cell>
          <cell r="C14">
            <v>664.47</v>
          </cell>
          <cell r="D14">
            <v>5134.5</v>
          </cell>
          <cell r="E14">
            <v>25</v>
          </cell>
          <cell r="F14">
            <v>25</v>
          </cell>
          <cell r="G14">
            <v>27.5</v>
          </cell>
          <cell r="I14">
            <v>16</v>
          </cell>
          <cell r="J14">
            <v>20</v>
          </cell>
          <cell r="K14">
            <v>20</v>
          </cell>
          <cell r="L14">
            <v>7</v>
          </cell>
          <cell r="M14">
            <v>14</v>
          </cell>
          <cell r="N14">
            <v>9</v>
          </cell>
          <cell r="O14">
            <v>7</v>
          </cell>
          <cell r="P14">
            <v>4</v>
          </cell>
          <cell r="Q14">
            <v>5</v>
          </cell>
          <cell r="R14">
            <v>9</v>
          </cell>
          <cell r="S14">
            <v>3.3223500000000001</v>
          </cell>
          <cell r="T14">
            <v>89</v>
          </cell>
          <cell r="U14">
            <v>100</v>
          </cell>
          <cell r="V14">
            <v>95</v>
          </cell>
        </row>
        <row r="15">
          <cell r="A15">
            <v>1000</v>
          </cell>
          <cell r="C15">
            <v>738.3</v>
          </cell>
          <cell r="D15">
            <v>5705</v>
          </cell>
          <cell r="E15">
            <v>29</v>
          </cell>
          <cell r="F15">
            <v>29</v>
          </cell>
          <cell r="G15">
            <v>31.9</v>
          </cell>
          <cell r="I15">
            <v>16</v>
          </cell>
          <cell r="J15">
            <v>22</v>
          </cell>
          <cell r="K15">
            <v>23</v>
          </cell>
          <cell r="L15">
            <v>7</v>
          </cell>
          <cell r="M15">
            <v>13</v>
          </cell>
          <cell r="N15">
            <v>9</v>
          </cell>
          <cell r="O15">
            <v>8</v>
          </cell>
          <cell r="P15">
            <v>4</v>
          </cell>
          <cell r="Q15">
            <v>5</v>
          </cell>
          <cell r="R15">
            <v>10</v>
          </cell>
          <cell r="S15">
            <v>3.6915</v>
          </cell>
          <cell r="T15">
            <v>98</v>
          </cell>
          <cell r="U15">
            <v>110</v>
          </cell>
          <cell r="V15">
            <v>107</v>
          </cell>
        </row>
        <row r="16">
          <cell r="A16">
            <v>1100</v>
          </cell>
          <cell r="C16">
            <v>812.13</v>
          </cell>
          <cell r="D16">
            <v>6275.5</v>
          </cell>
          <cell r="E16">
            <v>32</v>
          </cell>
          <cell r="F16">
            <v>33</v>
          </cell>
          <cell r="G16">
            <v>36.299999999999997</v>
          </cell>
          <cell r="I16">
            <v>18</v>
          </cell>
          <cell r="J16">
            <v>24</v>
          </cell>
          <cell r="K16">
            <v>25</v>
          </cell>
          <cell r="L16">
            <v>8</v>
          </cell>
          <cell r="M16">
            <v>14</v>
          </cell>
          <cell r="N16">
            <v>9</v>
          </cell>
          <cell r="O16">
            <v>9</v>
          </cell>
          <cell r="P16">
            <v>5</v>
          </cell>
          <cell r="Q16">
            <v>6</v>
          </cell>
          <cell r="R16">
            <v>11</v>
          </cell>
          <cell r="S16">
            <v>4.0606499999999999</v>
          </cell>
          <cell r="T16">
            <v>111</v>
          </cell>
          <cell r="U16">
            <v>123</v>
          </cell>
          <cell r="V16">
            <v>119</v>
          </cell>
        </row>
        <row r="17">
          <cell r="A17">
            <v>1200</v>
          </cell>
          <cell r="C17">
            <v>885.96</v>
          </cell>
          <cell r="D17">
            <v>6846</v>
          </cell>
          <cell r="E17">
            <v>36</v>
          </cell>
          <cell r="F17">
            <v>37</v>
          </cell>
          <cell r="G17">
            <v>40.700000000000003</v>
          </cell>
          <cell r="J17">
            <v>27</v>
          </cell>
          <cell r="K17">
            <v>28</v>
          </cell>
          <cell r="M17">
            <v>14</v>
          </cell>
          <cell r="N17">
            <v>10</v>
          </cell>
          <cell r="O17">
            <v>10</v>
          </cell>
          <cell r="P17">
            <v>5</v>
          </cell>
          <cell r="Q17">
            <v>6</v>
          </cell>
          <cell r="R17">
            <v>12</v>
          </cell>
          <cell r="S17">
            <v>4.4297999999999993</v>
          </cell>
          <cell r="U17">
            <v>135</v>
          </cell>
          <cell r="V17">
            <v>132</v>
          </cell>
        </row>
        <row r="18">
          <cell r="A18">
            <v>1300</v>
          </cell>
          <cell r="C18">
            <v>959.79</v>
          </cell>
          <cell r="D18">
            <v>7416.5</v>
          </cell>
          <cell r="E18">
            <v>39</v>
          </cell>
          <cell r="F18">
            <v>41</v>
          </cell>
          <cell r="G18">
            <v>45.1</v>
          </cell>
          <cell r="J18">
            <v>29</v>
          </cell>
          <cell r="K18">
            <v>31</v>
          </cell>
          <cell r="M18">
            <v>17</v>
          </cell>
          <cell r="N18">
            <v>12</v>
          </cell>
          <cell r="O18">
            <v>11</v>
          </cell>
          <cell r="P18">
            <v>6</v>
          </cell>
          <cell r="Q18">
            <v>7</v>
          </cell>
          <cell r="R18">
            <v>13</v>
          </cell>
          <cell r="S18">
            <v>4.7989499999999996</v>
          </cell>
          <cell r="U18">
            <v>150</v>
          </cell>
          <cell r="V18">
            <v>147</v>
          </cell>
        </row>
        <row r="19">
          <cell r="A19">
            <v>1400</v>
          </cell>
          <cell r="C19">
            <v>1033.6199999999999</v>
          </cell>
          <cell r="D19">
            <v>7987</v>
          </cell>
          <cell r="E19">
            <v>44</v>
          </cell>
          <cell r="F19">
            <v>46</v>
          </cell>
          <cell r="G19">
            <v>50.6</v>
          </cell>
          <cell r="J19">
            <v>34</v>
          </cell>
          <cell r="K19">
            <v>35</v>
          </cell>
          <cell r="M19">
            <v>18</v>
          </cell>
          <cell r="N19">
            <v>14</v>
          </cell>
          <cell r="O19">
            <v>11</v>
          </cell>
          <cell r="P19">
            <v>7</v>
          </cell>
          <cell r="Q19">
            <v>8</v>
          </cell>
          <cell r="R19">
            <v>14</v>
          </cell>
          <cell r="S19">
            <v>5.1680999999999999</v>
          </cell>
          <cell r="U19">
            <v>168</v>
          </cell>
          <cell r="V19">
            <v>165</v>
          </cell>
        </row>
        <row r="20">
          <cell r="A20">
            <v>1500</v>
          </cell>
          <cell r="C20">
            <v>1107.45</v>
          </cell>
          <cell r="D20">
            <v>8557.5</v>
          </cell>
          <cell r="E20">
            <v>49</v>
          </cell>
          <cell r="F20">
            <v>50</v>
          </cell>
          <cell r="G20">
            <v>55</v>
          </cell>
          <cell r="J20">
            <v>37</v>
          </cell>
          <cell r="K20">
            <v>39</v>
          </cell>
          <cell r="M20">
            <v>20</v>
          </cell>
          <cell r="N20">
            <v>16</v>
          </cell>
          <cell r="O20">
            <v>12</v>
          </cell>
          <cell r="P20">
            <v>8</v>
          </cell>
          <cell r="Q20">
            <v>9</v>
          </cell>
          <cell r="R20">
            <v>15</v>
          </cell>
          <cell r="S20">
            <v>5.5372499999999993</v>
          </cell>
          <cell r="U20">
            <v>185</v>
          </cell>
          <cell r="V20">
            <v>183</v>
          </cell>
        </row>
        <row r="21">
          <cell r="A21">
            <v>1600</v>
          </cell>
          <cell r="C21">
            <v>1181.28</v>
          </cell>
          <cell r="D21">
            <v>9128</v>
          </cell>
          <cell r="E21">
            <v>55</v>
          </cell>
          <cell r="F21">
            <v>54</v>
          </cell>
          <cell r="G21">
            <v>59.4</v>
          </cell>
          <cell r="J21">
            <v>40</v>
          </cell>
          <cell r="K21">
            <v>44</v>
          </cell>
          <cell r="M21">
            <v>22</v>
          </cell>
          <cell r="N21">
            <v>19</v>
          </cell>
          <cell r="O21">
            <v>13</v>
          </cell>
          <cell r="P21">
            <v>9</v>
          </cell>
          <cell r="Q21">
            <v>10</v>
          </cell>
          <cell r="R21">
            <v>16</v>
          </cell>
          <cell r="S21">
            <v>5.9063999999999997</v>
          </cell>
          <cell r="U21">
            <v>203</v>
          </cell>
          <cell r="V21">
            <v>204</v>
          </cell>
        </row>
        <row r="22">
          <cell r="A22">
            <v>1700</v>
          </cell>
          <cell r="C22">
            <v>1255.1099999999999</v>
          </cell>
          <cell r="D22">
            <v>9698.5</v>
          </cell>
          <cell r="E22">
            <v>61</v>
          </cell>
          <cell r="F22">
            <v>59</v>
          </cell>
          <cell r="G22">
            <v>64.900000000000006</v>
          </cell>
          <cell r="K22">
            <v>48</v>
          </cell>
          <cell r="N22">
            <v>21</v>
          </cell>
          <cell r="O22">
            <v>14</v>
          </cell>
          <cell r="P22">
            <v>10</v>
          </cell>
          <cell r="Q22">
            <v>11</v>
          </cell>
          <cell r="R22">
            <v>17</v>
          </cell>
          <cell r="S22">
            <v>6.27555</v>
          </cell>
          <cell r="V22">
            <v>224</v>
          </cell>
        </row>
        <row r="23">
          <cell r="A23">
            <v>1800</v>
          </cell>
          <cell r="C23">
            <v>1328.94</v>
          </cell>
          <cell r="D23">
            <v>10269</v>
          </cell>
          <cell r="E23">
            <v>67</v>
          </cell>
          <cell r="F23">
            <v>64</v>
          </cell>
          <cell r="G23">
            <v>70.400000000000006</v>
          </cell>
          <cell r="K23">
            <v>54</v>
          </cell>
          <cell r="N23">
            <v>23</v>
          </cell>
          <cell r="O23">
            <v>15</v>
          </cell>
          <cell r="P23">
            <v>11</v>
          </cell>
          <cell r="Q23">
            <v>12</v>
          </cell>
          <cell r="R23">
            <v>18</v>
          </cell>
          <cell r="S23">
            <v>6.6447000000000003</v>
          </cell>
          <cell r="V23">
            <v>246</v>
          </cell>
        </row>
        <row r="24">
          <cell r="A24">
            <v>1900</v>
          </cell>
          <cell r="C24">
            <v>1402.77</v>
          </cell>
          <cell r="D24">
            <v>10839.5</v>
          </cell>
          <cell r="E24">
            <v>74</v>
          </cell>
          <cell r="F24">
            <v>70</v>
          </cell>
          <cell r="G24">
            <v>77</v>
          </cell>
          <cell r="K24">
            <v>60</v>
          </cell>
          <cell r="N24">
            <v>30</v>
          </cell>
          <cell r="O24">
            <v>16</v>
          </cell>
          <cell r="P24">
            <v>12</v>
          </cell>
          <cell r="Q24">
            <v>13</v>
          </cell>
          <cell r="R24">
            <v>19</v>
          </cell>
          <cell r="S24">
            <v>7.0138499999999988</v>
          </cell>
          <cell r="V24">
            <v>275</v>
          </cell>
        </row>
        <row r="25">
          <cell r="A25">
            <v>2000</v>
          </cell>
          <cell r="C25">
            <v>1476.6</v>
          </cell>
          <cell r="D25">
            <v>11410</v>
          </cell>
          <cell r="E25">
            <v>84</v>
          </cell>
          <cell r="F25">
            <v>75</v>
          </cell>
          <cell r="G25">
            <v>82.5</v>
          </cell>
          <cell r="K25">
            <v>67</v>
          </cell>
          <cell r="N25">
            <v>42</v>
          </cell>
          <cell r="O25">
            <v>18</v>
          </cell>
          <cell r="P25">
            <v>14</v>
          </cell>
          <cell r="Q25">
            <v>14</v>
          </cell>
          <cell r="R25">
            <v>20</v>
          </cell>
          <cell r="S25">
            <v>7.383</v>
          </cell>
          <cell r="V25">
            <v>314</v>
          </cell>
        </row>
        <row r="67">
          <cell r="B67" t="str">
            <v>Isol.</v>
          </cell>
          <cell r="C67" t="str">
            <v>Plaat</v>
          </cell>
          <cell r="D67" t="str">
            <v>Folie</v>
          </cell>
          <cell r="E67" t="str">
            <v>Demping</v>
          </cell>
        </row>
        <row r="68">
          <cell r="B68" t="str">
            <v>dikte</v>
          </cell>
          <cell r="C68" t="str">
            <v>Mat.</v>
          </cell>
          <cell r="D68" t="str">
            <v>dikte</v>
          </cell>
          <cell r="E68">
            <v>63</v>
          </cell>
          <cell r="F68">
            <v>125</v>
          </cell>
          <cell r="G68">
            <v>250</v>
          </cell>
          <cell r="H68">
            <v>500</v>
          </cell>
          <cell r="I68">
            <v>1000</v>
          </cell>
          <cell r="J68">
            <v>2000</v>
          </cell>
          <cell r="K68">
            <v>4000</v>
          </cell>
          <cell r="L68">
            <v>8000</v>
          </cell>
        </row>
        <row r="69">
          <cell r="A69">
            <v>3</v>
          </cell>
          <cell r="B69">
            <v>100</v>
          </cell>
          <cell r="C69" t="str">
            <v>Al</v>
          </cell>
          <cell r="D69">
            <v>0</v>
          </cell>
          <cell r="E69">
            <v>0</v>
          </cell>
          <cell r="F69">
            <v>1</v>
          </cell>
          <cell r="G69">
            <v>5</v>
          </cell>
          <cell r="H69">
            <v>10</v>
          </cell>
          <cell r="I69">
            <v>15</v>
          </cell>
          <cell r="J69">
            <v>15</v>
          </cell>
          <cell r="K69">
            <v>15</v>
          </cell>
          <cell r="L69">
            <v>15</v>
          </cell>
        </row>
        <row r="70">
          <cell r="A70">
            <v>1</v>
          </cell>
          <cell r="B70">
            <v>50</v>
          </cell>
          <cell r="C70" t="str">
            <v>Al</v>
          </cell>
          <cell r="D70">
            <v>0</v>
          </cell>
          <cell r="E70">
            <v>0</v>
          </cell>
          <cell r="F70">
            <v>0</v>
          </cell>
          <cell r="G70">
            <v>2</v>
          </cell>
          <cell r="H70">
            <v>7</v>
          </cell>
          <cell r="I70">
            <v>12</v>
          </cell>
          <cell r="J70">
            <v>12</v>
          </cell>
          <cell r="K70">
            <v>12</v>
          </cell>
          <cell r="L70">
            <v>12</v>
          </cell>
        </row>
        <row r="71">
          <cell r="A71">
            <v>2</v>
          </cell>
          <cell r="B71">
            <v>75</v>
          </cell>
          <cell r="C71" t="str">
            <v>Al</v>
          </cell>
          <cell r="D71">
            <v>0</v>
          </cell>
          <cell r="E71">
            <v>0</v>
          </cell>
          <cell r="F71">
            <v>0</v>
          </cell>
          <cell r="G71">
            <v>3</v>
          </cell>
          <cell r="H71">
            <v>8</v>
          </cell>
          <cell r="I71">
            <v>13</v>
          </cell>
          <cell r="J71">
            <v>13</v>
          </cell>
          <cell r="K71">
            <v>13</v>
          </cell>
          <cell r="L71">
            <v>13</v>
          </cell>
        </row>
        <row r="72">
          <cell r="A72">
            <v>3</v>
          </cell>
          <cell r="B72">
            <v>100</v>
          </cell>
          <cell r="C72" t="str">
            <v>Al</v>
          </cell>
          <cell r="D72">
            <v>0</v>
          </cell>
          <cell r="E72">
            <v>0</v>
          </cell>
          <cell r="F72">
            <v>1</v>
          </cell>
          <cell r="G72">
            <v>5</v>
          </cell>
          <cell r="H72">
            <v>10</v>
          </cell>
          <cell r="I72">
            <v>15</v>
          </cell>
          <cell r="J72">
            <v>15</v>
          </cell>
          <cell r="K72">
            <v>15</v>
          </cell>
          <cell r="L72">
            <v>15</v>
          </cell>
        </row>
        <row r="73">
          <cell r="A73">
            <v>4</v>
          </cell>
          <cell r="B73">
            <v>100</v>
          </cell>
          <cell r="C73" t="str">
            <v>Fe</v>
          </cell>
          <cell r="D73">
            <v>0</v>
          </cell>
          <cell r="E73">
            <v>0</v>
          </cell>
          <cell r="F73">
            <v>2</v>
          </cell>
          <cell r="G73">
            <v>6</v>
          </cell>
          <cell r="H73">
            <v>14</v>
          </cell>
          <cell r="I73">
            <v>21</v>
          </cell>
          <cell r="J73">
            <v>21</v>
          </cell>
          <cell r="K73">
            <v>21</v>
          </cell>
          <cell r="L73">
            <v>21</v>
          </cell>
        </row>
        <row r="74">
          <cell r="A74">
            <v>5</v>
          </cell>
          <cell r="B74">
            <v>125</v>
          </cell>
          <cell r="C74" t="str">
            <v>Al</v>
          </cell>
          <cell r="D74">
            <v>0</v>
          </cell>
          <cell r="E74">
            <v>1</v>
          </cell>
          <cell r="F74">
            <v>3</v>
          </cell>
          <cell r="G74">
            <v>7</v>
          </cell>
          <cell r="H74">
            <v>12</v>
          </cell>
          <cell r="I74">
            <v>17</v>
          </cell>
          <cell r="J74">
            <v>17</v>
          </cell>
          <cell r="K74">
            <v>17</v>
          </cell>
          <cell r="L74">
            <v>17</v>
          </cell>
        </row>
        <row r="75">
          <cell r="A75">
            <v>6</v>
          </cell>
          <cell r="B75">
            <v>125</v>
          </cell>
          <cell r="C75" t="str">
            <v>Fe</v>
          </cell>
          <cell r="D75">
            <v>0</v>
          </cell>
          <cell r="E75">
            <v>2</v>
          </cell>
          <cell r="F75">
            <v>4</v>
          </cell>
          <cell r="G75">
            <v>9</v>
          </cell>
          <cell r="H75">
            <v>16</v>
          </cell>
          <cell r="I75">
            <v>22</v>
          </cell>
          <cell r="J75">
            <v>22</v>
          </cell>
          <cell r="K75">
            <v>22</v>
          </cell>
          <cell r="L75">
            <v>22</v>
          </cell>
        </row>
        <row r="76">
          <cell r="A76">
            <v>7</v>
          </cell>
          <cell r="B76">
            <v>150</v>
          </cell>
          <cell r="C76" t="str">
            <v>Al</v>
          </cell>
          <cell r="D76">
            <v>0</v>
          </cell>
          <cell r="E76">
            <v>3</v>
          </cell>
          <cell r="F76">
            <v>7</v>
          </cell>
          <cell r="G76">
            <v>12</v>
          </cell>
          <cell r="H76">
            <v>17</v>
          </cell>
          <cell r="I76">
            <v>21</v>
          </cell>
          <cell r="J76">
            <v>21</v>
          </cell>
          <cell r="K76">
            <v>21</v>
          </cell>
          <cell r="L76">
            <v>21</v>
          </cell>
        </row>
        <row r="77">
          <cell r="A77">
            <v>8</v>
          </cell>
          <cell r="B77">
            <v>150</v>
          </cell>
          <cell r="C77" t="str">
            <v>Fe</v>
          </cell>
          <cell r="D77">
            <v>0</v>
          </cell>
          <cell r="E77">
            <v>5</v>
          </cell>
          <cell r="F77">
            <v>9</v>
          </cell>
          <cell r="G77">
            <v>14</v>
          </cell>
          <cell r="H77">
            <v>19</v>
          </cell>
          <cell r="I77">
            <v>23</v>
          </cell>
          <cell r="J77">
            <v>23</v>
          </cell>
          <cell r="K77">
            <v>23</v>
          </cell>
          <cell r="L77">
            <v>23</v>
          </cell>
        </row>
        <row r="78">
          <cell r="A78">
            <v>9</v>
          </cell>
          <cell r="B78">
            <v>175</v>
          </cell>
          <cell r="C78" t="str">
            <v>Al</v>
          </cell>
          <cell r="D78">
            <v>0</v>
          </cell>
          <cell r="E78">
            <v>4</v>
          </cell>
          <cell r="F78">
            <v>9</v>
          </cell>
          <cell r="G78">
            <v>15</v>
          </cell>
          <cell r="H78">
            <v>21</v>
          </cell>
          <cell r="I78">
            <v>23</v>
          </cell>
          <cell r="J78">
            <v>23</v>
          </cell>
          <cell r="K78">
            <v>23</v>
          </cell>
          <cell r="L78">
            <v>23</v>
          </cell>
        </row>
        <row r="79">
          <cell r="A79">
            <v>10</v>
          </cell>
          <cell r="B79">
            <v>175</v>
          </cell>
          <cell r="C79" t="str">
            <v>Fe</v>
          </cell>
          <cell r="D79">
            <v>0</v>
          </cell>
          <cell r="E79">
            <v>7</v>
          </cell>
          <cell r="F79">
            <v>12</v>
          </cell>
          <cell r="G79">
            <v>17</v>
          </cell>
          <cell r="H79">
            <v>22</v>
          </cell>
          <cell r="I79">
            <v>24</v>
          </cell>
          <cell r="J79">
            <v>24</v>
          </cell>
          <cell r="K79">
            <v>24</v>
          </cell>
          <cell r="L79">
            <v>24</v>
          </cell>
        </row>
        <row r="80">
          <cell r="A80">
            <v>11</v>
          </cell>
          <cell r="B80">
            <v>125</v>
          </cell>
          <cell r="C80" t="str">
            <v>Al</v>
          </cell>
          <cell r="D80" t="str">
            <v>Folie</v>
          </cell>
          <cell r="E80">
            <v>2</v>
          </cell>
          <cell r="F80">
            <v>7</v>
          </cell>
          <cell r="G80">
            <v>13</v>
          </cell>
          <cell r="H80">
            <v>19</v>
          </cell>
          <cell r="I80">
            <v>22</v>
          </cell>
          <cell r="J80">
            <v>23</v>
          </cell>
          <cell r="K80">
            <v>23</v>
          </cell>
          <cell r="L80">
            <v>23</v>
          </cell>
        </row>
        <row r="81">
          <cell r="A81">
            <v>12</v>
          </cell>
          <cell r="B81">
            <v>125</v>
          </cell>
          <cell r="C81" t="str">
            <v>Fe</v>
          </cell>
          <cell r="D81" t="str">
            <v>Folie</v>
          </cell>
          <cell r="E81">
            <v>6</v>
          </cell>
          <cell r="F81">
            <v>14</v>
          </cell>
          <cell r="G81">
            <v>19</v>
          </cell>
          <cell r="H81">
            <v>22</v>
          </cell>
          <cell r="I81">
            <v>23</v>
          </cell>
          <cell r="J81">
            <v>23</v>
          </cell>
          <cell r="K81">
            <v>23</v>
          </cell>
          <cell r="L81">
            <v>23</v>
          </cell>
        </row>
        <row r="82">
          <cell r="A82">
            <v>13</v>
          </cell>
          <cell r="B82">
            <v>150</v>
          </cell>
          <cell r="C82" t="str">
            <v>Al</v>
          </cell>
          <cell r="D82" t="str">
            <v>Folie</v>
          </cell>
          <cell r="E82">
            <v>4</v>
          </cell>
          <cell r="F82">
            <v>10</v>
          </cell>
          <cell r="G82">
            <v>15</v>
          </cell>
          <cell r="H82">
            <v>20</v>
          </cell>
          <cell r="I82">
            <v>23</v>
          </cell>
          <cell r="J82">
            <v>24</v>
          </cell>
          <cell r="K82">
            <v>24</v>
          </cell>
          <cell r="L82">
            <v>24</v>
          </cell>
        </row>
        <row r="83">
          <cell r="A83">
            <v>14</v>
          </cell>
          <cell r="B83">
            <v>150</v>
          </cell>
          <cell r="C83" t="str">
            <v>Fe</v>
          </cell>
          <cell r="D83" t="str">
            <v>Folie</v>
          </cell>
          <cell r="E83">
            <v>8</v>
          </cell>
          <cell r="F83">
            <v>15</v>
          </cell>
          <cell r="G83">
            <v>21</v>
          </cell>
          <cell r="H83">
            <v>24</v>
          </cell>
          <cell r="I83">
            <v>25</v>
          </cell>
          <cell r="J83">
            <v>25</v>
          </cell>
          <cell r="K83">
            <v>25</v>
          </cell>
          <cell r="L83">
            <v>25</v>
          </cell>
        </row>
        <row r="84">
          <cell r="A84">
            <v>15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</row>
      </sheetData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mpings waarden"/>
    </sheetNames>
    <sheetDataSet>
      <sheetData sheetId="0">
        <row r="3">
          <cell r="D3">
            <v>63</v>
          </cell>
          <cell r="E3">
            <v>125</v>
          </cell>
          <cell r="F3">
            <v>250</v>
          </cell>
          <cell r="G3">
            <v>500</v>
          </cell>
          <cell r="H3">
            <v>1000</v>
          </cell>
          <cell r="I3">
            <v>2000</v>
          </cell>
          <cell r="J3">
            <v>4000</v>
          </cell>
          <cell r="K3">
            <v>8000</v>
          </cell>
        </row>
        <row r="4">
          <cell r="A4">
            <v>500</v>
          </cell>
          <cell r="D4">
            <v>-3</v>
          </cell>
          <cell r="E4">
            <v>-5</v>
          </cell>
          <cell r="F4">
            <v>-10</v>
          </cell>
          <cell r="G4">
            <v>-17</v>
          </cell>
          <cell r="H4">
            <v>-24</v>
          </cell>
          <cell r="I4">
            <v>-20</v>
          </cell>
          <cell r="J4">
            <v>-14</v>
          </cell>
          <cell r="K4">
            <v>-11</v>
          </cell>
        </row>
        <row r="5">
          <cell r="A5">
            <v>750</v>
          </cell>
          <cell r="D5">
            <v>-3</v>
          </cell>
          <cell r="E5">
            <v>-6</v>
          </cell>
          <cell r="F5">
            <v>-13</v>
          </cell>
          <cell r="G5">
            <v>-24</v>
          </cell>
          <cell r="H5">
            <v>-32</v>
          </cell>
          <cell r="I5">
            <v>-26</v>
          </cell>
          <cell r="J5">
            <v>-16</v>
          </cell>
          <cell r="K5">
            <v>-12</v>
          </cell>
        </row>
        <row r="6">
          <cell r="A6">
            <v>1000</v>
          </cell>
          <cell r="D6">
            <v>-4</v>
          </cell>
          <cell r="E6">
            <v>-8</v>
          </cell>
          <cell r="F6">
            <v>-17</v>
          </cell>
          <cell r="G6">
            <v>-30</v>
          </cell>
          <cell r="H6">
            <v>-40</v>
          </cell>
          <cell r="I6">
            <v>-32</v>
          </cell>
          <cell r="J6">
            <v>-19</v>
          </cell>
          <cell r="K6">
            <v>-13</v>
          </cell>
        </row>
        <row r="7">
          <cell r="A7">
            <v>1250</v>
          </cell>
          <cell r="D7">
            <v>-5</v>
          </cell>
          <cell r="E7">
            <v>-10</v>
          </cell>
          <cell r="F7">
            <v>-20</v>
          </cell>
          <cell r="G7">
            <v>-35</v>
          </cell>
          <cell r="H7">
            <v>-49</v>
          </cell>
          <cell r="I7">
            <v>-38</v>
          </cell>
          <cell r="J7">
            <v>-22</v>
          </cell>
          <cell r="K7">
            <v>-15</v>
          </cell>
        </row>
        <row r="8">
          <cell r="A8">
            <v>1500</v>
          </cell>
          <cell r="D8">
            <v>-6</v>
          </cell>
          <cell r="E8">
            <v>-14</v>
          </cell>
          <cell r="F8">
            <v>-23</v>
          </cell>
          <cell r="G8">
            <v>-41</v>
          </cell>
          <cell r="H8">
            <v>-50</v>
          </cell>
          <cell r="I8">
            <v>-44</v>
          </cell>
          <cell r="J8">
            <v>-25</v>
          </cell>
          <cell r="K8">
            <v>-17</v>
          </cell>
        </row>
        <row r="9">
          <cell r="A9">
            <v>1750</v>
          </cell>
          <cell r="D9">
            <v>-7</v>
          </cell>
          <cell r="E9">
            <v>-16</v>
          </cell>
          <cell r="F9">
            <v>-27</v>
          </cell>
          <cell r="G9">
            <v>-47</v>
          </cell>
          <cell r="H9">
            <v>-50</v>
          </cell>
          <cell r="I9">
            <v>-50</v>
          </cell>
          <cell r="J9">
            <v>-27</v>
          </cell>
          <cell r="K9">
            <v>-18</v>
          </cell>
        </row>
        <row r="10">
          <cell r="A10">
            <v>2000</v>
          </cell>
          <cell r="D10">
            <v>-7</v>
          </cell>
          <cell r="E10">
            <v>-17</v>
          </cell>
          <cell r="F10">
            <v>-30</v>
          </cell>
          <cell r="G10">
            <v>-50</v>
          </cell>
          <cell r="H10">
            <v>-50</v>
          </cell>
          <cell r="I10">
            <v>-50</v>
          </cell>
          <cell r="J10">
            <v>-30</v>
          </cell>
          <cell r="K10">
            <v>-20</v>
          </cell>
        </row>
        <row r="11">
          <cell r="A11">
            <v>2250</v>
          </cell>
          <cell r="D11">
            <v>-8</v>
          </cell>
          <cell r="E11">
            <v>-18</v>
          </cell>
          <cell r="F11">
            <v>-33</v>
          </cell>
          <cell r="G11">
            <v>-50</v>
          </cell>
          <cell r="H11">
            <v>-50</v>
          </cell>
          <cell r="I11">
            <v>-50</v>
          </cell>
          <cell r="J11">
            <v>-32</v>
          </cell>
          <cell r="K11">
            <v>-21</v>
          </cell>
        </row>
        <row r="12">
          <cell r="A12">
            <v>2500</v>
          </cell>
          <cell r="D12">
            <v>-8</v>
          </cell>
          <cell r="E12">
            <v>-19</v>
          </cell>
          <cell r="F12">
            <v>-36</v>
          </cell>
          <cell r="G12">
            <v>-50</v>
          </cell>
          <cell r="H12">
            <v>-50</v>
          </cell>
          <cell r="I12">
            <v>-50</v>
          </cell>
          <cell r="J12">
            <v>-35</v>
          </cell>
          <cell r="K12">
            <v>-22</v>
          </cell>
        </row>
        <row r="13">
          <cell r="A13">
            <v>2750</v>
          </cell>
          <cell r="D13">
            <v>-8</v>
          </cell>
          <cell r="E13">
            <v>-20</v>
          </cell>
          <cell r="F13">
            <v>-38</v>
          </cell>
          <cell r="G13">
            <v>-50</v>
          </cell>
          <cell r="H13">
            <v>-50</v>
          </cell>
          <cell r="I13">
            <v>-50</v>
          </cell>
          <cell r="J13">
            <v>-37</v>
          </cell>
          <cell r="K13">
            <v>-23</v>
          </cell>
        </row>
        <row r="14">
          <cell r="A14">
            <v>3000</v>
          </cell>
          <cell r="D14">
            <v>-9</v>
          </cell>
          <cell r="E14">
            <v>-21</v>
          </cell>
          <cell r="F14">
            <v>-39</v>
          </cell>
          <cell r="G14">
            <v>-50</v>
          </cell>
          <cell r="H14">
            <v>-50</v>
          </cell>
          <cell r="I14">
            <v>-50</v>
          </cell>
          <cell r="J14">
            <v>-38</v>
          </cell>
          <cell r="K14">
            <v>-23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1"/>
      <sheetName val="Blad1"/>
    </sheetNames>
    <sheetDataSet>
      <sheetData sheetId="0">
        <row r="3">
          <cell r="E3" t="str">
            <v>T01A</v>
          </cell>
          <cell r="F3" t="str">
            <v>T01B</v>
          </cell>
          <cell r="G3" t="str">
            <v>T01E</v>
          </cell>
          <cell r="H3" t="str">
            <v>T12A</v>
          </cell>
          <cell r="I3" t="str">
            <v>T16B</v>
          </cell>
          <cell r="J3" t="str">
            <v>T17B</v>
          </cell>
          <cell r="K3" t="str">
            <v>T20B</v>
          </cell>
          <cell r="L3" t="str">
            <v>T21E</v>
          </cell>
          <cell r="M3" t="str">
            <v>T21F</v>
          </cell>
          <cell r="N3" t="str">
            <v>T22B</v>
          </cell>
          <cell r="O3" t="str">
            <v>T22C</v>
          </cell>
          <cell r="P3" t="str">
            <v>T26</v>
          </cell>
          <cell r="Q3" t="str">
            <v>T27</v>
          </cell>
          <cell r="R3" t="str">
            <v>T28</v>
          </cell>
          <cell r="S3" t="str">
            <v>T31A</v>
          </cell>
          <cell r="T3" t="str">
            <v>T31B</v>
          </cell>
          <cell r="U3" t="str">
            <v>T31C</v>
          </cell>
          <cell r="V3" t="str">
            <v>T31D</v>
          </cell>
          <cell r="W3" t="str">
            <v>T31E</v>
          </cell>
          <cell r="X3" t="str">
            <v>T32</v>
          </cell>
          <cell r="Y3" t="str">
            <v>T33</v>
          </cell>
          <cell r="Z3" t="str">
            <v>T34</v>
          </cell>
          <cell r="AA3" t="str">
            <v>T35A</v>
          </cell>
          <cell r="AB3" t="str">
            <v>T35B</v>
          </cell>
          <cell r="AC3" t="str">
            <v>T35C</v>
          </cell>
          <cell r="AD3" t="str">
            <v>T35D</v>
          </cell>
          <cell r="AE3" t="str">
            <v>T36</v>
          </cell>
          <cell r="AF3" t="str">
            <v>T36A</v>
          </cell>
          <cell r="AG3" t="str">
            <v>Gal</v>
          </cell>
          <cell r="AH3" t="str">
            <v>GalS</v>
          </cell>
          <cell r="AI3" t="str">
            <v>GW</v>
          </cell>
          <cell r="AJ3" t="str">
            <v>GWA</v>
          </cell>
        </row>
        <row r="4">
          <cell r="E4">
            <v>1000</v>
          </cell>
          <cell r="F4">
            <v>1000</v>
          </cell>
          <cell r="G4">
            <v>1000</v>
          </cell>
          <cell r="H4">
            <v>1000</v>
          </cell>
          <cell r="I4">
            <v>1000</v>
          </cell>
          <cell r="J4">
            <v>1000</v>
          </cell>
          <cell r="K4">
            <v>1000</v>
          </cell>
          <cell r="L4">
            <v>1000</v>
          </cell>
          <cell r="M4">
            <v>1000</v>
          </cell>
          <cell r="N4">
            <v>1000</v>
          </cell>
          <cell r="O4">
            <v>1000</v>
          </cell>
          <cell r="P4">
            <v>1000</v>
          </cell>
          <cell r="Q4">
            <v>1000</v>
          </cell>
          <cell r="R4">
            <v>1000</v>
          </cell>
          <cell r="S4">
            <v>1000</v>
          </cell>
          <cell r="T4">
            <v>1000</v>
          </cell>
          <cell r="U4">
            <v>1000</v>
          </cell>
          <cell r="V4">
            <v>1000</v>
          </cell>
          <cell r="W4">
            <v>1000</v>
          </cell>
          <cell r="X4">
            <v>1000</v>
          </cell>
          <cell r="Y4">
            <v>1000</v>
          </cell>
          <cell r="Z4">
            <v>1000</v>
          </cell>
          <cell r="AA4">
            <v>1000</v>
          </cell>
          <cell r="AB4">
            <v>1000</v>
          </cell>
          <cell r="AC4">
            <v>1000</v>
          </cell>
          <cell r="AD4">
            <v>1000</v>
          </cell>
          <cell r="AE4">
            <v>1000</v>
          </cell>
          <cell r="AF4">
            <v>1000</v>
          </cell>
          <cell r="AG4">
            <v>1200</v>
          </cell>
          <cell r="AH4">
            <v>1200</v>
          </cell>
          <cell r="AI4">
            <v>1000</v>
          </cell>
          <cell r="AJ4">
            <v>1000</v>
          </cell>
        </row>
        <row r="5">
          <cell r="E5">
            <v>1480</v>
          </cell>
          <cell r="F5">
            <v>1480</v>
          </cell>
          <cell r="G5">
            <v>1480</v>
          </cell>
          <cell r="H5">
            <v>1480</v>
          </cell>
          <cell r="I5">
            <v>1480</v>
          </cell>
          <cell r="J5">
            <v>1480</v>
          </cell>
          <cell r="K5">
            <v>1480</v>
          </cell>
          <cell r="L5">
            <v>1480</v>
          </cell>
          <cell r="M5">
            <v>1480</v>
          </cell>
          <cell r="N5">
            <v>1480</v>
          </cell>
          <cell r="O5">
            <v>1480</v>
          </cell>
          <cell r="P5">
            <v>1480</v>
          </cell>
          <cell r="Q5">
            <v>1480</v>
          </cell>
          <cell r="R5">
            <v>1480</v>
          </cell>
          <cell r="S5">
            <v>1480</v>
          </cell>
          <cell r="T5">
            <v>1480</v>
          </cell>
          <cell r="U5">
            <v>1480</v>
          </cell>
          <cell r="V5">
            <v>1480</v>
          </cell>
          <cell r="W5">
            <v>1480</v>
          </cell>
          <cell r="X5">
            <v>1480</v>
          </cell>
          <cell r="Y5">
            <v>1480</v>
          </cell>
          <cell r="Z5">
            <v>1480</v>
          </cell>
          <cell r="AA5">
            <v>1480</v>
          </cell>
          <cell r="AB5">
            <v>1480</v>
          </cell>
          <cell r="AC5">
            <v>1480</v>
          </cell>
          <cell r="AD5">
            <v>1480</v>
          </cell>
          <cell r="AE5">
            <v>1480</v>
          </cell>
          <cell r="AF5">
            <v>1480</v>
          </cell>
          <cell r="AG5">
            <v>1465</v>
          </cell>
          <cell r="AH5">
            <v>1465</v>
          </cell>
          <cell r="AI5">
            <v>1480</v>
          </cell>
          <cell r="AJ5">
            <v>1480</v>
          </cell>
        </row>
        <row r="6">
          <cell r="E6">
            <v>1.2050000000000001</v>
          </cell>
          <cell r="F6">
            <v>1.2050000000000001</v>
          </cell>
          <cell r="G6">
            <v>1.2050000000000001</v>
          </cell>
          <cell r="H6">
            <v>1.2050000000000001</v>
          </cell>
          <cell r="I6">
            <v>1.2050000000000001</v>
          </cell>
          <cell r="J6">
            <v>1.2050000000000001</v>
          </cell>
          <cell r="K6">
            <v>1.2050000000000001</v>
          </cell>
          <cell r="L6">
            <v>1.2050000000000001</v>
          </cell>
          <cell r="M6">
            <v>1.2050000000000001</v>
          </cell>
          <cell r="N6">
            <v>1.2050000000000001</v>
          </cell>
          <cell r="O6">
            <v>1.2050000000000001</v>
          </cell>
          <cell r="P6">
            <v>1.2050000000000001</v>
          </cell>
          <cell r="Q6">
            <v>1.2050000000000001</v>
          </cell>
          <cell r="R6">
            <v>1.2050000000000001</v>
          </cell>
          <cell r="S6">
            <v>1.2050000000000001</v>
          </cell>
          <cell r="T6">
            <v>1.2050000000000001</v>
          </cell>
          <cell r="U6">
            <v>1.2050000000000001</v>
          </cell>
          <cell r="V6">
            <v>1.2050000000000001</v>
          </cell>
          <cell r="W6">
            <v>1.2050000000000001</v>
          </cell>
          <cell r="X6">
            <v>1.2050000000000001</v>
          </cell>
          <cell r="Y6">
            <v>1.2050000000000001</v>
          </cell>
          <cell r="Z6">
            <v>1.2050000000000001</v>
          </cell>
          <cell r="AA6">
            <v>1.2050000000000001</v>
          </cell>
          <cell r="AB6">
            <v>1.2050000000000001</v>
          </cell>
          <cell r="AC6">
            <v>1.2050000000000001</v>
          </cell>
          <cell r="AD6">
            <v>1.2050000000000001</v>
          </cell>
          <cell r="AE6">
            <v>1.2050000000000001</v>
          </cell>
          <cell r="AF6">
            <v>1.2050000000000001</v>
          </cell>
          <cell r="AG6">
            <v>1.2</v>
          </cell>
          <cell r="AH6">
            <v>1.2</v>
          </cell>
          <cell r="AI6">
            <v>1.2050000000000001</v>
          </cell>
          <cell r="AJ6">
            <v>1.2050000000000001</v>
          </cell>
        </row>
        <row r="7">
          <cell r="E7">
            <v>605.40540540540542</v>
          </cell>
          <cell r="F7">
            <v>679.01234567901236</v>
          </cell>
          <cell r="G7">
            <v>617.28395061728395</v>
          </cell>
          <cell r="H7">
            <v>897.22675367047304</v>
          </cell>
          <cell r="I7">
            <v>291.26213592233012</v>
          </cell>
          <cell r="J7">
            <v>738.255033557047</v>
          </cell>
          <cell r="K7">
            <v>472.44094488188978</v>
          </cell>
          <cell r="L7">
            <v>755.55555555555554</v>
          </cell>
          <cell r="M7">
            <v>755.55555555555554</v>
          </cell>
          <cell r="N7">
            <v>964.91228070175441</v>
          </cell>
          <cell r="O7">
            <v>964.91228070175441</v>
          </cell>
          <cell r="P7">
            <v>349.92887624466573</v>
          </cell>
          <cell r="Q7">
            <v>285.71428571428572</v>
          </cell>
          <cell r="R7">
            <v>477.27272727272725</v>
          </cell>
          <cell r="S7">
            <v>770.44854881266485</v>
          </cell>
          <cell r="T7">
            <v>770.44854881266485</v>
          </cell>
          <cell r="U7">
            <v>770.44854881266485</v>
          </cell>
          <cell r="V7">
            <v>770.44854881266485</v>
          </cell>
          <cell r="W7">
            <v>770.44854881266485</v>
          </cell>
          <cell r="X7">
            <v>730</v>
          </cell>
          <cell r="Y7">
            <v>1013.1926121372031</v>
          </cell>
          <cell r="Z7">
            <v>1013.1926121372031</v>
          </cell>
          <cell r="AA7">
            <v>233.3</v>
          </cell>
          <cell r="AB7">
            <v>233.3</v>
          </cell>
          <cell r="AC7">
            <v>233.3</v>
          </cell>
          <cell r="AD7">
            <v>303.33300000000003</v>
          </cell>
          <cell r="AE7">
            <v>523.68421052631584</v>
          </cell>
          <cell r="AF7">
            <v>523.68421052631584</v>
          </cell>
          <cell r="AG7">
            <v>500</v>
          </cell>
          <cell r="AH7">
            <v>500</v>
          </cell>
          <cell r="AI7">
            <v>127.83505154639175</v>
          </cell>
          <cell r="AJ7">
            <v>127.83505154639175</v>
          </cell>
        </row>
        <row r="8">
          <cell r="E8">
            <v>832.43243243243239</v>
          </cell>
          <cell r="F8">
            <v>814.81481481481478</v>
          </cell>
          <cell r="G8">
            <v>814.81481481481478</v>
          </cell>
          <cell r="H8">
            <v>978.79282218597064</v>
          </cell>
          <cell r="I8">
            <v>359.22330097087377</v>
          </cell>
          <cell r="J8">
            <v>872.48322147651004</v>
          </cell>
          <cell r="K8">
            <v>570.0787401574803</v>
          </cell>
          <cell r="L8">
            <v>673.33333333333337</v>
          </cell>
          <cell r="M8">
            <v>673.33333333333337</v>
          </cell>
          <cell r="N8">
            <v>905.26315789473688</v>
          </cell>
          <cell r="O8">
            <v>905.26315789473688</v>
          </cell>
          <cell r="P8">
            <v>438.12233285917495</v>
          </cell>
          <cell r="Q8">
            <v>347.82608695652175</v>
          </cell>
          <cell r="R8">
            <v>477.27272727272725</v>
          </cell>
          <cell r="S8">
            <v>857.51978891820579</v>
          </cell>
          <cell r="T8">
            <v>857.51978891820579</v>
          </cell>
          <cell r="U8">
            <v>857.51978891820579</v>
          </cell>
          <cell r="V8">
            <v>857.51978891820579</v>
          </cell>
          <cell r="W8">
            <v>857.51978891820579</v>
          </cell>
          <cell r="X8">
            <v>812.5</v>
          </cell>
          <cell r="Y8">
            <v>857.51978891820579</v>
          </cell>
          <cell r="Z8">
            <v>857.51978891820579</v>
          </cell>
          <cell r="AA8">
            <v>333.33300000000003</v>
          </cell>
          <cell r="AB8">
            <v>333.33300000000003</v>
          </cell>
          <cell r="AC8">
            <v>333.33300000000003</v>
          </cell>
          <cell r="AD8">
            <v>333.33300000000003</v>
          </cell>
          <cell r="AE8">
            <v>572.36842105263156</v>
          </cell>
          <cell r="AF8">
            <v>572.36842105263156</v>
          </cell>
          <cell r="AG8">
            <v>665</v>
          </cell>
          <cell r="AH8">
            <v>665</v>
          </cell>
          <cell r="AI8">
            <v>156.70103092783506</v>
          </cell>
          <cell r="AJ8">
            <v>156.70103092783506</v>
          </cell>
        </row>
        <row r="9">
          <cell r="E9">
            <v>372.97297297297297</v>
          </cell>
          <cell r="F9">
            <v>370.37037037037032</v>
          </cell>
          <cell r="G9">
            <v>370.37037037037032</v>
          </cell>
          <cell r="H9">
            <v>489.39641109298532</v>
          </cell>
          <cell r="I9">
            <v>184.46601941747574</v>
          </cell>
          <cell r="J9">
            <v>402.68456375838929</v>
          </cell>
          <cell r="K9">
            <v>275.59055118110234</v>
          </cell>
          <cell r="L9">
            <v>500</v>
          </cell>
          <cell r="M9">
            <v>500</v>
          </cell>
          <cell r="N9">
            <v>659.64912280701753</v>
          </cell>
          <cell r="O9">
            <v>659.64912280701753</v>
          </cell>
          <cell r="P9">
            <v>213.37126600284495</v>
          </cell>
          <cell r="Q9">
            <v>183.85093167701862</v>
          </cell>
          <cell r="R9">
            <v>378.78787878787881</v>
          </cell>
          <cell r="S9">
            <v>422.16358839050133</v>
          </cell>
          <cell r="T9">
            <v>422.16358839050133</v>
          </cell>
          <cell r="U9">
            <v>455.14511873350921</v>
          </cell>
          <cell r="V9">
            <v>521.10817941952507</v>
          </cell>
          <cell r="W9">
            <v>521.10817941952507</v>
          </cell>
          <cell r="X9">
            <v>431.25</v>
          </cell>
          <cell r="Y9">
            <v>637.20316622691291</v>
          </cell>
          <cell r="Z9">
            <v>693.93139841688651</v>
          </cell>
          <cell r="AA9">
            <v>175</v>
          </cell>
          <cell r="AB9">
            <v>175</v>
          </cell>
          <cell r="AC9">
            <v>175</v>
          </cell>
          <cell r="AD9">
            <v>175</v>
          </cell>
          <cell r="AE9">
            <v>328.94736842105266</v>
          </cell>
          <cell r="AF9">
            <v>328.94736842105266</v>
          </cell>
          <cell r="AG9">
            <v>300</v>
          </cell>
          <cell r="AH9">
            <v>300</v>
          </cell>
          <cell r="AI9">
            <v>82.474226804123717</v>
          </cell>
          <cell r="AJ9">
            <v>82.474226804123717</v>
          </cell>
        </row>
        <row r="10">
          <cell r="E10">
            <v>6075.6756756756758</v>
          </cell>
          <cell r="F10">
            <v>5679.0123456790125</v>
          </cell>
          <cell r="G10">
            <v>5679.0123456790125</v>
          </cell>
          <cell r="H10">
            <v>6107.6672104404561</v>
          </cell>
          <cell r="I10">
            <v>4708.7378640776697</v>
          </cell>
          <cell r="J10">
            <v>5704.6979865771818</v>
          </cell>
          <cell r="K10">
            <v>5275.5905511811025</v>
          </cell>
          <cell r="L10">
            <v>5044.4444444444443</v>
          </cell>
          <cell r="M10">
            <v>5044.4444444444443</v>
          </cell>
          <cell r="N10">
            <v>4666.6666666666661</v>
          </cell>
          <cell r="O10">
            <v>4666.6666666666661</v>
          </cell>
          <cell r="P10">
            <v>5689.9004267425316</v>
          </cell>
          <cell r="Q10">
            <v>4596.2732919254659</v>
          </cell>
          <cell r="R10">
            <v>4742.424242424242</v>
          </cell>
          <cell r="S10">
            <v>6229.5514511873353</v>
          </cell>
          <cell r="T10">
            <v>6229.5514511873353</v>
          </cell>
          <cell r="U10">
            <v>6229.5514511873353</v>
          </cell>
          <cell r="V10">
            <v>6229.5514511873353</v>
          </cell>
          <cell r="W10">
            <v>6229.5514511873353</v>
          </cell>
          <cell r="X10">
            <v>5902.5</v>
          </cell>
          <cell r="Y10">
            <v>6229.5514511873353</v>
          </cell>
          <cell r="Z10">
            <v>6229.5514511873353</v>
          </cell>
          <cell r="AA10">
            <v>5016.66</v>
          </cell>
          <cell r="AB10">
            <v>5016.66</v>
          </cell>
          <cell r="AC10">
            <v>5016.66</v>
          </cell>
          <cell r="AD10">
            <v>5016.66</v>
          </cell>
          <cell r="AE10">
            <v>5657.8947368421059</v>
          </cell>
          <cell r="AF10">
            <v>5657.8947368421059</v>
          </cell>
          <cell r="AG10">
            <v>5500</v>
          </cell>
          <cell r="AH10">
            <v>5500</v>
          </cell>
          <cell r="AI10">
            <v>4117.5257731958754</v>
          </cell>
          <cell r="AJ10">
            <v>4117.5257731958754</v>
          </cell>
        </row>
        <row r="11">
          <cell r="E11">
            <v>702.70270270270271</v>
          </cell>
          <cell r="F11">
            <v>685.18518518518511</v>
          </cell>
          <cell r="G11">
            <v>685.18518518518511</v>
          </cell>
          <cell r="H11">
            <v>685.1549755301794</v>
          </cell>
          <cell r="I11">
            <v>689.32038834951459</v>
          </cell>
          <cell r="J11">
            <v>617.44966442953023</v>
          </cell>
          <cell r="K11">
            <v>708.66141732283461</v>
          </cell>
          <cell r="L11">
            <v>622.22222222222217</v>
          </cell>
          <cell r="M11">
            <v>622.22222222222217</v>
          </cell>
          <cell r="N11">
            <v>666.66666666666663</v>
          </cell>
          <cell r="O11">
            <v>666.66666666666663</v>
          </cell>
          <cell r="P11">
            <v>625.88904694167854</v>
          </cell>
          <cell r="Q11">
            <v>677.01863354037266</v>
          </cell>
          <cell r="R11">
            <v>643.93939393939399</v>
          </cell>
          <cell r="S11">
            <v>791.55672823218993</v>
          </cell>
          <cell r="T11">
            <v>791.55672823218993</v>
          </cell>
          <cell r="U11">
            <v>791.55672823218993</v>
          </cell>
          <cell r="V11">
            <v>791.55672823218993</v>
          </cell>
          <cell r="W11">
            <v>791.55672823218993</v>
          </cell>
          <cell r="X11">
            <v>750</v>
          </cell>
          <cell r="Y11">
            <v>791.55672823218993</v>
          </cell>
          <cell r="Z11">
            <v>791.55672823218993</v>
          </cell>
          <cell r="AA11">
            <v>792</v>
          </cell>
          <cell r="AB11">
            <v>792</v>
          </cell>
          <cell r="AC11">
            <v>792</v>
          </cell>
          <cell r="AD11">
            <v>1208.3330000000001</v>
          </cell>
          <cell r="AE11">
            <v>710.52631578947364</v>
          </cell>
          <cell r="AF11">
            <v>710.52631578947364</v>
          </cell>
          <cell r="AG11">
            <v>820</v>
          </cell>
          <cell r="AH11">
            <v>820</v>
          </cell>
          <cell r="AI11">
            <v>618.5567010309278</v>
          </cell>
          <cell r="AJ11">
            <v>618.5567010309278</v>
          </cell>
        </row>
        <row r="12">
          <cell r="E12">
            <v>881.08108108108104</v>
          </cell>
          <cell r="F12">
            <v>850.61728395061721</v>
          </cell>
          <cell r="G12">
            <v>866.66666666666663</v>
          </cell>
          <cell r="H12">
            <v>913.53996737357261</v>
          </cell>
          <cell r="I12">
            <v>666.01941747572812</v>
          </cell>
          <cell r="J12">
            <v>735.57046979865777</v>
          </cell>
          <cell r="K12">
            <v>749.6062992125984</v>
          </cell>
          <cell r="L12">
            <v>706.66666666666663</v>
          </cell>
          <cell r="M12">
            <v>706.66666666666663</v>
          </cell>
          <cell r="N12">
            <v>731.57894736842104</v>
          </cell>
          <cell r="O12">
            <v>731.57894736842104</v>
          </cell>
          <cell r="P12">
            <v>694.16785206258885</v>
          </cell>
          <cell r="Q12">
            <v>648.94409937888202</v>
          </cell>
          <cell r="R12">
            <v>706.06060606060601</v>
          </cell>
          <cell r="S12">
            <v>878.62796833773086</v>
          </cell>
          <cell r="T12">
            <v>878.62796833773086</v>
          </cell>
          <cell r="U12">
            <v>878.62796833773086</v>
          </cell>
          <cell r="V12">
            <v>878.62796833773086</v>
          </cell>
          <cell r="W12">
            <v>878.62796833773086</v>
          </cell>
          <cell r="X12">
            <v>832.5</v>
          </cell>
          <cell r="Y12">
            <v>877.30870712401054</v>
          </cell>
          <cell r="Z12">
            <v>877.30870712401054</v>
          </cell>
          <cell r="AA12">
            <v>736.66600000000005</v>
          </cell>
          <cell r="AB12">
            <v>736.66600000000005</v>
          </cell>
          <cell r="AC12">
            <v>736.66600000000005</v>
          </cell>
          <cell r="AD12">
            <v>736.66600000000005</v>
          </cell>
          <cell r="AE12">
            <v>750</v>
          </cell>
          <cell r="AF12">
            <v>750</v>
          </cell>
          <cell r="AG12">
            <v>886</v>
          </cell>
          <cell r="AH12">
            <v>886</v>
          </cell>
          <cell r="AI12">
            <v>573.19587628865975</v>
          </cell>
          <cell r="AJ12">
            <v>573.19587628865975</v>
          </cell>
        </row>
        <row r="13">
          <cell r="E13">
            <v>1063.7837837837837</v>
          </cell>
          <cell r="F13">
            <v>1043.2098765432099</v>
          </cell>
          <cell r="G13">
            <v>1045.679012345679</v>
          </cell>
          <cell r="H13">
            <v>1151.7128874388254</v>
          </cell>
          <cell r="I13">
            <v>728.15533980582529</v>
          </cell>
          <cell r="J13">
            <v>974.49664429530196</v>
          </cell>
          <cell r="K13">
            <v>859.05511811023621</v>
          </cell>
          <cell r="L13">
            <v>844.44444444444446</v>
          </cell>
          <cell r="M13">
            <v>844.44444444444446</v>
          </cell>
          <cell r="N13">
            <v>912.28070175438597</v>
          </cell>
          <cell r="O13">
            <v>912.28070175438597</v>
          </cell>
          <cell r="P13">
            <v>768.13655761024177</v>
          </cell>
          <cell r="Q13">
            <v>701.86335403726707</v>
          </cell>
          <cell r="R13">
            <v>792.42424242424238</v>
          </cell>
          <cell r="S13">
            <v>1060.6860158311345</v>
          </cell>
          <cell r="T13">
            <v>1060.6860158311345</v>
          </cell>
          <cell r="U13">
            <v>1060.6860158311345</v>
          </cell>
          <cell r="V13">
            <v>1060.6860158311345</v>
          </cell>
          <cell r="W13">
            <v>1060.6860158311345</v>
          </cell>
          <cell r="X13">
            <v>1005</v>
          </cell>
          <cell r="Y13">
            <v>1060.6860158311345</v>
          </cell>
          <cell r="Z13">
            <v>1060.6860158311345</v>
          </cell>
          <cell r="AA13">
            <v>760</v>
          </cell>
          <cell r="AB13">
            <v>760</v>
          </cell>
          <cell r="AC13">
            <v>760</v>
          </cell>
          <cell r="AD13">
            <v>760</v>
          </cell>
          <cell r="AE13">
            <v>859.21052631578948</v>
          </cell>
          <cell r="AF13">
            <v>859.21052631578948</v>
          </cell>
          <cell r="AG13">
            <v>1018</v>
          </cell>
          <cell r="AH13">
            <v>1018</v>
          </cell>
          <cell r="AI13">
            <v>573.19587628865975</v>
          </cell>
          <cell r="AJ13">
            <v>573.19587628865975</v>
          </cell>
        </row>
        <row r="14">
          <cell r="E14">
            <v>878.91891891891896</v>
          </cell>
          <cell r="F14">
            <v>861.72839506172829</v>
          </cell>
          <cell r="G14">
            <v>859.25925925925924</v>
          </cell>
          <cell r="H14">
            <v>901.30505709624799</v>
          </cell>
          <cell r="I14">
            <v>631.55339805825247</v>
          </cell>
          <cell r="J14">
            <v>837.58389261744969</v>
          </cell>
          <cell r="K14">
            <v>733.85826771653547</v>
          </cell>
          <cell r="L14">
            <v>736.88888888888891</v>
          </cell>
          <cell r="M14">
            <v>736.88888888888891</v>
          </cell>
          <cell r="N14">
            <v>649.12280701754389</v>
          </cell>
          <cell r="O14">
            <v>649.12280701754389</v>
          </cell>
          <cell r="P14">
            <v>666.42958748221906</v>
          </cell>
          <cell r="Q14">
            <v>618.63354037267084</v>
          </cell>
          <cell r="R14">
            <v>643.93939393939399</v>
          </cell>
          <cell r="S14">
            <v>877.30870712401054</v>
          </cell>
          <cell r="T14">
            <v>877.30870712401054</v>
          </cell>
          <cell r="U14">
            <v>877.30870712401054</v>
          </cell>
          <cell r="V14">
            <v>877.30870712401054</v>
          </cell>
          <cell r="W14">
            <v>877.30870712401054</v>
          </cell>
          <cell r="X14">
            <v>831.25</v>
          </cell>
          <cell r="Y14">
            <v>877.30870712401054</v>
          </cell>
          <cell r="Z14">
            <v>877.30870712401054</v>
          </cell>
          <cell r="AA14">
            <v>650</v>
          </cell>
          <cell r="AB14">
            <v>650</v>
          </cell>
          <cell r="AC14">
            <v>650</v>
          </cell>
          <cell r="AD14">
            <v>650</v>
          </cell>
          <cell r="AE14">
            <v>733.5526315789474</v>
          </cell>
          <cell r="AF14">
            <v>733.5526315789474</v>
          </cell>
          <cell r="AG14">
            <v>875</v>
          </cell>
          <cell r="AH14">
            <v>875</v>
          </cell>
          <cell r="AI14">
            <v>536.08247422680415</v>
          </cell>
          <cell r="AJ14">
            <v>536.08247422680415</v>
          </cell>
        </row>
        <row r="15">
          <cell r="E15">
            <v>1295.1351351351352</v>
          </cell>
          <cell r="F15">
            <v>1269.1358024691358</v>
          </cell>
          <cell r="G15">
            <v>1044.4444444444443</v>
          </cell>
          <cell r="H15">
            <v>1390.7014681892333</v>
          </cell>
          <cell r="I15">
            <v>811.16504854368941</v>
          </cell>
          <cell r="J15">
            <v>1273.8255033557048</v>
          </cell>
          <cell r="K15">
            <v>1018.8976377952756</v>
          </cell>
          <cell r="L15">
            <v>1073.5555555555557</v>
          </cell>
          <cell r="M15">
            <v>1073.5555555555557</v>
          </cell>
          <cell r="N15">
            <v>1101.7543859649122</v>
          </cell>
          <cell r="O15">
            <v>1101.7543859649122</v>
          </cell>
          <cell r="P15">
            <v>885.49075391180656</v>
          </cell>
          <cell r="Q15">
            <v>792.54658385093171</v>
          </cell>
          <cell r="R15">
            <v>882.57575757575762</v>
          </cell>
          <cell r="S15">
            <v>1306.0686015831134</v>
          </cell>
          <cell r="T15">
            <v>1306.0686015831134</v>
          </cell>
          <cell r="U15">
            <v>1306.0686015831134</v>
          </cell>
          <cell r="V15">
            <v>1306.0686015831134</v>
          </cell>
          <cell r="W15">
            <v>1306.0686015831134</v>
          </cell>
          <cell r="X15">
            <v>1237.5</v>
          </cell>
          <cell r="Y15">
            <v>1306.0686015831134</v>
          </cell>
          <cell r="Z15">
            <v>1306.0686015831134</v>
          </cell>
          <cell r="AA15">
            <v>816.66600000000005</v>
          </cell>
          <cell r="AB15">
            <v>816.66600000000005</v>
          </cell>
          <cell r="AC15">
            <v>816.66600000000005</v>
          </cell>
          <cell r="AD15">
            <v>816.66600000000005</v>
          </cell>
          <cell r="AE15">
            <v>1019.7368421052631</v>
          </cell>
          <cell r="AF15">
            <v>1019.7368421052631</v>
          </cell>
          <cell r="AG15">
            <v>1208</v>
          </cell>
          <cell r="AH15">
            <v>1208</v>
          </cell>
          <cell r="AI15">
            <v>614.43298969072168</v>
          </cell>
          <cell r="AJ15">
            <v>614.43298969072168</v>
          </cell>
        </row>
        <row r="16">
          <cell r="E16">
            <v>364.32432432432432</v>
          </cell>
          <cell r="F16">
            <v>416.04938271604937</v>
          </cell>
          <cell r="G16">
            <v>385.18518518518516</v>
          </cell>
          <cell r="H16">
            <v>243.06688417618273</v>
          </cell>
          <cell r="I16">
            <v>469.41747572815535</v>
          </cell>
          <cell r="J16">
            <v>351.67785234899333</v>
          </cell>
          <cell r="K16">
            <v>433.07086614173232</v>
          </cell>
          <cell r="L16">
            <v>242.22222222222223</v>
          </cell>
          <cell r="M16">
            <v>242.22222222222223</v>
          </cell>
          <cell r="N16">
            <v>243.85964912280701</v>
          </cell>
          <cell r="O16">
            <v>243.85964912280701</v>
          </cell>
          <cell r="P16">
            <v>470.83926031294448</v>
          </cell>
          <cell r="Q16">
            <v>414.28571428571428</v>
          </cell>
          <cell r="R16">
            <v>421.21212121212119</v>
          </cell>
          <cell r="S16">
            <v>403.03430079155669</v>
          </cell>
          <cell r="T16">
            <v>403.03430079155669</v>
          </cell>
          <cell r="U16">
            <v>403.03430079155669</v>
          </cell>
          <cell r="V16">
            <v>403.03430079155669</v>
          </cell>
          <cell r="W16">
            <v>403.03430079155669</v>
          </cell>
          <cell r="X16">
            <v>431.25</v>
          </cell>
          <cell r="Y16">
            <v>431.25</v>
          </cell>
          <cell r="Z16">
            <v>411.6</v>
          </cell>
          <cell r="AA16">
            <v>433.33300000000003</v>
          </cell>
          <cell r="AB16">
            <v>433.33300000000003</v>
          </cell>
          <cell r="AC16">
            <v>433.33300000000003</v>
          </cell>
          <cell r="AD16">
            <v>433.33300000000003</v>
          </cell>
          <cell r="AE16">
            <v>425.00000000000006</v>
          </cell>
          <cell r="AF16">
            <v>425.00000000000006</v>
          </cell>
          <cell r="AG16">
            <v>408</v>
          </cell>
          <cell r="AH16">
            <v>408</v>
          </cell>
          <cell r="AI16">
            <v>416.49484536082468</v>
          </cell>
          <cell r="AJ16">
            <v>416.49484536082468</v>
          </cell>
        </row>
        <row r="17">
          <cell r="E17">
            <v>12</v>
          </cell>
          <cell r="F17">
            <v>12</v>
          </cell>
          <cell r="G17">
            <v>12</v>
          </cell>
          <cell r="H17">
            <v>12</v>
          </cell>
          <cell r="I17">
            <v>10</v>
          </cell>
          <cell r="J17">
            <v>12</v>
          </cell>
          <cell r="K17">
            <v>10</v>
          </cell>
          <cell r="L17">
            <v>8</v>
          </cell>
          <cell r="M17">
            <v>16</v>
          </cell>
          <cell r="N17">
            <v>24</v>
          </cell>
          <cell r="O17">
            <v>12</v>
          </cell>
          <cell r="P17">
            <v>10</v>
          </cell>
          <cell r="Q17">
            <v>16</v>
          </cell>
          <cell r="R17">
            <v>8</v>
          </cell>
          <cell r="S17">
            <v>8</v>
          </cell>
          <cell r="T17">
            <v>8</v>
          </cell>
          <cell r="U17">
            <v>8</v>
          </cell>
          <cell r="V17">
            <v>8</v>
          </cell>
          <cell r="W17">
            <v>8</v>
          </cell>
          <cell r="X17">
            <v>12</v>
          </cell>
          <cell r="Y17">
            <v>8</v>
          </cell>
          <cell r="Z17">
            <v>8</v>
          </cell>
          <cell r="AA17">
            <v>8</v>
          </cell>
          <cell r="AB17">
            <v>8</v>
          </cell>
          <cell r="AC17">
            <v>8</v>
          </cell>
          <cell r="AD17">
            <v>8</v>
          </cell>
          <cell r="AE17">
            <v>10</v>
          </cell>
          <cell r="AF17">
            <v>10</v>
          </cell>
          <cell r="AG17">
            <v>16</v>
          </cell>
          <cell r="AH17">
            <v>16</v>
          </cell>
          <cell r="AI17">
            <v>12</v>
          </cell>
          <cell r="AJ17">
            <v>12</v>
          </cell>
        </row>
        <row r="18">
          <cell r="E18">
            <v>132.97297297297297</v>
          </cell>
          <cell r="F18">
            <v>129.62962962962962</v>
          </cell>
          <cell r="G18">
            <v>129.62962962962962</v>
          </cell>
          <cell r="H18">
            <v>187.60195758564439</v>
          </cell>
          <cell r="I18">
            <v>32.524271844660191</v>
          </cell>
          <cell r="J18">
            <v>134.2281879194631</v>
          </cell>
          <cell r="K18">
            <v>126.77165354330708</v>
          </cell>
          <cell r="L18">
            <v>160</v>
          </cell>
          <cell r="M18">
            <v>160</v>
          </cell>
          <cell r="N18">
            <v>321.05263157894734</v>
          </cell>
          <cell r="O18">
            <v>321.05263157894734</v>
          </cell>
          <cell r="P18">
            <v>60.73968705547653</v>
          </cell>
          <cell r="Q18">
            <v>54.658385093167702</v>
          </cell>
          <cell r="R18">
            <v>234.84848484848484</v>
          </cell>
          <cell r="S18">
            <v>197.88918205804748</v>
          </cell>
          <cell r="T18">
            <v>213.72031662269129</v>
          </cell>
          <cell r="U18">
            <v>246.70184696569922</v>
          </cell>
          <cell r="V18">
            <v>278.3641160949868</v>
          </cell>
          <cell r="W18">
            <v>310.02638522427441</v>
          </cell>
          <cell r="X18">
            <v>190.625</v>
          </cell>
          <cell r="Y18">
            <v>313.98416886543538</v>
          </cell>
          <cell r="Z18">
            <v>370.71240105540898</v>
          </cell>
          <cell r="AA18">
            <v>108.333</v>
          </cell>
          <cell r="AB18">
            <v>108.333</v>
          </cell>
          <cell r="AC18">
            <v>108.333</v>
          </cell>
          <cell r="AD18">
            <v>108.333</v>
          </cell>
          <cell r="AE18">
            <v>156.57894736842104</v>
          </cell>
          <cell r="AF18">
            <v>133.55263157894737</v>
          </cell>
          <cell r="AG18">
            <v>120</v>
          </cell>
          <cell r="AH18">
            <v>72</v>
          </cell>
          <cell r="AI18">
            <v>20.618556701030929</v>
          </cell>
          <cell r="AJ18">
            <v>20.618556701030929</v>
          </cell>
        </row>
        <row r="19">
          <cell r="E19">
            <v>132.97297297297297</v>
          </cell>
          <cell r="F19">
            <v>129.62962962962962</v>
          </cell>
          <cell r="G19">
            <v>129.62962962962962</v>
          </cell>
          <cell r="H19">
            <v>187.60195758564439</v>
          </cell>
          <cell r="I19">
            <v>14.563106796116505</v>
          </cell>
          <cell r="J19">
            <v>134.2281879194631</v>
          </cell>
          <cell r="K19">
            <v>71.653543307086608</v>
          </cell>
          <cell r="L19">
            <v>124.44444444444444</v>
          </cell>
          <cell r="M19">
            <v>124.44444444444444</v>
          </cell>
          <cell r="N19">
            <v>271.92982456140351</v>
          </cell>
          <cell r="O19">
            <v>271.92982456140351</v>
          </cell>
          <cell r="P19">
            <v>28.87624466571835</v>
          </cell>
          <cell r="Q19">
            <v>23.602484472049689</v>
          </cell>
          <cell r="R19">
            <v>151.5151515151515</v>
          </cell>
          <cell r="S19">
            <v>102.9023746701847</v>
          </cell>
          <cell r="T19">
            <v>118.7335092348285</v>
          </cell>
          <cell r="U19">
            <v>151.71503957783642</v>
          </cell>
          <cell r="V19">
            <v>183.377308707124</v>
          </cell>
          <cell r="W19">
            <v>215.03957783641161</v>
          </cell>
          <cell r="X19">
            <v>88.75</v>
          </cell>
          <cell r="Y19">
            <v>233.50923482849603</v>
          </cell>
          <cell r="Z19">
            <v>290.23746701846966</v>
          </cell>
          <cell r="AA19">
            <v>33.332999999999998</v>
          </cell>
          <cell r="AB19">
            <v>50</v>
          </cell>
          <cell r="AC19">
            <v>75</v>
          </cell>
          <cell r="AD19">
            <v>50</v>
          </cell>
          <cell r="AE19">
            <v>62.5</v>
          </cell>
          <cell r="AF19">
            <v>62.5</v>
          </cell>
          <cell r="AG19">
            <v>60</v>
          </cell>
          <cell r="AH19">
            <v>36</v>
          </cell>
          <cell r="AI19">
            <v>8.2474226804123703</v>
          </cell>
          <cell r="AJ19">
            <v>8.2474226804123703</v>
          </cell>
        </row>
        <row r="20">
          <cell r="E20">
            <v>524.32432432432438</v>
          </cell>
          <cell r="F20">
            <v>596.2962962962963</v>
          </cell>
          <cell r="G20">
            <v>512.34567901234561</v>
          </cell>
          <cell r="H20">
            <v>758.56443719412721</v>
          </cell>
          <cell r="I20">
            <v>240.77669902912621</v>
          </cell>
          <cell r="J20">
            <v>624.16107382550331</v>
          </cell>
          <cell r="K20">
            <v>388.97637795275591</v>
          </cell>
          <cell r="L20">
            <v>626.66666666666663</v>
          </cell>
          <cell r="M20">
            <v>626.66666666666663</v>
          </cell>
          <cell r="N20">
            <v>800</v>
          </cell>
          <cell r="O20">
            <v>800</v>
          </cell>
          <cell r="P20">
            <v>290.18492176386911</v>
          </cell>
          <cell r="Q20">
            <v>288.19875776397515</v>
          </cell>
          <cell r="R20">
            <v>643.93939393939399</v>
          </cell>
          <cell r="S20">
            <v>567.28232189973619</v>
          </cell>
          <cell r="T20">
            <v>567.28232189973619</v>
          </cell>
          <cell r="U20">
            <v>567.28232189973619</v>
          </cell>
          <cell r="V20">
            <v>567.28232189973619</v>
          </cell>
          <cell r="W20">
            <v>567.28232189973619</v>
          </cell>
          <cell r="X20">
            <v>537.5</v>
          </cell>
          <cell r="Y20">
            <v>659.63060686015831</v>
          </cell>
          <cell r="Z20">
            <v>659.63060686015831</v>
          </cell>
          <cell r="AA20">
            <v>375</v>
          </cell>
          <cell r="AB20">
            <v>375</v>
          </cell>
          <cell r="AC20">
            <v>375</v>
          </cell>
          <cell r="AD20">
            <v>375</v>
          </cell>
          <cell r="AE20">
            <v>442.10526315789474</v>
          </cell>
          <cell r="AF20">
            <v>442.10526315789474</v>
          </cell>
          <cell r="AG20">
            <v>455</v>
          </cell>
          <cell r="AH20">
            <v>455</v>
          </cell>
          <cell r="AI20">
            <v>127.83505154639175</v>
          </cell>
          <cell r="AJ20">
            <v>127.83505154639175</v>
          </cell>
        </row>
        <row r="21">
          <cell r="E21">
            <v>605.40540540540542</v>
          </cell>
          <cell r="G21">
            <v>592.59259259259261</v>
          </cell>
          <cell r="H21">
            <v>783.03425774877655</v>
          </cell>
          <cell r="I21">
            <v>289.32038834951459</v>
          </cell>
          <cell r="J21">
            <v>644.29530201342277</v>
          </cell>
          <cell r="K21">
            <v>442.51968503937007</v>
          </cell>
          <cell r="L21">
            <v>640</v>
          </cell>
          <cell r="M21">
            <v>640</v>
          </cell>
          <cell r="N21">
            <v>800</v>
          </cell>
          <cell r="O21">
            <v>800</v>
          </cell>
          <cell r="P21">
            <v>331.4366998577525</v>
          </cell>
          <cell r="Q21">
            <v>511.80124223602485</v>
          </cell>
          <cell r="R21">
            <v>369.69696969696969</v>
          </cell>
          <cell r="S21">
            <v>606.86015831134569</v>
          </cell>
          <cell r="T21">
            <v>606.86015831134569</v>
          </cell>
          <cell r="U21">
            <v>606.86015831134569</v>
          </cell>
          <cell r="V21">
            <v>606.86015831134569</v>
          </cell>
          <cell r="W21">
            <v>606.86015831134569</v>
          </cell>
          <cell r="X21">
            <v>575</v>
          </cell>
          <cell r="Y21">
            <v>688.65435356200533</v>
          </cell>
          <cell r="Z21">
            <v>688.65435356200533</v>
          </cell>
          <cell r="AA21">
            <v>133.333</v>
          </cell>
          <cell r="AB21">
            <v>133.333</v>
          </cell>
          <cell r="AC21">
            <v>133.333</v>
          </cell>
          <cell r="AD21">
            <v>133.333</v>
          </cell>
          <cell r="AE21">
            <v>464.4736842105263</v>
          </cell>
          <cell r="AF21">
            <v>464.4736842105263</v>
          </cell>
          <cell r="AG21">
            <v>500</v>
          </cell>
          <cell r="AH21">
            <v>500</v>
          </cell>
          <cell r="AI21">
            <v>167.01030927835052</v>
          </cell>
          <cell r="AJ21">
            <v>167.01030927835052</v>
          </cell>
        </row>
        <row r="22">
          <cell r="E22">
            <v>30</v>
          </cell>
          <cell r="G22">
            <v>30</v>
          </cell>
          <cell r="H22">
            <v>21</v>
          </cell>
          <cell r="I22">
            <v>45</v>
          </cell>
          <cell r="J22">
            <v>27</v>
          </cell>
          <cell r="K22">
            <v>28.5</v>
          </cell>
          <cell r="L22">
            <v>35</v>
          </cell>
          <cell r="M22">
            <v>35</v>
          </cell>
          <cell r="N22">
            <v>20</v>
          </cell>
          <cell r="O22">
            <v>20</v>
          </cell>
          <cell r="P22">
            <v>40</v>
          </cell>
          <cell r="Q22">
            <v>44</v>
          </cell>
          <cell r="R22">
            <v>1E-4</v>
          </cell>
          <cell r="S22">
            <v>20</v>
          </cell>
          <cell r="T22">
            <v>20</v>
          </cell>
          <cell r="U22">
            <v>20</v>
          </cell>
          <cell r="V22">
            <v>20</v>
          </cell>
          <cell r="W22">
            <v>20</v>
          </cell>
          <cell r="X22">
            <v>10</v>
          </cell>
          <cell r="Y22">
            <v>10</v>
          </cell>
          <cell r="Z22">
            <v>10</v>
          </cell>
          <cell r="AA22">
            <v>1E-4</v>
          </cell>
          <cell r="AB22">
            <v>1E-4</v>
          </cell>
          <cell r="AC22">
            <v>1E-4</v>
          </cell>
          <cell r="AD22">
            <v>1E-4</v>
          </cell>
          <cell r="AE22">
            <v>29</v>
          </cell>
          <cell r="AF22">
            <v>29</v>
          </cell>
          <cell r="AG22">
            <v>38.4</v>
          </cell>
          <cell r="AH22">
            <v>38.4</v>
          </cell>
          <cell r="AI22">
            <v>65</v>
          </cell>
          <cell r="AJ22">
            <v>65</v>
          </cell>
        </row>
        <row r="23">
          <cell r="E23">
            <v>30</v>
          </cell>
          <cell r="G23">
            <v>30</v>
          </cell>
          <cell r="H23">
            <v>30</v>
          </cell>
          <cell r="I23">
            <v>40</v>
          </cell>
          <cell r="J23">
            <v>30</v>
          </cell>
          <cell r="K23">
            <v>40</v>
          </cell>
          <cell r="L23">
            <v>58.5</v>
          </cell>
          <cell r="M23">
            <v>58.5</v>
          </cell>
          <cell r="N23">
            <v>25</v>
          </cell>
          <cell r="O23">
            <v>25</v>
          </cell>
          <cell r="P23">
            <v>40</v>
          </cell>
          <cell r="Q23">
            <v>60</v>
          </cell>
          <cell r="R23">
            <v>1E-4</v>
          </cell>
          <cell r="S23">
            <v>30</v>
          </cell>
          <cell r="T23">
            <v>30</v>
          </cell>
          <cell r="U23">
            <v>30</v>
          </cell>
          <cell r="V23">
            <v>30</v>
          </cell>
          <cell r="W23">
            <v>30</v>
          </cell>
          <cell r="X23">
            <v>34.5</v>
          </cell>
          <cell r="Y23">
            <v>30</v>
          </cell>
          <cell r="Z23">
            <v>30</v>
          </cell>
          <cell r="AA23">
            <v>1E-4</v>
          </cell>
          <cell r="AB23">
            <v>1E-4</v>
          </cell>
          <cell r="AC23">
            <v>1E-4</v>
          </cell>
          <cell r="AD23">
            <v>1E-4</v>
          </cell>
          <cell r="AE23">
            <v>40</v>
          </cell>
          <cell r="AF23">
            <v>40</v>
          </cell>
          <cell r="AG23">
            <v>71</v>
          </cell>
          <cell r="AH23">
            <v>71</v>
          </cell>
          <cell r="AI23">
            <v>90</v>
          </cell>
          <cell r="AJ23">
            <v>90</v>
          </cell>
        </row>
        <row r="24"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</row>
        <row r="25">
          <cell r="E25">
            <v>3.83</v>
          </cell>
          <cell r="G25">
            <v>2.8514141019882615</v>
          </cell>
          <cell r="H25">
            <v>6.58</v>
          </cell>
          <cell r="I25">
            <v>0.23</v>
          </cell>
          <cell r="J25">
            <v>4.6399999999999997</v>
          </cell>
          <cell r="K25">
            <v>1.68</v>
          </cell>
          <cell r="L25">
            <v>2.77</v>
          </cell>
          <cell r="M25">
            <v>4.99</v>
          </cell>
          <cell r="N25">
            <v>3.7855555555555553</v>
          </cell>
          <cell r="O25">
            <v>4.2061111111111114</v>
          </cell>
          <cell r="P25">
            <v>0.39</v>
          </cell>
          <cell r="Q25">
            <v>0.7</v>
          </cell>
          <cell r="R25">
            <v>1.93</v>
          </cell>
          <cell r="S25">
            <v>2.0876562174896227</v>
          </cell>
          <cell r="T25">
            <v>2.5515798213762055</v>
          </cell>
          <cell r="U25">
            <v>3.2474652272060798</v>
          </cell>
          <cell r="V25">
            <v>2.3196180194329141</v>
          </cell>
          <cell r="W25">
            <v>3.0155034252627884</v>
          </cell>
          <cell r="X25">
            <v>3.0155034252627884</v>
          </cell>
          <cell r="Y25">
            <v>4.6399999999999997</v>
          </cell>
          <cell r="Z25">
            <v>6.03</v>
          </cell>
          <cell r="AA25">
            <v>0.42</v>
          </cell>
          <cell r="AB25">
            <v>0.47</v>
          </cell>
          <cell r="AC25">
            <v>0.47</v>
          </cell>
          <cell r="AD25">
            <v>0.47</v>
          </cell>
          <cell r="AE25">
            <v>1.61</v>
          </cell>
          <cell r="AF25">
            <v>1.5</v>
          </cell>
          <cell r="AG25">
            <v>1</v>
          </cell>
          <cell r="AH25">
            <v>5.0599999999999999E-2</v>
          </cell>
          <cell r="AI25">
            <v>5.0599999999999999E-2</v>
          </cell>
          <cell r="AJ25">
            <v>5.0576541712728303E-2</v>
          </cell>
        </row>
        <row r="26">
          <cell r="E26">
            <v>4.47</v>
          </cell>
          <cell r="F26">
            <v>0.95047136732942039</v>
          </cell>
          <cell r="G26">
            <v>3.8018854693176816</v>
          </cell>
          <cell r="H26">
            <v>8.33</v>
          </cell>
          <cell r="I26">
            <v>0.46</v>
          </cell>
          <cell r="J26">
            <v>5.86</v>
          </cell>
          <cell r="K26">
            <v>1.97</v>
          </cell>
          <cell r="L26">
            <v>4.43</v>
          </cell>
          <cell r="M26">
            <v>5.54</v>
          </cell>
          <cell r="N26">
            <v>6.309166666666667</v>
          </cell>
          <cell r="O26">
            <v>6.309166666666667</v>
          </cell>
          <cell r="P26">
            <v>0.76</v>
          </cell>
          <cell r="Q26">
            <v>0.8</v>
          </cell>
          <cell r="R26">
            <v>3.16</v>
          </cell>
          <cell r="S26">
            <v>2.7835416233194969</v>
          </cell>
          <cell r="T26">
            <v>3.2474652272060798</v>
          </cell>
          <cell r="U26">
            <v>3.943350633035954</v>
          </cell>
          <cell r="V26">
            <v>3.2474652272060798</v>
          </cell>
          <cell r="W26">
            <v>3.943350633035954</v>
          </cell>
          <cell r="X26">
            <v>3.943350633035954</v>
          </cell>
          <cell r="Y26">
            <v>8.1199999999999992</v>
          </cell>
          <cell r="Z26">
            <v>9.2799999999999994</v>
          </cell>
          <cell r="AA26">
            <v>0.82</v>
          </cell>
          <cell r="AB26">
            <v>0.7</v>
          </cell>
          <cell r="AC26">
            <v>0.7</v>
          </cell>
          <cell r="AD26">
            <v>0.94</v>
          </cell>
          <cell r="AE26">
            <v>2.2999999999999998</v>
          </cell>
          <cell r="AF26">
            <v>2.2999999999999998</v>
          </cell>
          <cell r="AG26">
            <v>2</v>
          </cell>
          <cell r="AH26">
            <v>0.1012</v>
          </cell>
          <cell r="AI26">
            <v>0.1012</v>
          </cell>
          <cell r="AJ26">
            <v>7.5864812569092444E-2</v>
          </cell>
        </row>
        <row r="27">
          <cell r="E27">
            <v>4.82</v>
          </cell>
          <cell r="F27">
            <v>1.9009427346588408</v>
          </cell>
          <cell r="G27">
            <v>4.2771211529823914</v>
          </cell>
          <cell r="H27">
            <v>8.9</v>
          </cell>
          <cell r="I27">
            <v>0.52</v>
          </cell>
          <cell r="J27">
            <v>6.21</v>
          </cell>
          <cell r="K27">
            <v>2.25</v>
          </cell>
          <cell r="L27">
            <v>5.21</v>
          </cell>
          <cell r="M27">
            <v>6.1</v>
          </cell>
          <cell r="N27">
            <v>7.5711111111111107</v>
          </cell>
          <cell r="O27">
            <v>8.4122222222222227</v>
          </cell>
          <cell r="P27">
            <v>0.92</v>
          </cell>
          <cell r="Q27">
            <v>0.85</v>
          </cell>
          <cell r="R27">
            <v>3.58</v>
          </cell>
          <cell r="S27">
            <v>3.4794270291493712</v>
          </cell>
          <cell r="T27">
            <v>3.943350633035954</v>
          </cell>
          <cell r="U27">
            <v>4.6392360388658282</v>
          </cell>
          <cell r="V27">
            <v>4.1753124349792454</v>
          </cell>
          <cell r="W27">
            <v>4.8711978408091197</v>
          </cell>
          <cell r="X27">
            <v>4.8711978408091197</v>
          </cell>
          <cell r="Y27">
            <v>8.7200000000000006</v>
          </cell>
          <cell r="Z27">
            <v>9.9700000000000006</v>
          </cell>
          <cell r="AA27">
            <v>0.94</v>
          </cell>
          <cell r="AB27">
            <v>0.89</v>
          </cell>
          <cell r="AC27">
            <v>0.89</v>
          </cell>
          <cell r="AD27">
            <v>1.08</v>
          </cell>
          <cell r="AE27">
            <v>2.65</v>
          </cell>
          <cell r="AF27">
            <v>2.5499999999999998</v>
          </cell>
          <cell r="AG27">
            <v>3</v>
          </cell>
          <cell r="AH27">
            <v>0.12640000000000001</v>
          </cell>
          <cell r="AI27">
            <v>0.12640000000000001</v>
          </cell>
          <cell r="AJ27">
            <v>0.10115308342545661</v>
          </cell>
        </row>
        <row r="28">
          <cell r="E28">
            <v>5.21</v>
          </cell>
          <cell r="F28">
            <v>2.8514141019882611</v>
          </cell>
          <cell r="G28">
            <v>4.7523568366471025</v>
          </cell>
          <cell r="H28">
            <v>9.52</v>
          </cell>
          <cell r="I28">
            <v>0.59</v>
          </cell>
          <cell r="J28">
            <v>6.57</v>
          </cell>
          <cell r="K28">
            <v>2.54</v>
          </cell>
          <cell r="L28">
            <v>6.04</v>
          </cell>
          <cell r="M28">
            <v>6.71</v>
          </cell>
          <cell r="N28">
            <v>8.4122222222222227</v>
          </cell>
          <cell r="O28">
            <v>9.4638888888888886</v>
          </cell>
          <cell r="P28">
            <v>1.0900000000000001</v>
          </cell>
          <cell r="Q28">
            <v>0.91</v>
          </cell>
          <cell r="R28">
            <v>4.04</v>
          </cell>
          <cell r="S28">
            <v>4.1753124349792454</v>
          </cell>
          <cell r="T28">
            <v>4.6392360388658282</v>
          </cell>
          <cell r="U28">
            <v>5.3351214446957025</v>
          </cell>
          <cell r="V28">
            <v>5.1031596427524111</v>
          </cell>
          <cell r="W28">
            <v>5.7990450485822853</v>
          </cell>
          <cell r="X28">
            <v>5.7990450485822853</v>
          </cell>
          <cell r="Y28">
            <v>9.42</v>
          </cell>
          <cell r="Z28">
            <v>10.72</v>
          </cell>
          <cell r="AA28">
            <v>1.08</v>
          </cell>
          <cell r="AB28">
            <v>1.1000000000000001</v>
          </cell>
          <cell r="AC28">
            <v>1.1000000000000001</v>
          </cell>
          <cell r="AD28">
            <v>1.26</v>
          </cell>
          <cell r="AE28">
            <v>3.01</v>
          </cell>
          <cell r="AF28">
            <v>2.83</v>
          </cell>
          <cell r="AG28">
            <v>4</v>
          </cell>
          <cell r="AH28">
            <v>0.1517</v>
          </cell>
          <cell r="AI28">
            <v>0.1517</v>
          </cell>
          <cell r="AJ28">
            <v>0.12644135428182077</v>
          </cell>
        </row>
        <row r="29">
          <cell r="E29">
            <v>5.59</v>
          </cell>
          <cell r="F29">
            <v>3.8018854693176816</v>
          </cell>
          <cell r="G29">
            <v>5.25</v>
          </cell>
          <cell r="H29">
            <v>10.130000000000001</v>
          </cell>
          <cell r="I29">
            <v>0.65</v>
          </cell>
          <cell r="J29">
            <v>6.94</v>
          </cell>
          <cell r="K29">
            <v>2.84</v>
          </cell>
          <cell r="L29">
            <v>6.87</v>
          </cell>
          <cell r="M29">
            <v>7.32</v>
          </cell>
          <cell r="N29">
            <v>9.6741666666666664</v>
          </cell>
          <cell r="O29">
            <v>10.515277777777778</v>
          </cell>
          <cell r="P29">
            <v>1.27</v>
          </cell>
          <cell r="Q29">
            <v>0.98</v>
          </cell>
          <cell r="R29">
            <v>4.5</v>
          </cell>
          <cell r="S29">
            <v>4.8711978408091197</v>
          </cell>
          <cell r="T29">
            <v>5.3351214446957025</v>
          </cell>
          <cell r="U29">
            <v>6.0310068505255767</v>
          </cell>
          <cell r="V29">
            <v>6.0310068505255767</v>
          </cell>
          <cell r="W29">
            <v>6.726892256355451</v>
          </cell>
          <cell r="X29">
            <v>6.726892256355451</v>
          </cell>
          <cell r="Y29">
            <v>9.9700000000000006</v>
          </cell>
          <cell r="Z29">
            <v>11.46</v>
          </cell>
          <cell r="AA29">
            <v>1.2</v>
          </cell>
          <cell r="AB29">
            <v>1.31</v>
          </cell>
          <cell r="AC29">
            <v>1.31</v>
          </cell>
          <cell r="AD29">
            <v>1.43</v>
          </cell>
          <cell r="AE29">
            <v>3.38</v>
          </cell>
          <cell r="AF29">
            <v>3.08</v>
          </cell>
          <cell r="AG29">
            <v>4.5</v>
          </cell>
          <cell r="AH29">
            <v>0.17699999999999999</v>
          </cell>
          <cell r="AI29">
            <v>0.17699999999999999</v>
          </cell>
          <cell r="AJ29">
            <v>0.15172962513818491</v>
          </cell>
        </row>
        <row r="30">
          <cell r="E30">
            <v>6.05</v>
          </cell>
          <cell r="F30">
            <v>4.7523568366471016</v>
          </cell>
          <cell r="G30">
            <v>5.702828203976523</v>
          </cell>
          <cell r="H30">
            <v>10.75</v>
          </cell>
          <cell r="I30">
            <v>0.72</v>
          </cell>
          <cell r="J30">
            <v>7.33</v>
          </cell>
          <cell r="K30">
            <v>3.16</v>
          </cell>
          <cell r="L30">
            <v>7.76</v>
          </cell>
          <cell r="M30">
            <v>8.0399999999999991</v>
          </cell>
          <cell r="N30">
            <v>10.515277777777778</v>
          </cell>
          <cell r="O30">
            <v>11.566944444444445</v>
          </cell>
          <cell r="P30">
            <v>1.45</v>
          </cell>
          <cell r="Q30">
            <v>1.05</v>
          </cell>
          <cell r="R30">
            <v>4.92</v>
          </cell>
          <cell r="S30">
            <v>5.5670832466389939</v>
          </cell>
          <cell r="T30">
            <v>6.0310068505255767</v>
          </cell>
          <cell r="U30">
            <v>6.726892256355451</v>
          </cell>
          <cell r="V30">
            <v>6.9588540582987424</v>
          </cell>
          <cell r="W30">
            <v>7.6547394641286166</v>
          </cell>
          <cell r="X30">
            <v>7.6547394641286166</v>
          </cell>
          <cell r="Y30">
            <v>10.72</v>
          </cell>
          <cell r="Z30">
            <v>12.2</v>
          </cell>
          <cell r="AA30">
            <v>1.34</v>
          </cell>
          <cell r="AB30">
            <v>1.52</v>
          </cell>
          <cell r="AC30">
            <v>1.52</v>
          </cell>
          <cell r="AD30">
            <v>1.64</v>
          </cell>
          <cell r="AE30">
            <v>3.75</v>
          </cell>
          <cell r="AF30">
            <v>3.34</v>
          </cell>
          <cell r="AG30">
            <v>5</v>
          </cell>
          <cell r="AH30">
            <v>0.20230000000000001</v>
          </cell>
          <cell r="AI30">
            <v>0.20230000000000001</v>
          </cell>
          <cell r="AJ30">
            <v>0.17701789599454906</v>
          </cell>
        </row>
        <row r="31">
          <cell r="E31">
            <v>6.48</v>
          </cell>
          <cell r="F31">
            <v>5.7028282039765221</v>
          </cell>
          <cell r="G31">
            <v>6.25</v>
          </cell>
          <cell r="H31">
            <v>11.4</v>
          </cell>
          <cell r="I31">
            <v>0.8</v>
          </cell>
          <cell r="J31">
            <v>7.67</v>
          </cell>
          <cell r="K31">
            <v>3.47</v>
          </cell>
          <cell r="L31">
            <v>8.5399999999999991</v>
          </cell>
          <cell r="M31">
            <v>8.81</v>
          </cell>
          <cell r="N31">
            <v>12.197777777777778</v>
          </cell>
          <cell r="O31">
            <v>12.618333333333334</v>
          </cell>
          <cell r="P31">
            <v>1.65</v>
          </cell>
          <cell r="Q31">
            <v>1.1100000000000001</v>
          </cell>
          <cell r="R31">
            <v>5.34</v>
          </cell>
          <cell r="S31">
            <v>6.2629686524688681</v>
          </cell>
          <cell r="T31">
            <v>6.726892256355451</v>
          </cell>
          <cell r="U31">
            <v>7.4227776621853252</v>
          </cell>
          <cell r="V31">
            <v>7.886701266071908</v>
          </cell>
          <cell r="W31">
            <v>8.5825866719017831</v>
          </cell>
          <cell r="X31">
            <v>8.5825866719017831</v>
          </cell>
          <cell r="Y31">
            <v>11.64</v>
          </cell>
          <cell r="Z31">
            <v>12.94</v>
          </cell>
          <cell r="AA31">
            <v>1.48</v>
          </cell>
          <cell r="AB31">
            <v>1.94</v>
          </cell>
          <cell r="AC31">
            <v>1.94</v>
          </cell>
          <cell r="AD31">
            <v>1.89</v>
          </cell>
          <cell r="AE31">
            <v>4.1900000000000004</v>
          </cell>
          <cell r="AF31">
            <v>3.77</v>
          </cell>
          <cell r="AG31">
            <v>5.5</v>
          </cell>
          <cell r="AH31">
            <v>0.2276</v>
          </cell>
          <cell r="AI31">
            <v>0.2276</v>
          </cell>
          <cell r="AJ31">
            <v>0.20230616685091321</v>
          </cell>
        </row>
        <row r="32">
          <cell r="E32">
            <v>6.92</v>
          </cell>
          <cell r="F32">
            <v>6.6532995713059426</v>
          </cell>
          <cell r="G32">
            <v>6.6532995713059426</v>
          </cell>
          <cell r="H32">
            <v>12.06</v>
          </cell>
          <cell r="I32">
            <v>0.87</v>
          </cell>
          <cell r="J32">
            <v>8.14</v>
          </cell>
          <cell r="K32">
            <v>3.79</v>
          </cell>
          <cell r="L32">
            <v>9.31</v>
          </cell>
          <cell r="M32">
            <v>9.59</v>
          </cell>
          <cell r="N32">
            <v>12.618333333333334</v>
          </cell>
          <cell r="O32">
            <v>13.67</v>
          </cell>
          <cell r="P32">
            <v>1.86</v>
          </cell>
          <cell r="Q32">
            <v>1.17</v>
          </cell>
          <cell r="R32">
            <v>5.8</v>
          </cell>
          <cell r="S32">
            <v>6.9588540582987424</v>
          </cell>
          <cell r="T32">
            <v>7.4227776621853252</v>
          </cell>
          <cell r="U32">
            <v>8.1186630680152003</v>
          </cell>
          <cell r="V32">
            <v>8.8145484738450737</v>
          </cell>
          <cell r="W32">
            <v>9.510433879674947</v>
          </cell>
          <cell r="X32">
            <v>9.510433879674947</v>
          </cell>
          <cell r="Y32">
            <v>12.34</v>
          </cell>
          <cell r="Z32">
            <v>13.64</v>
          </cell>
          <cell r="AA32">
            <v>1.64</v>
          </cell>
          <cell r="AB32">
            <v>2.2400000000000002</v>
          </cell>
          <cell r="AC32">
            <v>2.2400000000000002</v>
          </cell>
          <cell r="AD32">
            <v>2.15</v>
          </cell>
          <cell r="AE32">
            <v>4.63</v>
          </cell>
          <cell r="AF32">
            <v>4.21</v>
          </cell>
          <cell r="AG32">
            <v>6</v>
          </cell>
          <cell r="AH32">
            <v>0.25290000000000001</v>
          </cell>
          <cell r="AI32">
            <v>0.25290000000000001</v>
          </cell>
          <cell r="AJ32">
            <v>0.22759443770727733</v>
          </cell>
        </row>
        <row r="33">
          <cell r="E33">
            <v>7.33</v>
          </cell>
          <cell r="F33">
            <v>7.6037709386353631</v>
          </cell>
          <cell r="G33">
            <v>7.6037709386353631</v>
          </cell>
          <cell r="H33">
            <v>12.72</v>
          </cell>
          <cell r="I33">
            <v>0.96</v>
          </cell>
          <cell r="J33">
            <v>8.6</v>
          </cell>
          <cell r="K33">
            <v>4.0999999999999996</v>
          </cell>
          <cell r="L33">
            <v>9.92</v>
          </cell>
          <cell r="M33">
            <v>10.37</v>
          </cell>
          <cell r="N33">
            <v>13.880277777777778</v>
          </cell>
          <cell r="O33">
            <v>14.721388888888889</v>
          </cell>
          <cell r="P33">
            <v>2.06</v>
          </cell>
          <cell r="Q33">
            <v>1.23</v>
          </cell>
          <cell r="R33">
            <v>6.22</v>
          </cell>
          <cell r="S33">
            <v>7.6547394641286166</v>
          </cell>
          <cell r="T33">
            <v>8.1186630680152003</v>
          </cell>
          <cell r="U33">
            <v>8.8145484738450737</v>
          </cell>
          <cell r="V33">
            <v>9.7423956816182393</v>
          </cell>
          <cell r="W33">
            <v>10.438281087448114</v>
          </cell>
          <cell r="X33">
            <v>10.438281087448114</v>
          </cell>
          <cell r="Y33">
            <v>13.18</v>
          </cell>
          <cell r="Z33">
            <v>14.38</v>
          </cell>
          <cell r="AA33">
            <v>1.78</v>
          </cell>
          <cell r="AB33">
            <v>2.57</v>
          </cell>
          <cell r="AC33">
            <v>2.57</v>
          </cell>
          <cell r="AD33">
            <v>2.4300000000000002</v>
          </cell>
          <cell r="AE33">
            <v>5.0599999999999996</v>
          </cell>
          <cell r="AF33">
            <v>4.67</v>
          </cell>
          <cell r="AG33">
            <v>6.5</v>
          </cell>
          <cell r="AH33">
            <v>0.2782</v>
          </cell>
          <cell r="AI33">
            <v>0.2782</v>
          </cell>
          <cell r="AJ33">
            <v>0.25288270856364148</v>
          </cell>
        </row>
        <row r="34">
          <cell r="E34">
            <v>7.79</v>
          </cell>
          <cell r="F34">
            <v>8.5542423059647827</v>
          </cell>
          <cell r="G34">
            <v>8.5542423059647827</v>
          </cell>
          <cell r="H34">
            <v>13.38</v>
          </cell>
          <cell r="I34">
            <v>1.04</v>
          </cell>
          <cell r="J34">
            <v>9.0399999999999991</v>
          </cell>
          <cell r="K34">
            <v>4.4400000000000004</v>
          </cell>
          <cell r="L34">
            <v>10.53</v>
          </cell>
          <cell r="M34">
            <v>11.09</v>
          </cell>
          <cell r="N34">
            <v>14.721388888888889</v>
          </cell>
          <cell r="O34">
            <v>15.983333333333333</v>
          </cell>
          <cell r="P34">
            <v>2.27</v>
          </cell>
          <cell r="Q34">
            <v>1.28</v>
          </cell>
          <cell r="R34">
            <v>6.68</v>
          </cell>
          <cell r="S34">
            <v>8.3506248699584908</v>
          </cell>
          <cell r="T34">
            <v>8.8145484738450737</v>
          </cell>
          <cell r="U34">
            <v>9.510433879674947</v>
          </cell>
          <cell r="V34">
            <v>10.670242889391405</v>
          </cell>
          <cell r="W34">
            <v>11.36612829522128</v>
          </cell>
          <cell r="X34">
            <v>11.36612829522128</v>
          </cell>
          <cell r="Y34">
            <v>13.92</v>
          </cell>
          <cell r="Z34">
            <v>15.08</v>
          </cell>
          <cell r="AA34">
            <v>1.96</v>
          </cell>
          <cell r="AB34">
            <v>2.92</v>
          </cell>
          <cell r="AC34">
            <v>2.92</v>
          </cell>
          <cell r="AD34">
            <v>2.69</v>
          </cell>
          <cell r="AE34">
            <v>5.52</v>
          </cell>
          <cell r="AF34">
            <v>5.0599999999999996</v>
          </cell>
          <cell r="AG34">
            <v>7</v>
          </cell>
          <cell r="AH34">
            <v>0.30349999999999999</v>
          </cell>
          <cell r="AI34">
            <v>0.30349999999999999</v>
          </cell>
          <cell r="AJ34">
            <v>0.27817097942000563</v>
          </cell>
        </row>
        <row r="35">
          <cell r="E35">
            <v>8.17</v>
          </cell>
          <cell r="F35">
            <v>9.5047136732942032</v>
          </cell>
          <cell r="G35">
            <v>9.504713673294205</v>
          </cell>
          <cell r="H35">
            <v>15.35</v>
          </cell>
          <cell r="I35">
            <v>1.34</v>
          </cell>
          <cell r="J35">
            <v>10.02</v>
          </cell>
          <cell r="K35">
            <v>4.7300000000000004</v>
          </cell>
          <cell r="L35">
            <v>11.09</v>
          </cell>
          <cell r="M35">
            <v>12.09</v>
          </cell>
          <cell r="N35">
            <v>15.983333333333333</v>
          </cell>
          <cell r="O35">
            <v>17.665833333333332</v>
          </cell>
          <cell r="P35">
            <v>2.62</v>
          </cell>
          <cell r="Q35">
            <v>1.6</v>
          </cell>
          <cell r="R35">
            <v>7.38</v>
          </cell>
          <cell r="S35">
            <v>9.0465102757883642</v>
          </cell>
          <cell r="T35">
            <v>9.510433879674947</v>
          </cell>
          <cell r="U35">
            <v>10.206319285504822</v>
          </cell>
          <cell r="V35">
            <v>11.598090097164571</v>
          </cell>
          <cell r="W35">
            <v>12.293975502994444</v>
          </cell>
          <cell r="X35">
            <v>12.293975502994444</v>
          </cell>
          <cell r="Y35">
            <v>15.08</v>
          </cell>
          <cell r="Z35">
            <v>18.559999999999999</v>
          </cell>
          <cell r="AA35">
            <v>2.57</v>
          </cell>
          <cell r="AB35">
            <v>3.04</v>
          </cell>
          <cell r="AC35">
            <v>3.04</v>
          </cell>
          <cell r="AD35">
            <v>3.27</v>
          </cell>
          <cell r="AE35">
            <v>6.9</v>
          </cell>
          <cell r="AF35">
            <v>5.75</v>
          </cell>
          <cell r="AG35">
            <v>7.5</v>
          </cell>
          <cell r="AH35">
            <v>0.32869999999999999</v>
          </cell>
          <cell r="AI35">
            <v>0.32869999999999999</v>
          </cell>
          <cell r="AJ35">
            <v>0.30345925027636977</v>
          </cell>
        </row>
        <row r="36">
          <cell r="E36">
            <v>3240.3</v>
          </cell>
          <cell r="F36">
            <v>3179.5894912581994</v>
          </cell>
          <cell r="G36">
            <v>3179.5894912581984</v>
          </cell>
          <cell r="H36">
            <v>2325.6999999999998</v>
          </cell>
          <cell r="I36">
            <v>3976.8</v>
          </cell>
          <cell r="J36">
            <v>2850.5</v>
          </cell>
          <cell r="K36">
            <v>3799.1</v>
          </cell>
          <cell r="L36">
            <v>3199.6</v>
          </cell>
          <cell r="M36">
            <v>3125.2</v>
          </cell>
          <cell r="N36">
            <v>2213</v>
          </cell>
          <cell r="O36">
            <v>2345</v>
          </cell>
          <cell r="P36">
            <v>4166.8</v>
          </cell>
          <cell r="Q36">
            <v>3884</v>
          </cell>
          <cell r="R36">
            <v>4450.7</v>
          </cell>
          <cell r="S36">
            <v>3139.1483682629173</v>
          </cell>
          <cell r="T36">
            <v>3156.5880814199336</v>
          </cell>
          <cell r="U36">
            <v>3231.5788479951034</v>
          </cell>
          <cell r="V36">
            <v>3351.9128687785151</v>
          </cell>
          <cell r="W36">
            <v>3435.6234919321928</v>
          </cell>
          <cell r="X36">
            <v>3435.6234919321928</v>
          </cell>
          <cell r="Y36">
            <v>2902.2</v>
          </cell>
          <cell r="Z36">
            <v>2954.7</v>
          </cell>
          <cell r="AA36">
            <v>4325</v>
          </cell>
          <cell r="AB36">
            <v>4429.7</v>
          </cell>
          <cell r="AC36">
            <v>4429.7</v>
          </cell>
          <cell r="AD36">
            <v>4813.3</v>
          </cell>
          <cell r="AE36">
            <v>3930.4</v>
          </cell>
          <cell r="AF36">
            <v>3826.1</v>
          </cell>
          <cell r="AG36">
            <v>5258.16</v>
          </cell>
          <cell r="AH36">
            <v>3953</v>
          </cell>
          <cell r="AI36">
            <v>3953</v>
          </cell>
          <cell r="AJ36">
            <v>3880.7532895647769</v>
          </cell>
        </row>
        <row r="37">
          <cell r="E37">
            <v>3835</v>
          </cell>
          <cell r="G37">
            <v>3509.0409325210967</v>
          </cell>
          <cell r="H37">
            <v>2878.2</v>
          </cell>
          <cell r="I37">
            <v>4256.2</v>
          </cell>
          <cell r="J37">
            <v>3198</v>
          </cell>
          <cell r="K37">
            <v>4520.3</v>
          </cell>
          <cell r="L37">
            <v>3636.5</v>
          </cell>
          <cell r="M37">
            <v>3974.2</v>
          </cell>
          <cell r="N37">
            <v>2638</v>
          </cell>
          <cell r="O37">
            <v>2726</v>
          </cell>
          <cell r="P37">
            <v>4278.8999999999996</v>
          </cell>
          <cell r="Q37">
            <v>4578.3</v>
          </cell>
          <cell r="R37">
            <v>4829.7</v>
          </cell>
          <cell r="S37">
            <v>3339.7050695686039</v>
          </cell>
          <cell r="T37">
            <v>3456.5511477206119</v>
          </cell>
          <cell r="U37">
            <v>3632.6922506064761</v>
          </cell>
          <cell r="V37">
            <v>3613.508566133758</v>
          </cell>
          <cell r="W37">
            <v>3749.5383287584846</v>
          </cell>
          <cell r="X37">
            <v>3749.5383287584846</v>
          </cell>
          <cell r="Y37">
            <v>3346.9</v>
          </cell>
          <cell r="Z37">
            <v>3400</v>
          </cell>
          <cell r="AA37">
            <v>4530.2</v>
          </cell>
          <cell r="AB37">
            <v>4767.6000000000004</v>
          </cell>
          <cell r="AC37">
            <v>4767.6000000000004</v>
          </cell>
          <cell r="AD37">
            <v>4781.5</v>
          </cell>
          <cell r="AE37">
            <v>4312.8</v>
          </cell>
          <cell r="AF37">
            <v>4289.5</v>
          </cell>
          <cell r="AG37">
            <v>5670.18</v>
          </cell>
          <cell r="AH37">
            <v>4089</v>
          </cell>
          <cell r="AI37">
            <v>4089</v>
          </cell>
          <cell r="AJ37">
            <v>3936.2917981810883</v>
          </cell>
        </row>
        <row r="38">
          <cell r="E38">
            <v>3638.5</v>
          </cell>
          <cell r="F38">
            <v>3302.1760740536961</v>
          </cell>
          <cell r="G38">
            <v>3555.0109010694077</v>
          </cell>
          <cell r="H38">
            <v>2670.2</v>
          </cell>
          <cell r="I38">
            <v>4070.9</v>
          </cell>
          <cell r="J38">
            <v>3125.4</v>
          </cell>
          <cell r="K38">
            <v>4401.7</v>
          </cell>
          <cell r="L38">
            <v>3432.3</v>
          </cell>
          <cell r="M38">
            <v>3818.5</v>
          </cell>
          <cell r="N38">
            <v>2711</v>
          </cell>
          <cell r="O38">
            <v>2719</v>
          </cell>
          <cell r="P38">
            <v>4185.1000000000004</v>
          </cell>
          <cell r="Q38">
            <v>4475.3999999999996</v>
          </cell>
          <cell r="R38">
            <v>4654.5</v>
          </cell>
          <cell r="S38">
            <v>3409.4639221966686</v>
          </cell>
          <cell r="T38">
            <v>3487.9426314032416</v>
          </cell>
          <cell r="U38">
            <v>3669.3156482362101</v>
          </cell>
          <cell r="V38">
            <v>3721.634787707259</v>
          </cell>
          <cell r="W38">
            <v>3828.0170379650576</v>
          </cell>
          <cell r="X38">
            <v>3828.0170379650576</v>
          </cell>
          <cell r="Y38">
            <v>3137.5</v>
          </cell>
          <cell r="Z38">
            <v>3017.8</v>
          </cell>
          <cell r="AA38">
            <v>4322.7</v>
          </cell>
          <cell r="AB38">
            <v>4689.5</v>
          </cell>
          <cell r="AC38">
            <v>4689.5</v>
          </cell>
          <cell r="AD38">
            <v>4581.5</v>
          </cell>
          <cell r="AE38">
            <v>4210</v>
          </cell>
          <cell r="AF38">
            <v>4149.1000000000004</v>
          </cell>
          <cell r="AG38">
            <v>6042.96</v>
          </cell>
          <cell r="AH38">
            <v>4058</v>
          </cell>
          <cell r="AI38">
            <v>4058</v>
          </cell>
          <cell r="AJ38">
            <v>3905.0513870844129</v>
          </cell>
        </row>
        <row r="39">
          <cell r="E39">
            <v>3522.6</v>
          </cell>
          <cell r="F39">
            <v>3417.1009954244741</v>
          </cell>
          <cell r="G39">
            <v>3510</v>
          </cell>
          <cell r="H39">
            <v>2591.3000000000002</v>
          </cell>
          <cell r="I39">
            <v>3970.9</v>
          </cell>
          <cell r="J39">
            <v>3072.8</v>
          </cell>
          <cell r="K39">
            <v>4321.2</v>
          </cell>
          <cell r="L39">
            <v>3327.4</v>
          </cell>
          <cell r="M39">
            <v>3765.4</v>
          </cell>
          <cell r="N39">
            <v>2755</v>
          </cell>
          <cell r="O39">
            <v>2689</v>
          </cell>
          <cell r="P39">
            <v>4089.7</v>
          </cell>
          <cell r="Q39">
            <v>4445.8</v>
          </cell>
          <cell r="R39">
            <v>4569.8</v>
          </cell>
          <cell r="S39">
            <v>3453.0632050892091</v>
          </cell>
          <cell r="T39">
            <v>3510.6142585073626</v>
          </cell>
          <cell r="U39">
            <v>3679.7794761304199</v>
          </cell>
          <cell r="V39">
            <v>3787.9056977039199</v>
          </cell>
          <cell r="W39">
            <v>3861.1524929633883</v>
          </cell>
          <cell r="X39">
            <v>3861.1524929633883</v>
          </cell>
          <cell r="Y39">
            <v>3038.7</v>
          </cell>
          <cell r="Z39">
            <v>2954.5</v>
          </cell>
          <cell r="AA39">
            <v>4232.7</v>
          </cell>
          <cell r="AB39">
            <v>4596</v>
          </cell>
          <cell r="AC39">
            <v>4596</v>
          </cell>
          <cell r="AD39">
            <v>4503.5</v>
          </cell>
          <cell r="AE39">
            <v>4151.5</v>
          </cell>
          <cell r="AF39">
            <v>4072.2</v>
          </cell>
          <cell r="AG39">
            <v>6317.64</v>
          </cell>
          <cell r="AH39">
            <v>3978</v>
          </cell>
          <cell r="AI39">
            <v>3978</v>
          </cell>
          <cell r="AJ39">
            <v>3832.1570945255039</v>
          </cell>
        </row>
        <row r="40">
          <cell r="E40">
            <v>3387.7</v>
          </cell>
          <cell r="F40">
            <v>3509.0409325210971</v>
          </cell>
          <cell r="G40">
            <v>3432.4243182739106</v>
          </cell>
          <cell r="H40">
            <v>2494.6999999999998</v>
          </cell>
          <cell r="I40">
            <v>3862.7</v>
          </cell>
          <cell r="J40">
            <v>2993.9</v>
          </cell>
          <cell r="K40">
            <v>4214.3999999999996</v>
          </cell>
          <cell r="L40">
            <v>3192.6</v>
          </cell>
          <cell r="M40">
            <v>3706.8</v>
          </cell>
          <cell r="N40">
            <v>2741</v>
          </cell>
          <cell r="O40">
            <v>2645</v>
          </cell>
          <cell r="P40">
            <v>3973.2</v>
          </cell>
          <cell r="Q40">
            <v>4407.2</v>
          </cell>
          <cell r="R40">
            <v>4480.6000000000004</v>
          </cell>
          <cell r="S40">
            <v>3400.7440656181602</v>
          </cell>
          <cell r="T40">
            <v>3507.1263158759593</v>
          </cell>
          <cell r="U40">
            <v>3641.4121071849845</v>
          </cell>
          <cell r="V40">
            <v>3787.9056977039199</v>
          </cell>
          <cell r="W40">
            <v>3854.1766077005818</v>
          </cell>
          <cell r="X40">
            <v>3854.1766077005818</v>
          </cell>
          <cell r="Y40">
            <v>2901.1</v>
          </cell>
          <cell r="Z40">
            <v>2886.3</v>
          </cell>
          <cell r="AA40">
            <v>4114.3</v>
          </cell>
          <cell r="AB40">
            <v>4444</v>
          </cell>
          <cell r="AC40">
            <v>4444</v>
          </cell>
          <cell r="AD40">
            <v>4384.1000000000004</v>
          </cell>
          <cell r="AE40">
            <v>4034.9</v>
          </cell>
          <cell r="AF40">
            <v>3967.4</v>
          </cell>
          <cell r="AG40">
            <v>6415.74</v>
          </cell>
          <cell r="AH40">
            <v>3863</v>
          </cell>
          <cell r="AI40">
            <v>3863</v>
          </cell>
          <cell r="AJ40">
            <v>3731.4935476584392</v>
          </cell>
        </row>
        <row r="41">
          <cell r="E41">
            <v>3254.5</v>
          </cell>
          <cell r="F41">
            <v>3555.0109010694082</v>
          </cell>
          <cell r="G41">
            <v>3306</v>
          </cell>
          <cell r="H41">
            <v>2376</v>
          </cell>
          <cell r="I41">
            <v>3743.7</v>
          </cell>
          <cell r="J41">
            <v>2892.7</v>
          </cell>
          <cell r="K41">
            <v>4081.3</v>
          </cell>
          <cell r="L41">
            <v>3043.9</v>
          </cell>
          <cell r="M41">
            <v>3622.4</v>
          </cell>
          <cell r="N41">
            <v>2704</v>
          </cell>
          <cell r="O41">
            <v>2580</v>
          </cell>
          <cell r="P41">
            <v>3820.1</v>
          </cell>
          <cell r="Q41">
            <v>4345.3999999999996</v>
          </cell>
          <cell r="R41">
            <v>4382.7</v>
          </cell>
          <cell r="S41">
            <v>3238.5547332579094</v>
          </cell>
          <cell r="T41">
            <v>3400.7440656181602</v>
          </cell>
          <cell r="U41">
            <v>3524.5660290329756</v>
          </cell>
          <cell r="V41">
            <v>3732.0986156014683</v>
          </cell>
          <cell r="W41">
            <v>3798.3695255981302</v>
          </cell>
          <cell r="X41">
            <v>3798.3695255981302</v>
          </cell>
          <cell r="Y41">
            <v>2775.6</v>
          </cell>
          <cell r="Z41">
            <v>2754.1</v>
          </cell>
          <cell r="AA41">
            <v>3996.4</v>
          </cell>
          <cell r="AB41">
            <v>4279.5</v>
          </cell>
          <cell r="AC41">
            <v>4279.5</v>
          </cell>
          <cell r="AD41">
            <v>4272.2</v>
          </cell>
          <cell r="AE41">
            <v>3879.4</v>
          </cell>
          <cell r="AF41">
            <v>3854.1</v>
          </cell>
          <cell r="AG41">
            <v>6327.45</v>
          </cell>
          <cell r="AH41">
            <v>3710</v>
          </cell>
          <cell r="AI41">
            <v>3710</v>
          </cell>
          <cell r="AJ41">
            <v>3596.1184329061794</v>
          </cell>
        </row>
        <row r="42">
          <cell r="E42">
            <v>3068.9</v>
          </cell>
          <cell r="F42">
            <v>3486.0559482469412</v>
          </cell>
          <cell r="G42">
            <v>3148.9428455593243</v>
          </cell>
          <cell r="H42">
            <v>2235.3000000000002</v>
          </cell>
          <cell r="I42">
            <v>3600.1</v>
          </cell>
          <cell r="J42">
            <v>2763.7</v>
          </cell>
          <cell r="K42">
            <v>3906.7</v>
          </cell>
          <cell r="L42">
            <v>2868.5</v>
          </cell>
          <cell r="M42">
            <v>3486.6</v>
          </cell>
          <cell r="N42">
            <v>2660</v>
          </cell>
          <cell r="O42">
            <v>2492</v>
          </cell>
          <cell r="P42">
            <v>3624.7</v>
          </cell>
          <cell r="Q42">
            <v>4272.5</v>
          </cell>
          <cell r="R42">
            <v>4265.3999999999996</v>
          </cell>
          <cell r="S42">
            <v>3008.3505195852958</v>
          </cell>
          <cell r="T42">
            <v>3191.4675077339662</v>
          </cell>
          <cell r="U42">
            <v>3353.6568400942169</v>
          </cell>
          <cell r="V42">
            <v>3592.5809103453389</v>
          </cell>
          <cell r="W42">
            <v>3662.3397629734036</v>
          </cell>
          <cell r="X42">
            <v>3662.3397629734036</v>
          </cell>
          <cell r="Y42">
            <v>2582.1999999999998</v>
          </cell>
          <cell r="Z42">
            <v>2620.8000000000002</v>
          </cell>
          <cell r="AA42">
            <v>3850.6</v>
          </cell>
          <cell r="AB42">
            <v>4084.2</v>
          </cell>
          <cell r="AC42">
            <v>4084.2</v>
          </cell>
          <cell r="AD42">
            <v>4120.3999999999996</v>
          </cell>
          <cell r="AE42">
            <v>3705.7</v>
          </cell>
          <cell r="AF42">
            <v>3719.4</v>
          </cell>
          <cell r="AG42">
            <v>6209.73</v>
          </cell>
          <cell r="AH42">
            <v>3509</v>
          </cell>
          <cell r="AI42">
            <v>3509</v>
          </cell>
          <cell r="AJ42">
            <v>3429.5029070572446</v>
          </cell>
        </row>
        <row r="43">
          <cell r="E43">
            <v>2882.7</v>
          </cell>
          <cell r="F43">
            <v>3256.2061055053846</v>
          </cell>
          <cell r="G43">
            <v>2912</v>
          </cell>
          <cell r="H43">
            <v>2064.21</v>
          </cell>
          <cell r="I43">
            <v>3371.1</v>
          </cell>
          <cell r="J43">
            <v>2634.4</v>
          </cell>
          <cell r="K43">
            <v>3685.7</v>
          </cell>
          <cell r="L43">
            <v>2691.3</v>
          </cell>
          <cell r="M43">
            <v>3289.3</v>
          </cell>
          <cell r="N43">
            <v>2550</v>
          </cell>
          <cell r="O43">
            <v>2374</v>
          </cell>
          <cell r="P43">
            <v>3375.5</v>
          </cell>
          <cell r="Q43">
            <v>4187.5</v>
          </cell>
          <cell r="R43">
            <v>4145.2</v>
          </cell>
          <cell r="S43">
            <v>2741.5229082829478</v>
          </cell>
          <cell r="T43">
            <v>2950.7994661671419</v>
          </cell>
          <cell r="U43">
            <v>3161.8199953670387</v>
          </cell>
          <cell r="V43">
            <v>3400.7440656181602</v>
          </cell>
          <cell r="W43">
            <v>3484.4546887718384</v>
          </cell>
          <cell r="X43">
            <v>3484.4546887718384</v>
          </cell>
          <cell r="Y43">
            <v>2341.6999999999998</v>
          </cell>
          <cell r="Z43">
            <v>2452.6</v>
          </cell>
          <cell r="AA43">
            <v>3696.2</v>
          </cell>
          <cell r="AB43">
            <v>3603.2</v>
          </cell>
          <cell r="AC43">
            <v>3603.2</v>
          </cell>
          <cell r="AD43">
            <v>3901.4</v>
          </cell>
          <cell r="AE43">
            <v>3469.7</v>
          </cell>
          <cell r="AF43">
            <v>3457.3</v>
          </cell>
          <cell r="AG43">
            <v>6042.96</v>
          </cell>
          <cell r="AH43">
            <v>3273</v>
          </cell>
          <cell r="AI43">
            <v>3273</v>
          </cell>
          <cell r="AJ43">
            <v>3217.7623429575565</v>
          </cell>
        </row>
        <row r="44">
          <cell r="E44">
            <v>2661.2</v>
          </cell>
          <cell r="F44">
            <v>2873.1230342694571</v>
          </cell>
          <cell r="G44">
            <v>2704.5664829256489</v>
          </cell>
          <cell r="H44">
            <v>1871.4</v>
          </cell>
          <cell r="I44">
            <v>3101.1</v>
          </cell>
          <cell r="J44">
            <v>2432.4</v>
          </cell>
          <cell r="K44">
            <v>3435.1</v>
          </cell>
          <cell r="L44">
            <v>2500.6</v>
          </cell>
          <cell r="M44">
            <v>3066.1</v>
          </cell>
          <cell r="N44">
            <v>2418</v>
          </cell>
          <cell r="O44">
            <v>2220</v>
          </cell>
          <cell r="P44">
            <v>3089.8</v>
          </cell>
          <cell r="Q44">
            <v>4091</v>
          </cell>
          <cell r="R44">
            <v>3997.3</v>
          </cell>
          <cell r="S44">
            <v>2424.1201288252528</v>
          </cell>
          <cell r="T44">
            <v>2685.7158261804962</v>
          </cell>
          <cell r="U44">
            <v>2935.1037243258279</v>
          </cell>
          <cell r="V44">
            <v>3156.5880814199336</v>
          </cell>
          <cell r="W44">
            <v>3247.2745898364178</v>
          </cell>
          <cell r="X44">
            <v>3247.2745898364178</v>
          </cell>
          <cell r="Y44">
            <v>2137</v>
          </cell>
          <cell r="Z44">
            <v>2273.6</v>
          </cell>
          <cell r="AA44">
            <v>3513.5</v>
          </cell>
          <cell r="AB44">
            <v>3221.4</v>
          </cell>
          <cell r="AC44">
            <v>3221.4</v>
          </cell>
          <cell r="AD44">
            <v>3649.5</v>
          </cell>
          <cell r="AE44">
            <v>3206.9</v>
          </cell>
          <cell r="AF44">
            <v>3164.2</v>
          </cell>
          <cell r="AG44">
            <v>5827.14</v>
          </cell>
          <cell r="AH44">
            <v>2953</v>
          </cell>
          <cell r="AI44">
            <v>2953</v>
          </cell>
          <cell r="AJ44">
            <v>2971.3102109726733</v>
          </cell>
        </row>
        <row r="45">
          <cell r="E45">
            <v>2450.3000000000002</v>
          </cell>
          <cell r="F45">
            <v>2382.7767030874697</v>
          </cell>
          <cell r="G45">
            <v>2175.9118446200682</v>
          </cell>
          <cell r="H45">
            <v>1654</v>
          </cell>
          <cell r="I45">
            <v>2780</v>
          </cell>
          <cell r="J45">
            <v>2207.1999999999998</v>
          </cell>
          <cell r="K45">
            <v>3167.5</v>
          </cell>
          <cell r="L45">
            <v>2344.6999999999998</v>
          </cell>
          <cell r="M45">
            <v>2804.5</v>
          </cell>
          <cell r="N45">
            <v>2191</v>
          </cell>
          <cell r="O45">
            <v>2052</v>
          </cell>
          <cell r="P45">
            <v>2735.7</v>
          </cell>
          <cell r="Q45">
            <v>3974.8</v>
          </cell>
          <cell r="R45">
            <v>3858.3</v>
          </cell>
          <cell r="S45">
            <v>2066.6060091064205</v>
          </cell>
          <cell r="T45">
            <v>2397.9605590897286</v>
          </cell>
          <cell r="U45">
            <v>2682.2278835490929</v>
          </cell>
          <cell r="V45">
            <v>2856.6250151192548</v>
          </cell>
          <cell r="W45">
            <v>2964.7512366927554</v>
          </cell>
          <cell r="X45">
            <v>2964.7512366927554</v>
          </cell>
          <cell r="Y45">
            <v>1864.4</v>
          </cell>
          <cell r="Z45">
            <v>2084.5</v>
          </cell>
          <cell r="AA45">
            <v>3335.8</v>
          </cell>
          <cell r="AB45">
            <v>2725</v>
          </cell>
          <cell r="AC45">
            <v>2725</v>
          </cell>
          <cell r="AD45">
            <v>3339.7</v>
          </cell>
          <cell r="AE45">
            <v>2896.6</v>
          </cell>
          <cell r="AF45">
            <v>2804.5</v>
          </cell>
          <cell r="AG45">
            <v>5562.27</v>
          </cell>
          <cell r="AH45">
            <v>2595</v>
          </cell>
          <cell r="AI45">
            <v>2595</v>
          </cell>
          <cell r="AJ45">
            <v>2690.1465111025955</v>
          </cell>
        </row>
        <row r="46">
          <cell r="E46">
            <v>2208.8000000000002</v>
          </cell>
          <cell r="F46">
            <v>1792.8287733841412</v>
          </cell>
          <cell r="G46">
            <v>1639.5955448897701</v>
          </cell>
          <cell r="H46">
            <v>1422.9</v>
          </cell>
          <cell r="I46">
            <v>2418</v>
          </cell>
          <cell r="J46">
            <v>1972.8</v>
          </cell>
          <cell r="K46">
            <v>2869.2</v>
          </cell>
          <cell r="L46">
            <v>2202.5</v>
          </cell>
          <cell r="M46">
            <v>2525.4</v>
          </cell>
          <cell r="N46">
            <v>1979</v>
          </cell>
          <cell r="O46">
            <v>1810</v>
          </cell>
          <cell r="P46">
            <v>2370</v>
          </cell>
          <cell r="Q46">
            <v>3876.7</v>
          </cell>
          <cell r="R46">
            <v>3688</v>
          </cell>
          <cell r="S46">
            <v>1656.7727499165396</v>
          </cell>
          <cell r="T46">
            <v>2092.7655788419447</v>
          </cell>
          <cell r="U46">
            <v>2413.656300931043</v>
          </cell>
          <cell r="V46">
            <v>2495.6229527690193</v>
          </cell>
          <cell r="W46">
            <v>2631.6527153937459</v>
          </cell>
          <cell r="X46">
            <v>2631.6527153937459</v>
          </cell>
          <cell r="Y46">
            <v>1607</v>
          </cell>
          <cell r="Z46">
            <v>1882.7</v>
          </cell>
          <cell r="AA46">
            <v>3088.9</v>
          </cell>
          <cell r="AB46">
            <v>2041</v>
          </cell>
          <cell r="AC46">
            <v>2041</v>
          </cell>
          <cell r="AD46">
            <v>2999.1</v>
          </cell>
          <cell r="AE46">
            <v>2560.4</v>
          </cell>
          <cell r="AF46">
            <v>2463.6</v>
          </cell>
          <cell r="AG46">
            <v>5267.97</v>
          </cell>
          <cell r="AH46">
            <v>2189</v>
          </cell>
          <cell r="AI46">
            <v>2189</v>
          </cell>
          <cell r="AJ46">
            <v>2349.9731458276869</v>
          </cell>
        </row>
        <row r="47">
          <cell r="E47">
            <v>2310.8000000000002</v>
          </cell>
          <cell r="F47">
            <v>1164.57253655722</v>
          </cell>
          <cell r="G47">
            <v>1072.632599460597</v>
          </cell>
          <cell r="H47">
            <v>1221.3</v>
          </cell>
          <cell r="I47">
            <v>833.5</v>
          </cell>
          <cell r="J47">
            <v>1348.8</v>
          </cell>
          <cell r="K47">
            <v>3089.8</v>
          </cell>
          <cell r="L47">
            <v>2054.1999999999998</v>
          </cell>
          <cell r="M47">
            <v>2195.1</v>
          </cell>
          <cell r="N47">
            <v>1649</v>
          </cell>
          <cell r="O47">
            <v>1363</v>
          </cell>
          <cell r="P47">
            <v>1804.3</v>
          </cell>
          <cell r="Q47">
            <v>3426.9</v>
          </cell>
          <cell r="R47">
            <v>4396.8999999999996</v>
          </cell>
          <cell r="S47">
            <v>1220.7799209911345</v>
          </cell>
          <cell r="T47">
            <v>1749.2032296487255</v>
          </cell>
          <cell r="U47">
            <v>2115.4372059460661</v>
          </cell>
          <cell r="V47">
            <v>2097.9974927890498</v>
          </cell>
          <cell r="W47">
            <v>2249.7229972550908</v>
          </cell>
          <cell r="X47">
            <v>2249.7229972550908</v>
          </cell>
          <cell r="Y47">
            <v>1236.4000000000001</v>
          </cell>
          <cell r="Z47">
            <v>1334.8</v>
          </cell>
          <cell r="AA47">
            <v>3380.7</v>
          </cell>
          <cell r="AB47">
            <v>1522.3</v>
          </cell>
          <cell r="AC47">
            <v>1522.3</v>
          </cell>
          <cell r="AD47">
            <v>2016</v>
          </cell>
          <cell r="AE47">
            <v>2237.6</v>
          </cell>
          <cell r="AF47">
            <v>2308</v>
          </cell>
          <cell r="AG47">
            <v>4905</v>
          </cell>
          <cell r="AH47">
            <v>1727</v>
          </cell>
          <cell r="AI47">
            <v>1727</v>
          </cell>
          <cell r="AJ47">
            <v>1985.5016830331415</v>
          </cell>
        </row>
        <row r="48">
          <cell r="E48">
            <v>3240.3</v>
          </cell>
          <cell r="F48">
            <v>3179.5894912581994</v>
          </cell>
          <cell r="G48">
            <v>3179.5894912581984</v>
          </cell>
          <cell r="H48">
            <v>2325.6999999999998</v>
          </cell>
          <cell r="I48">
            <v>3976.8</v>
          </cell>
          <cell r="J48">
            <v>2850.5</v>
          </cell>
          <cell r="K48">
            <v>3799.1</v>
          </cell>
          <cell r="L48">
            <v>3199.6</v>
          </cell>
          <cell r="M48">
            <v>3125.2</v>
          </cell>
          <cell r="N48">
            <v>2213</v>
          </cell>
          <cell r="O48">
            <v>2345</v>
          </cell>
          <cell r="P48">
            <v>4166.8</v>
          </cell>
          <cell r="Q48">
            <v>3884</v>
          </cell>
          <cell r="R48">
            <v>4450.7</v>
          </cell>
          <cell r="S48">
            <v>3139.1483682629173</v>
          </cell>
          <cell r="T48">
            <v>3156.5880814199336</v>
          </cell>
          <cell r="U48">
            <v>3231.5788479951034</v>
          </cell>
          <cell r="V48">
            <v>3351.9128687785151</v>
          </cell>
          <cell r="W48">
            <v>3435.6234919321928</v>
          </cell>
          <cell r="X48">
            <v>3435.6234919321928</v>
          </cell>
          <cell r="Y48">
            <v>2902.2</v>
          </cell>
          <cell r="Z48">
            <v>2954.7</v>
          </cell>
          <cell r="AA48">
            <v>4325</v>
          </cell>
          <cell r="AB48">
            <v>4429.7</v>
          </cell>
          <cell r="AC48">
            <v>4429.7</v>
          </cell>
          <cell r="AD48">
            <v>4813.3</v>
          </cell>
          <cell r="AE48">
            <v>3930.4</v>
          </cell>
          <cell r="AF48">
            <v>3826.1</v>
          </cell>
          <cell r="AG48">
            <v>5258.16</v>
          </cell>
          <cell r="AH48">
            <v>3953</v>
          </cell>
          <cell r="AI48">
            <v>3953</v>
          </cell>
          <cell r="AJ48">
            <v>3880.7532895647769</v>
          </cell>
        </row>
        <row r="49">
          <cell r="E49">
            <v>3745.1</v>
          </cell>
          <cell r="G49">
            <v>3455.409302548067</v>
          </cell>
          <cell r="H49">
            <v>2766.8</v>
          </cell>
          <cell r="I49">
            <v>4249</v>
          </cell>
          <cell r="J49">
            <v>3094.9</v>
          </cell>
          <cell r="K49">
            <v>4453.1000000000004</v>
          </cell>
          <cell r="L49">
            <v>3596.4</v>
          </cell>
          <cell r="M49">
            <v>3844.5</v>
          </cell>
          <cell r="N49">
            <v>2616</v>
          </cell>
          <cell r="O49">
            <v>2682</v>
          </cell>
          <cell r="P49">
            <v>4268.3999999999996</v>
          </cell>
          <cell r="Q49">
            <v>4507.1000000000004</v>
          </cell>
          <cell r="R49">
            <v>4762</v>
          </cell>
          <cell r="S49">
            <v>3319.6684168767215</v>
          </cell>
          <cell r="T49">
            <v>3426.6198517240964</v>
          </cell>
          <cell r="U49">
            <v>3590.9805410955937</v>
          </cell>
          <cell r="V49">
            <v>3597.2738044866751</v>
          </cell>
          <cell r="W49">
            <v>3722.1015815749147</v>
          </cell>
          <cell r="X49">
            <v>3722.1015815749147</v>
          </cell>
          <cell r="Y49">
            <v>3304.3</v>
          </cell>
          <cell r="Z49">
            <v>3339.3</v>
          </cell>
          <cell r="AA49">
            <v>4499.3999999999996</v>
          </cell>
          <cell r="AB49">
            <v>4729.6000000000004</v>
          </cell>
          <cell r="AC49">
            <v>4729.6000000000004</v>
          </cell>
          <cell r="AD49">
            <v>4743.6000000000004</v>
          </cell>
          <cell r="AE49">
            <v>4269.3999999999996</v>
          </cell>
          <cell r="AF49">
            <v>4252.2</v>
          </cell>
          <cell r="AG49">
            <v>5655.1047178095614</v>
          </cell>
          <cell r="AH49">
            <v>4082</v>
          </cell>
          <cell r="AI49">
            <v>4082</v>
          </cell>
          <cell r="AJ49">
            <v>3918.9360142384908</v>
          </cell>
        </row>
        <row r="50">
          <cell r="E50">
            <v>3516.2</v>
          </cell>
          <cell r="F50">
            <v>3296.046744913921</v>
          </cell>
          <cell r="G50">
            <v>3452.344637978179</v>
          </cell>
          <cell r="H50">
            <v>2491.5</v>
          </cell>
          <cell r="I50">
            <v>4042.1</v>
          </cell>
          <cell r="J50">
            <v>2960.9</v>
          </cell>
          <cell r="K50">
            <v>4308.6000000000004</v>
          </cell>
          <cell r="L50">
            <v>3329.8</v>
          </cell>
          <cell r="M50">
            <v>3658.5</v>
          </cell>
          <cell r="N50">
            <v>2645</v>
          </cell>
          <cell r="O50">
            <v>2638</v>
          </cell>
          <cell r="P50">
            <v>4146.5</v>
          </cell>
          <cell r="Q50">
            <v>4382.5</v>
          </cell>
          <cell r="R50">
            <v>4473.8</v>
          </cell>
          <cell r="S50">
            <v>3373.8432062999887</v>
          </cell>
          <cell r="T50">
            <v>3439.4588792105387</v>
          </cell>
          <cell r="U50">
            <v>3607.8121581921027</v>
          </cell>
          <cell r="V50">
            <v>3689.8146548789759</v>
          </cell>
          <cell r="W50">
            <v>3781.0985768049882</v>
          </cell>
          <cell r="X50">
            <v>3781.0985768049882</v>
          </cell>
          <cell r="Y50">
            <v>3007.1</v>
          </cell>
          <cell r="Z50">
            <v>2874.2</v>
          </cell>
          <cell r="AA50">
            <v>4206.3999999999996</v>
          </cell>
          <cell r="AB50">
            <v>4604.1000000000004</v>
          </cell>
          <cell r="AC50">
            <v>4604.1000000000004</v>
          </cell>
          <cell r="AD50">
            <v>4429.7</v>
          </cell>
          <cell r="AE50">
            <v>4121.7</v>
          </cell>
          <cell r="AF50">
            <v>4060.9</v>
          </cell>
          <cell r="AG50">
            <v>5982.6588712382463</v>
          </cell>
          <cell r="AH50">
            <v>4030</v>
          </cell>
          <cell r="AI50">
            <v>4030</v>
          </cell>
          <cell r="AJ50">
            <v>3880.7532895647769</v>
          </cell>
        </row>
        <row r="51">
          <cell r="E51">
            <v>3380</v>
          </cell>
          <cell r="F51">
            <v>3392.5836788653751</v>
          </cell>
          <cell r="G51">
            <v>3389</v>
          </cell>
          <cell r="H51">
            <v>2387.1999999999998</v>
          </cell>
          <cell r="I51">
            <v>3934.2</v>
          </cell>
          <cell r="J51">
            <v>2888.6</v>
          </cell>
          <cell r="K51">
            <v>4200.2</v>
          </cell>
          <cell r="L51">
            <v>3186</v>
          </cell>
          <cell r="M51">
            <v>3571.6</v>
          </cell>
          <cell r="N51">
            <v>2660</v>
          </cell>
          <cell r="O51">
            <v>2536</v>
          </cell>
          <cell r="P51">
            <v>4032.7</v>
          </cell>
          <cell r="Q51">
            <v>4341</v>
          </cell>
          <cell r="R51">
            <v>4337.7</v>
          </cell>
          <cell r="S51">
            <v>3397.4058365006472</v>
          </cell>
          <cell r="T51">
            <v>3439.1254606313878</v>
          </cell>
          <cell r="U51">
            <v>3594.6535383531086</v>
          </cell>
          <cell r="V51">
            <v>3735.3050699673713</v>
          </cell>
          <cell r="W51">
            <v>3789.5571940997529</v>
          </cell>
          <cell r="X51">
            <v>3789.5571940997529</v>
          </cell>
          <cell r="Y51">
            <v>2888.2</v>
          </cell>
          <cell r="Z51">
            <v>2788.6</v>
          </cell>
          <cell r="AA51">
            <v>4080.9</v>
          </cell>
          <cell r="AB51">
            <v>4459</v>
          </cell>
          <cell r="AC51">
            <v>4459</v>
          </cell>
          <cell r="AD51">
            <v>4302.7</v>
          </cell>
          <cell r="AE51">
            <v>4034.8</v>
          </cell>
          <cell r="AF51">
            <v>3963.5</v>
          </cell>
          <cell r="AG51">
            <v>6181.962460286054</v>
          </cell>
          <cell r="AH51">
            <v>3936</v>
          </cell>
          <cell r="AI51">
            <v>3936</v>
          </cell>
          <cell r="AJ51">
            <v>3793.9743698517896</v>
          </cell>
        </row>
        <row r="52">
          <cell r="E52">
            <v>3221.5</v>
          </cell>
          <cell r="F52">
            <v>3455.409302548067</v>
          </cell>
          <cell r="G52">
            <v>3279.1910897795401</v>
          </cell>
          <cell r="H52">
            <v>2261.6</v>
          </cell>
          <cell r="I52">
            <v>3816.3</v>
          </cell>
          <cell r="J52">
            <v>2787.2</v>
          </cell>
          <cell r="K52">
            <v>4059.4</v>
          </cell>
          <cell r="L52">
            <v>3002.4</v>
          </cell>
          <cell r="M52">
            <v>3472.4</v>
          </cell>
          <cell r="N52">
            <v>2623</v>
          </cell>
          <cell r="O52">
            <v>2470</v>
          </cell>
          <cell r="P52">
            <v>3892.4</v>
          </cell>
          <cell r="Q52">
            <v>4287</v>
          </cell>
          <cell r="R52">
            <v>4185.5</v>
          </cell>
          <cell r="S52">
            <v>3320.5974548506315</v>
          </cell>
          <cell r="T52">
            <v>3408.1798828296269</v>
          </cell>
          <cell r="U52">
            <v>3528.8330544744908</v>
          </cell>
          <cell r="V52">
            <v>3709.3294513320388</v>
          </cell>
          <cell r="W52">
            <v>3752.7093474063136</v>
          </cell>
          <cell r="X52">
            <v>3752.7093474063136</v>
          </cell>
          <cell r="Y52">
            <v>2725.6</v>
          </cell>
          <cell r="Z52">
            <v>2694.8</v>
          </cell>
          <cell r="AA52">
            <v>3913.5</v>
          </cell>
          <cell r="AB52">
            <v>4234.3</v>
          </cell>
          <cell r="AC52">
            <v>4234.3</v>
          </cell>
          <cell r="AD52">
            <v>4107.3999999999996</v>
          </cell>
          <cell r="AE52">
            <v>3883.5</v>
          </cell>
          <cell r="AF52">
            <v>3833.9</v>
          </cell>
          <cell r="AG52">
            <v>6174.5354849529849</v>
          </cell>
          <cell r="AH52">
            <v>3804</v>
          </cell>
          <cell r="AI52">
            <v>3804</v>
          </cell>
          <cell r="AJ52">
            <v>3672.483882253608</v>
          </cell>
        </row>
        <row r="53">
          <cell r="E53">
            <v>3063</v>
          </cell>
          <cell r="F53">
            <v>3460.0062994028985</v>
          </cell>
          <cell r="G53">
            <v>3121.7</v>
          </cell>
          <cell r="H53">
            <v>2111.9</v>
          </cell>
          <cell r="I53">
            <v>3686.6</v>
          </cell>
          <cell r="J53">
            <v>2662.3</v>
          </cell>
          <cell r="K53">
            <v>3888.2</v>
          </cell>
          <cell r="L53">
            <v>2797.8</v>
          </cell>
          <cell r="M53">
            <v>3343.5</v>
          </cell>
          <cell r="N53">
            <v>2550</v>
          </cell>
          <cell r="O53">
            <v>2382</v>
          </cell>
          <cell r="P53">
            <v>3711.5</v>
          </cell>
          <cell r="Q53">
            <v>4206</v>
          </cell>
          <cell r="R53">
            <v>4017.2</v>
          </cell>
          <cell r="S53">
            <v>3129.4662908243281</v>
          </cell>
          <cell r="T53">
            <v>3269.8874079143861</v>
          </cell>
          <cell r="U53">
            <v>3380.7031941893206</v>
          </cell>
          <cell r="V53">
            <v>3622.3516268671883</v>
          </cell>
          <cell r="W53">
            <v>3661.8351801461631</v>
          </cell>
          <cell r="X53">
            <v>3661.8351801461631</v>
          </cell>
          <cell r="Y53">
            <v>2578.8000000000002</v>
          </cell>
          <cell r="Z53">
            <v>2535.6999999999998</v>
          </cell>
          <cell r="AA53">
            <v>3744.6</v>
          </cell>
          <cell r="AB53">
            <v>3981.8</v>
          </cell>
          <cell r="AC53">
            <v>3981.8</v>
          </cell>
          <cell r="AD53">
            <v>3919</v>
          </cell>
          <cell r="AE53">
            <v>3688.7</v>
          </cell>
          <cell r="AF53">
            <v>3695.7</v>
          </cell>
          <cell r="AG53">
            <v>6022.1755356436206</v>
          </cell>
          <cell r="AH53">
            <v>3630</v>
          </cell>
          <cell r="AI53">
            <v>3630</v>
          </cell>
          <cell r="AJ53">
            <v>3519.7529835587511</v>
          </cell>
        </row>
        <row r="54">
          <cell r="E54">
            <v>2844.7</v>
          </cell>
          <cell r="F54">
            <v>3334.3550520375138</v>
          </cell>
          <cell r="G54">
            <v>2934.416325667205</v>
          </cell>
          <cell r="H54">
            <v>1938.1</v>
          </cell>
          <cell r="I54">
            <v>3531.1</v>
          </cell>
          <cell r="J54">
            <v>2506.6999999999998</v>
          </cell>
          <cell r="K54">
            <v>3668.3</v>
          </cell>
          <cell r="L54">
            <v>2554.6999999999998</v>
          </cell>
          <cell r="M54">
            <v>3150</v>
          </cell>
          <cell r="N54">
            <v>2477</v>
          </cell>
          <cell r="O54">
            <v>2250</v>
          </cell>
          <cell r="P54">
            <v>3481.8</v>
          </cell>
          <cell r="Q54">
            <v>4112.5</v>
          </cell>
          <cell r="R54">
            <v>3828.1</v>
          </cell>
          <cell r="S54">
            <v>2865.8676559985774</v>
          </cell>
          <cell r="T54">
            <v>3024.2480358856646</v>
          </cell>
          <cell r="U54">
            <v>3174.6795559174211</v>
          </cell>
          <cell r="V54">
            <v>3446.4680555215928</v>
          </cell>
          <cell r="W54">
            <v>3485.5432086366714</v>
          </cell>
          <cell r="X54">
            <v>3485.5432086366714</v>
          </cell>
          <cell r="Y54">
            <v>2355</v>
          </cell>
          <cell r="Z54">
            <v>2372.5</v>
          </cell>
          <cell r="AA54">
            <v>3536.8</v>
          </cell>
          <cell r="AB54">
            <v>3683.3</v>
          </cell>
          <cell r="AC54">
            <v>3683.3</v>
          </cell>
          <cell r="AD54">
            <v>3655.4</v>
          </cell>
          <cell r="AE54">
            <v>3471.3</v>
          </cell>
          <cell r="AF54">
            <v>3533.9</v>
          </cell>
          <cell r="AG54">
            <v>5832.8479452390375</v>
          </cell>
          <cell r="AH54">
            <v>3405</v>
          </cell>
          <cell r="AI54">
            <v>3405</v>
          </cell>
          <cell r="AJ54">
            <v>3335.7816737672188</v>
          </cell>
        </row>
        <row r="55">
          <cell r="E55">
            <v>2625.1</v>
          </cell>
          <cell r="F55">
            <v>3041.6795856132653</v>
          </cell>
          <cell r="G55">
            <v>2654.5</v>
          </cell>
          <cell r="H55">
            <v>1729.1</v>
          </cell>
          <cell r="I55">
            <v>3286.1</v>
          </cell>
          <cell r="J55">
            <v>2352.8000000000002</v>
          </cell>
          <cell r="K55">
            <v>3397.3</v>
          </cell>
          <cell r="L55">
            <v>2311.6</v>
          </cell>
          <cell r="M55">
            <v>2884.6</v>
          </cell>
          <cell r="N55">
            <v>2323</v>
          </cell>
          <cell r="O55">
            <v>2089</v>
          </cell>
          <cell r="P55">
            <v>3191.2</v>
          </cell>
          <cell r="Q55">
            <v>4008.6</v>
          </cell>
          <cell r="R55">
            <v>3629.8</v>
          </cell>
          <cell r="S55">
            <v>2561.1930340560075</v>
          </cell>
          <cell r="T55">
            <v>2742.764590687229</v>
          </cell>
          <cell r="U55">
            <v>2943.8975946571227</v>
          </cell>
          <cell r="V55">
            <v>3213.0702209778829</v>
          </cell>
          <cell r="W55">
            <v>3262.2008018232741</v>
          </cell>
          <cell r="X55">
            <v>3262.2008018232741</v>
          </cell>
          <cell r="Y55">
            <v>2073.5</v>
          </cell>
          <cell r="Z55">
            <v>2173.1999999999998</v>
          </cell>
          <cell r="AA55">
            <v>3313.5</v>
          </cell>
          <cell r="AB55">
            <v>2949.4</v>
          </cell>
          <cell r="AC55">
            <v>2949.4</v>
          </cell>
          <cell r="AD55">
            <v>3278.7</v>
          </cell>
          <cell r="AE55">
            <v>3177.4</v>
          </cell>
          <cell r="AF55">
            <v>3220</v>
          </cell>
          <cell r="AG55">
            <v>5586.9327137392356</v>
          </cell>
          <cell r="AH55">
            <v>3141</v>
          </cell>
          <cell r="AI55">
            <v>3141</v>
          </cell>
          <cell r="AJ55">
            <v>3096.2718553593745</v>
          </cell>
        </row>
        <row r="56">
          <cell r="E56">
            <v>2368</v>
          </cell>
          <cell r="F56">
            <v>2580.4475678452086</v>
          </cell>
          <cell r="G56">
            <v>2413.4233487863435</v>
          </cell>
          <cell r="H56">
            <v>1497</v>
          </cell>
          <cell r="I56">
            <v>2998.5</v>
          </cell>
          <cell r="J56">
            <v>2115.6999999999998</v>
          </cell>
          <cell r="K56">
            <v>3091.9</v>
          </cell>
          <cell r="L56">
            <v>2048.6999999999998</v>
          </cell>
          <cell r="M56">
            <v>2587</v>
          </cell>
          <cell r="N56">
            <v>2154</v>
          </cell>
          <cell r="O56">
            <v>1891</v>
          </cell>
          <cell r="P56">
            <v>2855.8</v>
          </cell>
          <cell r="Q56">
            <v>3892.3</v>
          </cell>
          <cell r="R56">
            <v>3389.9</v>
          </cell>
          <cell r="S56">
            <v>2201.4906544710057</v>
          </cell>
          <cell r="T56">
            <v>2432.4129575818856</v>
          </cell>
          <cell r="U56">
            <v>2674.4055398828136</v>
          </cell>
          <cell r="V56">
            <v>2922.1581232360568</v>
          </cell>
          <cell r="W56">
            <v>2974.3682465489546</v>
          </cell>
          <cell r="X56">
            <v>2974.3682465489546</v>
          </cell>
          <cell r="Y56">
            <v>1835.7</v>
          </cell>
          <cell r="Z56">
            <v>1963.4</v>
          </cell>
          <cell r="AA56">
            <v>3048.5</v>
          </cell>
          <cell r="AB56">
            <v>2346.6999999999998</v>
          </cell>
          <cell r="AC56">
            <v>2346.6999999999998</v>
          </cell>
          <cell r="AD56">
            <v>2846.2</v>
          </cell>
          <cell r="AE56">
            <v>2805.4</v>
          </cell>
          <cell r="AF56">
            <v>2868.7</v>
          </cell>
          <cell r="AG56">
            <v>5284.4298411442142</v>
          </cell>
          <cell r="AH56">
            <v>2793</v>
          </cell>
          <cell r="AI56">
            <v>2793</v>
          </cell>
          <cell r="AJ56">
            <v>2804.6946851237385</v>
          </cell>
        </row>
        <row r="57">
          <cell r="E57">
            <v>2121.5</v>
          </cell>
          <cell r="F57">
            <v>1999.6936318515422</v>
          </cell>
          <cell r="G57">
            <v>1792.828773384141</v>
          </cell>
          <cell r="H57">
            <v>1237.7</v>
          </cell>
          <cell r="I57">
            <v>2656.9</v>
          </cell>
          <cell r="J57">
            <v>1853.3</v>
          </cell>
          <cell r="K57">
            <v>2764.6</v>
          </cell>
          <cell r="L57">
            <v>1831.7</v>
          </cell>
          <cell r="M57">
            <v>2244.6999999999998</v>
          </cell>
          <cell r="N57">
            <v>1883</v>
          </cell>
          <cell r="O57">
            <v>1744</v>
          </cell>
          <cell r="P57">
            <v>2449.3000000000002</v>
          </cell>
          <cell r="Q57">
            <v>3755.3</v>
          </cell>
          <cell r="R57">
            <v>3159.3</v>
          </cell>
          <cell r="S57">
            <v>1797.2243451377813</v>
          </cell>
          <cell r="T57">
            <v>2094.937107885336</v>
          </cell>
          <cell r="U57">
            <v>2374.923248173001</v>
          </cell>
          <cell r="V57">
            <v>2570.2438196647131</v>
          </cell>
          <cell r="W57">
            <v>2635.9973133393273</v>
          </cell>
          <cell r="X57">
            <v>2635.9973133393273</v>
          </cell>
          <cell r="Y57">
            <v>1521</v>
          </cell>
          <cell r="Z57">
            <v>1739.6</v>
          </cell>
          <cell r="AA57">
            <v>2787.6</v>
          </cell>
          <cell r="AB57">
            <v>1576.5</v>
          </cell>
          <cell r="AC57">
            <v>1576.5</v>
          </cell>
          <cell r="AD57">
            <v>2323.1999999999998</v>
          </cell>
          <cell r="AE57">
            <v>2469.6</v>
          </cell>
          <cell r="AF57">
            <v>2440.9</v>
          </cell>
          <cell r="AG57">
            <v>4925.3393274539731</v>
          </cell>
          <cell r="AH57">
            <v>2414</v>
          </cell>
          <cell r="AI57">
            <v>2414</v>
          </cell>
          <cell r="AJ57">
            <v>2454.1078494832714</v>
          </cell>
        </row>
        <row r="58">
          <cell r="E58">
            <v>1837.3</v>
          </cell>
          <cell r="F58">
            <v>1156.9108751325014</v>
          </cell>
          <cell r="G58">
            <v>1156.9108751325014</v>
          </cell>
          <cell r="H58">
            <v>962.4</v>
          </cell>
          <cell r="I58">
            <v>2272.5</v>
          </cell>
          <cell r="J58">
            <v>1581.8</v>
          </cell>
          <cell r="K58">
            <v>2397.8000000000002</v>
          </cell>
          <cell r="L58">
            <v>1624.6</v>
          </cell>
          <cell r="M58">
            <v>1885</v>
          </cell>
          <cell r="N58">
            <v>1634</v>
          </cell>
          <cell r="O58">
            <v>1363</v>
          </cell>
          <cell r="P58">
            <v>2022.4</v>
          </cell>
          <cell r="Q58">
            <v>3638.9</v>
          </cell>
          <cell r="R58">
            <v>2882.6</v>
          </cell>
          <cell r="S58">
            <v>1336.1863068464233</v>
          </cell>
          <cell r="T58">
            <v>1735.5689555446857</v>
          </cell>
          <cell r="U58">
            <v>2055.9145474218949</v>
          </cell>
          <cell r="V58">
            <v>2152.0953963167458</v>
          </cell>
          <cell r="W58">
            <v>2241.8560882472862</v>
          </cell>
          <cell r="X58">
            <v>2241.8560882472862</v>
          </cell>
          <cell r="Y58">
            <v>1223.8</v>
          </cell>
          <cell r="Z58">
            <v>1503.6</v>
          </cell>
          <cell r="AA58">
            <v>2419.1999999999998</v>
          </cell>
          <cell r="AB58">
            <v>558.1</v>
          </cell>
          <cell r="AC58">
            <v>558.1</v>
          </cell>
          <cell r="AD58">
            <v>1744</v>
          </cell>
          <cell r="AE58">
            <v>2052.1999999999998</v>
          </cell>
          <cell r="AF58">
            <v>2036.5</v>
          </cell>
          <cell r="AG58">
            <v>4529.281172668514</v>
          </cell>
          <cell r="AH58">
            <v>1956</v>
          </cell>
          <cell r="AI58">
            <v>1956</v>
          </cell>
          <cell r="AJ58">
            <v>2020.2132509183364</v>
          </cell>
        </row>
        <row r="59">
          <cell r="E59">
            <v>1901.9</v>
          </cell>
          <cell r="F59">
            <v>566.96294542917292</v>
          </cell>
          <cell r="G59">
            <v>475.02300833255021</v>
          </cell>
          <cell r="H59">
            <v>614.79999999999995</v>
          </cell>
          <cell r="I59">
            <v>591.79999999999995</v>
          </cell>
          <cell r="J59">
            <v>868.7</v>
          </cell>
          <cell r="K59">
            <v>2553.5</v>
          </cell>
          <cell r="L59">
            <v>1413.8</v>
          </cell>
          <cell r="M59">
            <v>1432.1</v>
          </cell>
          <cell r="N59">
            <v>1224</v>
          </cell>
          <cell r="O59">
            <v>865</v>
          </cell>
          <cell r="P59">
            <v>1341.5</v>
          </cell>
          <cell r="Q59">
            <v>3055.3</v>
          </cell>
          <cell r="R59">
            <v>3413</v>
          </cell>
          <cell r="S59">
            <v>844.53610933245636</v>
          </cell>
          <cell r="T59">
            <v>1333.3808447715146</v>
          </cell>
          <cell r="U59">
            <v>1703.4276671038817</v>
          </cell>
          <cell r="V59">
            <v>1692.1284516119781</v>
          </cell>
          <cell r="W59">
            <v>1793.6885425885332</v>
          </cell>
          <cell r="X59">
            <v>1793.6885425885332</v>
          </cell>
          <cell r="Y59">
            <v>786.7</v>
          </cell>
          <cell r="Z59">
            <v>760.5</v>
          </cell>
          <cell r="AA59">
            <v>2232.3000000000002</v>
          </cell>
          <cell r="AB59">
            <v>0</v>
          </cell>
          <cell r="AC59">
            <v>0</v>
          </cell>
          <cell r="AD59">
            <v>154.77000000000001</v>
          </cell>
          <cell r="AE59">
            <v>1443.5</v>
          </cell>
          <cell r="AF59">
            <v>1756.5</v>
          </cell>
          <cell r="AG59">
            <v>4057.0153767878346</v>
          </cell>
          <cell r="AH59">
            <v>1452</v>
          </cell>
          <cell r="AI59">
            <v>1452</v>
          </cell>
          <cell r="AJ59">
            <v>1600.2032795074795</v>
          </cell>
        </row>
        <row r="60">
          <cell r="E60">
            <v>6.1</v>
          </cell>
          <cell r="F60">
            <v>6.9837759159975246</v>
          </cell>
          <cell r="G60">
            <v>6.9837759159975246</v>
          </cell>
          <cell r="H60">
            <v>10.3</v>
          </cell>
          <cell r="I60">
            <v>1.1000000000000001</v>
          </cell>
          <cell r="J60">
            <v>5.8</v>
          </cell>
          <cell r="K60">
            <v>2.2999999999999998</v>
          </cell>
          <cell r="L60">
            <v>6.2</v>
          </cell>
          <cell r="M60">
            <v>5.2</v>
          </cell>
          <cell r="N60">
            <v>11.81</v>
          </cell>
          <cell r="O60">
            <v>17.55</v>
          </cell>
          <cell r="P60">
            <v>1.7</v>
          </cell>
          <cell r="Q60">
            <v>1.3</v>
          </cell>
          <cell r="R60">
            <v>11.6</v>
          </cell>
          <cell r="S60">
            <v>6.304308803103515</v>
          </cell>
          <cell r="T60">
            <v>6.8195648110494753</v>
          </cell>
          <cell r="U60">
            <v>7.9410043577553893</v>
          </cell>
          <cell r="V60">
            <v>8.5168787195773437</v>
          </cell>
          <cell r="W60">
            <v>10.002028389539229</v>
          </cell>
          <cell r="X60">
            <v>10.002028389539229</v>
          </cell>
          <cell r="Y60">
            <v>10.6</v>
          </cell>
          <cell r="Z60">
            <v>12.2</v>
          </cell>
          <cell r="AA60">
            <v>3.4</v>
          </cell>
          <cell r="AB60">
            <v>3.4</v>
          </cell>
          <cell r="AC60">
            <v>3.4</v>
          </cell>
          <cell r="AD60">
            <v>5</v>
          </cell>
          <cell r="AE60">
            <v>3</v>
          </cell>
          <cell r="AF60">
            <v>3</v>
          </cell>
          <cell r="AG60">
            <v>8.5259999999999998</v>
          </cell>
          <cell r="AH60">
            <v>0.44</v>
          </cell>
          <cell r="AI60">
            <v>0.44</v>
          </cell>
          <cell r="AJ60">
            <v>0.44064261876599181</v>
          </cell>
        </row>
        <row r="61">
          <cell r="E61">
            <v>18.899999999999999</v>
          </cell>
          <cell r="G61">
            <v>16.804710797869046</v>
          </cell>
          <cell r="H61">
            <v>26.4</v>
          </cell>
          <cell r="I61">
            <v>2</v>
          </cell>
          <cell r="J61">
            <v>20.9</v>
          </cell>
          <cell r="K61">
            <v>10.199999999999999</v>
          </cell>
          <cell r="L61">
            <v>17</v>
          </cell>
          <cell r="M61">
            <v>27.8</v>
          </cell>
          <cell r="N61">
            <v>20.55</v>
          </cell>
          <cell r="O61">
            <v>27.48</v>
          </cell>
          <cell r="P61">
            <v>3.3</v>
          </cell>
          <cell r="Q61">
            <v>4.5</v>
          </cell>
          <cell r="R61">
            <v>18.2</v>
          </cell>
          <cell r="S61">
            <v>12.972327729463002</v>
          </cell>
          <cell r="T61">
            <v>15.397061884502815</v>
          </cell>
          <cell r="U61">
            <v>18.670452993806563</v>
          </cell>
          <cell r="V61">
            <v>17.033757439154687</v>
          </cell>
          <cell r="W61">
            <v>20.216221017644443</v>
          </cell>
          <cell r="X61">
            <v>20.216221017644443</v>
          </cell>
          <cell r="Y61">
            <v>24.3</v>
          </cell>
          <cell r="Z61">
            <v>28.6</v>
          </cell>
          <cell r="AA61">
            <v>5</v>
          </cell>
          <cell r="AB61">
            <v>5.6</v>
          </cell>
          <cell r="AC61">
            <v>5.6</v>
          </cell>
          <cell r="AD61">
            <v>7.1</v>
          </cell>
          <cell r="AE61">
            <v>9.6</v>
          </cell>
          <cell r="AF61">
            <v>9</v>
          </cell>
          <cell r="AG61">
            <v>15.288</v>
          </cell>
          <cell r="AH61">
            <v>0.74</v>
          </cell>
          <cell r="AI61">
            <v>0.74</v>
          </cell>
          <cell r="AJ61">
            <v>0.65767555039700265</v>
          </cell>
        </row>
        <row r="62">
          <cell r="E62">
            <v>20.3</v>
          </cell>
          <cell r="F62">
            <v>10.257420876621365</v>
          </cell>
          <cell r="G62">
            <v>19.423626766368116</v>
          </cell>
          <cell r="H62">
            <v>28.7</v>
          </cell>
          <cell r="I62">
            <v>2.9</v>
          </cell>
          <cell r="J62">
            <v>23.1</v>
          </cell>
          <cell r="K62">
            <v>11.4</v>
          </cell>
          <cell r="L62">
            <v>22.7</v>
          </cell>
          <cell r="M62">
            <v>30.2</v>
          </cell>
          <cell r="N62">
            <v>28.59</v>
          </cell>
          <cell r="O62">
            <v>33.72</v>
          </cell>
          <cell r="P62">
            <v>4.5999999999999996</v>
          </cell>
          <cell r="Q62">
            <v>4.9000000000000004</v>
          </cell>
          <cell r="R62">
            <v>24.5</v>
          </cell>
          <cell r="S62">
            <v>15.003042584308846</v>
          </cell>
          <cell r="T62">
            <v>17.154994146906681</v>
          </cell>
          <cell r="U62">
            <v>20.579931140900417</v>
          </cell>
          <cell r="V62">
            <v>20.155602663768448</v>
          </cell>
          <cell r="W62">
            <v>23.125902003692218</v>
          </cell>
          <cell r="X62">
            <v>23.125902003692218</v>
          </cell>
          <cell r="Y62">
            <v>29.9</v>
          </cell>
          <cell r="Z62">
            <v>33.799999999999997</v>
          </cell>
          <cell r="AA62">
            <v>6.7</v>
          </cell>
          <cell r="AB62">
            <v>6.6</v>
          </cell>
          <cell r="AC62">
            <v>6.6</v>
          </cell>
          <cell r="AD62">
            <v>9.3000000000000007</v>
          </cell>
          <cell r="AE62">
            <v>12</v>
          </cell>
          <cell r="AF62">
            <v>11.9</v>
          </cell>
          <cell r="AG62">
            <v>22.1235</v>
          </cell>
          <cell r="AH62">
            <v>1.02</v>
          </cell>
          <cell r="AI62">
            <v>1.02</v>
          </cell>
          <cell r="AJ62">
            <v>0.762903638460523</v>
          </cell>
        </row>
        <row r="63">
          <cell r="E63">
            <v>20.9</v>
          </cell>
          <cell r="F63">
            <v>13.640187335932666</v>
          </cell>
          <cell r="G63">
            <v>20.7</v>
          </cell>
          <cell r="H63">
            <v>29.1</v>
          </cell>
          <cell r="I63">
            <v>3.1</v>
          </cell>
          <cell r="J63">
            <v>23.5</v>
          </cell>
          <cell r="K63">
            <v>12.5</v>
          </cell>
          <cell r="L63">
            <v>24.7</v>
          </cell>
          <cell r="M63">
            <v>32.200000000000003</v>
          </cell>
          <cell r="N63">
            <v>32.799999999999997</v>
          </cell>
          <cell r="O63">
            <v>38.340000000000003</v>
          </cell>
          <cell r="P63">
            <v>5.2</v>
          </cell>
          <cell r="Q63">
            <v>5.2</v>
          </cell>
          <cell r="R63">
            <v>26.2</v>
          </cell>
          <cell r="S63">
            <v>16.899999999999999</v>
          </cell>
          <cell r="T63">
            <v>18.943235586248541</v>
          </cell>
          <cell r="U63">
            <v>22.368172580242277</v>
          </cell>
          <cell r="V63">
            <v>23.034974472878226</v>
          </cell>
          <cell r="W63">
            <v>25.944655458926004</v>
          </cell>
          <cell r="X63">
            <v>25.944655458926004</v>
          </cell>
          <cell r="Y63">
            <v>30.4</v>
          </cell>
          <cell r="Z63">
            <v>34.700000000000003</v>
          </cell>
          <cell r="AA63">
            <v>7.2</v>
          </cell>
          <cell r="AB63">
            <v>7.5</v>
          </cell>
          <cell r="AC63">
            <v>7.5</v>
          </cell>
          <cell r="AD63">
            <v>9.9</v>
          </cell>
          <cell r="AE63">
            <v>13.1</v>
          </cell>
          <cell r="AF63">
            <v>12.7</v>
          </cell>
          <cell r="AG63">
            <v>29.106000000000002</v>
          </cell>
          <cell r="AH63">
            <v>1.1499999999999999</v>
          </cell>
          <cell r="AI63">
            <v>1.1499999999999999</v>
          </cell>
          <cell r="AJ63">
            <v>0.8615549710200735</v>
          </cell>
        </row>
        <row r="64">
          <cell r="E64">
            <v>21.4</v>
          </cell>
          <cell r="F64">
            <v>16.804710797869046</v>
          </cell>
          <cell r="G64">
            <v>21.496935241429881</v>
          </cell>
          <cell r="H64">
            <v>29.4</v>
          </cell>
          <cell r="I64">
            <v>3.3</v>
          </cell>
          <cell r="J64">
            <v>23.9</v>
          </cell>
          <cell r="K64">
            <v>13.5</v>
          </cell>
          <cell r="L64">
            <v>26.8</v>
          </cell>
          <cell r="M64">
            <v>34.1</v>
          </cell>
          <cell r="N64">
            <v>35.5</v>
          </cell>
          <cell r="O64">
            <v>39.49</v>
          </cell>
          <cell r="P64">
            <v>5.7</v>
          </cell>
          <cell r="Q64">
            <v>5.4</v>
          </cell>
          <cell r="R64">
            <v>28.2</v>
          </cell>
          <cell r="S64">
            <v>18.337052047488587</v>
          </cell>
          <cell r="T64">
            <v>20.428385256210429</v>
          </cell>
          <cell r="U64">
            <v>23.823013073266168</v>
          </cell>
          <cell r="V64">
            <v>25.45970862791804</v>
          </cell>
          <cell r="W64">
            <v>28.339080437027818</v>
          </cell>
          <cell r="X64">
            <v>28.339080437027818</v>
          </cell>
          <cell r="Y64">
            <v>30.9</v>
          </cell>
          <cell r="Z64">
            <v>35.200000000000003</v>
          </cell>
          <cell r="AA64">
            <v>7.9</v>
          </cell>
          <cell r="AB64">
            <v>8.5</v>
          </cell>
          <cell r="AC64">
            <v>8.5</v>
          </cell>
          <cell r="AD64">
            <v>10.9</v>
          </cell>
          <cell r="AE64">
            <v>14.1</v>
          </cell>
          <cell r="AF64">
            <v>13.5</v>
          </cell>
          <cell r="AG64">
            <v>35.794499999999999</v>
          </cell>
          <cell r="AH64">
            <v>1.26</v>
          </cell>
          <cell r="AI64">
            <v>1.26</v>
          </cell>
          <cell r="AJ64">
            <v>0.96020630357962389</v>
          </cell>
        </row>
        <row r="65">
          <cell r="E65">
            <v>21.8</v>
          </cell>
          <cell r="F65">
            <v>19.532748265055577</v>
          </cell>
          <cell r="G65">
            <v>22.3</v>
          </cell>
          <cell r="H65">
            <v>29.3</v>
          </cell>
          <cell r="I65">
            <v>3.5</v>
          </cell>
          <cell r="J65">
            <v>24.2</v>
          </cell>
          <cell r="K65">
            <v>14.6</v>
          </cell>
          <cell r="L65">
            <v>28.6</v>
          </cell>
          <cell r="M65">
            <v>35.9</v>
          </cell>
          <cell r="N65">
            <v>37.64</v>
          </cell>
          <cell r="O65">
            <v>40.409999999999997</v>
          </cell>
          <cell r="P65">
            <v>6.3</v>
          </cell>
          <cell r="Q65">
            <v>5.7</v>
          </cell>
          <cell r="R65">
            <v>30.3</v>
          </cell>
          <cell r="S65">
            <v>19.276636532566517</v>
          </cell>
          <cell r="T65">
            <v>21.640752333730333</v>
          </cell>
          <cell r="U65">
            <v>24.944452619972079</v>
          </cell>
          <cell r="V65">
            <v>27.520732659701881</v>
          </cell>
          <cell r="W65">
            <v>30.551650353501646</v>
          </cell>
          <cell r="X65">
            <v>30.551650353501646</v>
          </cell>
          <cell r="Y65">
            <v>31.2</v>
          </cell>
          <cell r="Z65">
            <v>35.700000000000003</v>
          </cell>
          <cell r="AA65">
            <v>8.4</v>
          </cell>
          <cell r="AB65">
            <v>9.5</v>
          </cell>
          <cell r="AC65">
            <v>9.5</v>
          </cell>
          <cell r="AD65">
            <v>11.7</v>
          </cell>
          <cell r="AE65">
            <v>15</v>
          </cell>
          <cell r="AF65">
            <v>14.1</v>
          </cell>
          <cell r="AG65">
            <v>38.808</v>
          </cell>
          <cell r="AH65">
            <v>1.38</v>
          </cell>
          <cell r="AI65">
            <v>1.38</v>
          </cell>
          <cell r="AJ65">
            <v>1.0654343916431444</v>
          </cell>
        </row>
        <row r="66">
          <cell r="E66">
            <v>22.2</v>
          </cell>
          <cell r="F66">
            <v>21.606056740117346</v>
          </cell>
          <cell r="G66">
            <v>22.915514724366876</v>
          </cell>
          <cell r="H66">
            <v>29.2</v>
          </cell>
          <cell r="I66">
            <v>3.7</v>
          </cell>
          <cell r="J66">
            <v>24.4</v>
          </cell>
          <cell r="K66">
            <v>15.6</v>
          </cell>
          <cell r="L66">
            <v>30.4</v>
          </cell>
          <cell r="M66">
            <v>37.200000000000003</v>
          </cell>
          <cell r="N66">
            <v>39.9</v>
          </cell>
          <cell r="O66">
            <v>40.97</v>
          </cell>
          <cell r="P66">
            <v>6.8</v>
          </cell>
          <cell r="Q66">
            <v>6</v>
          </cell>
          <cell r="R66">
            <v>32.200000000000003</v>
          </cell>
          <cell r="S66">
            <v>19.85251089438847</v>
          </cell>
          <cell r="T66">
            <v>22.368172580242277</v>
          </cell>
          <cell r="U66">
            <v>25.884037105050005</v>
          </cell>
          <cell r="V66">
            <v>29.157428214353754</v>
          </cell>
          <cell r="W66">
            <v>32.70360191609948</v>
          </cell>
          <cell r="X66">
            <v>32.70360191609948</v>
          </cell>
          <cell r="Y66">
            <v>31.4</v>
          </cell>
          <cell r="Z66">
            <v>35.9</v>
          </cell>
          <cell r="AA66">
            <v>9.1</v>
          </cell>
          <cell r="AB66">
            <v>10.5</v>
          </cell>
          <cell r="AC66">
            <v>10.5</v>
          </cell>
          <cell r="AD66">
            <v>12.8</v>
          </cell>
          <cell r="AE66">
            <v>15.9</v>
          </cell>
          <cell r="AF66">
            <v>14.8</v>
          </cell>
          <cell r="AG66">
            <v>41.968499999999999</v>
          </cell>
          <cell r="AH66">
            <v>1.49</v>
          </cell>
          <cell r="AI66">
            <v>1.49</v>
          </cell>
          <cell r="AJ66">
            <v>1.1575089686987248</v>
          </cell>
        </row>
        <row r="67">
          <cell r="E67">
            <v>22.5</v>
          </cell>
          <cell r="F67">
            <v>23.133757721741802</v>
          </cell>
          <cell r="G67">
            <v>23.2</v>
          </cell>
          <cell r="H67">
            <v>28.8</v>
          </cell>
          <cell r="I67">
            <v>3.9</v>
          </cell>
          <cell r="J67">
            <v>24.3</v>
          </cell>
          <cell r="K67">
            <v>16.399999999999999</v>
          </cell>
          <cell r="L67">
            <v>31.7</v>
          </cell>
          <cell r="M67">
            <v>38.799999999999997</v>
          </cell>
          <cell r="N67">
            <v>41.35</v>
          </cell>
          <cell r="O67">
            <v>41.11</v>
          </cell>
          <cell r="P67">
            <v>7.3</v>
          </cell>
          <cell r="Q67">
            <v>6.3</v>
          </cell>
          <cell r="R67">
            <v>33.9</v>
          </cell>
          <cell r="S67">
            <v>20.064675132954456</v>
          </cell>
          <cell r="T67">
            <v>22.883428588188238</v>
          </cell>
          <cell r="U67">
            <v>26.732694059313943</v>
          </cell>
          <cell r="V67">
            <v>30.551650353501646</v>
          </cell>
          <cell r="W67">
            <v>34.552461709317342</v>
          </cell>
          <cell r="X67">
            <v>34.552461709317342</v>
          </cell>
          <cell r="Y67">
            <v>31</v>
          </cell>
          <cell r="Z67">
            <v>35.9</v>
          </cell>
          <cell r="AA67">
            <v>9.6999999999999993</v>
          </cell>
          <cell r="AB67">
            <v>12.5</v>
          </cell>
          <cell r="AC67">
            <v>12.5</v>
          </cell>
          <cell r="AD67">
            <v>14.2</v>
          </cell>
          <cell r="AE67">
            <v>16.8</v>
          </cell>
          <cell r="AF67">
            <v>15.6</v>
          </cell>
          <cell r="AG67">
            <v>45.055499999999995</v>
          </cell>
          <cell r="AH67">
            <v>1.6</v>
          </cell>
          <cell r="AI67">
            <v>1.6</v>
          </cell>
          <cell r="AJ67">
            <v>1.249583545754305</v>
          </cell>
        </row>
        <row r="68">
          <cell r="E68">
            <v>22.6</v>
          </cell>
          <cell r="F68">
            <v>23.788486713866568</v>
          </cell>
          <cell r="G68">
            <v>23.133757721741798</v>
          </cell>
          <cell r="H68">
            <v>28.1</v>
          </cell>
          <cell r="I68">
            <v>4</v>
          </cell>
          <cell r="J68">
            <v>24.1</v>
          </cell>
          <cell r="K68">
            <v>17.100000000000001</v>
          </cell>
          <cell r="L68">
            <v>32.799999999999997</v>
          </cell>
          <cell r="M68">
            <v>40</v>
          </cell>
          <cell r="N68">
            <v>42.29</v>
          </cell>
          <cell r="O68">
            <v>41.06</v>
          </cell>
          <cell r="P68">
            <v>7.7</v>
          </cell>
          <cell r="Q68">
            <v>6.5</v>
          </cell>
          <cell r="R68">
            <v>36</v>
          </cell>
          <cell r="S68">
            <v>20.004056779078457</v>
          </cell>
          <cell r="T68">
            <v>23.034974472878226</v>
          </cell>
          <cell r="U68">
            <v>27.36918677501189</v>
          </cell>
          <cell r="V68">
            <v>31.612471546331566</v>
          </cell>
          <cell r="W68">
            <v>35.946683848465227</v>
          </cell>
          <cell r="X68">
            <v>35.946683848465227</v>
          </cell>
          <cell r="Y68">
            <v>30.4</v>
          </cell>
          <cell r="Z68">
            <v>35.4</v>
          </cell>
          <cell r="AA68">
            <v>10.4</v>
          </cell>
          <cell r="AB68">
            <v>14</v>
          </cell>
          <cell r="AC68">
            <v>14</v>
          </cell>
          <cell r="AD68">
            <v>15.6</v>
          </cell>
          <cell r="AE68">
            <v>17.399999999999999</v>
          </cell>
          <cell r="AF68">
            <v>16.399999999999999</v>
          </cell>
          <cell r="AG68">
            <v>48.436500000000002</v>
          </cell>
          <cell r="AH68">
            <v>1.7</v>
          </cell>
          <cell r="AI68">
            <v>1.7</v>
          </cell>
          <cell r="AJ68">
            <v>1.3350813673059152</v>
          </cell>
        </row>
        <row r="69">
          <cell r="E69">
            <v>22.6</v>
          </cell>
          <cell r="F69">
            <v>23.526595117016662</v>
          </cell>
          <cell r="G69">
            <v>22.326258631454589</v>
          </cell>
          <cell r="H69">
            <v>27.4</v>
          </cell>
          <cell r="I69">
            <v>4.0999999999999996</v>
          </cell>
          <cell r="J69">
            <v>23.7</v>
          </cell>
          <cell r="K69">
            <v>17.7</v>
          </cell>
          <cell r="L69">
            <v>33.4</v>
          </cell>
          <cell r="M69">
            <v>41.4</v>
          </cell>
          <cell r="N69">
            <v>42.54</v>
          </cell>
          <cell r="O69">
            <v>40.18</v>
          </cell>
          <cell r="P69">
            <v>8</v>
          </cell>
          <cell r="Q69">
            <v>6.7</v>
          </cell>
          <cell r="R69">
            <v>37.9</v>
          </cell>
          <cell r="S69">
            <v>19.61003747888449</v>
          </cell>
          <cell r="T69">
            <v>23.034974472878226</v>
          </cell>
          <cell r="U69">
            <v>27.854133606019854</v>
          </cell>
          <cell r="V69">
            <v>32.430819323657502</v>
          </cell>
          <cell r="W69">
            <v>36.855959156605159</v>
          </cell>
          <cell r="X69">
            <v>36.855959156605159</v>
          </cell>
          <cell r="Y69">
            <v>29.5</v>
          </cell>
          <cell r="Z69">
            <v>34.700000000000003</v>
          </cell>
          <cell r="AA69">
            <v>11</v>
          </cell>
          <cell r="AB69">
            <v>15.7</v>
          </cell>
          <cell r="AC69">
            <v>15.7</v>
          </cell>
          <cell r="AD69">
            <v>17.2</v>
          </cell>
          <cell r="AE69">
            <v>17.8</v>
          </cell>
          <cell r="AF69">
            <v>16.899999999999999</v>
          </cell>
          <cell r="AG69">
            <v>51.523499999999991</v>
          </cell>
          <cell r="AH69">
            <v>1.81</v>
          </cell>
          <cell r="AI69">
            <v>1.81</v>
          </cell>
          <cell r="AJ69">
            <v>1.4205791888575259</v>
          </cell>
        </row>
        <row r="70">
          <cell r="E70">
            <v>22.5</v>
          </cell>
          <cell r="F70">
            <v>22.260785732242109</v>
          </cell>
          <cell r="G70">
            <v>21.169570745367494</v>
          </cell>
          <cell r="H70">
            <v>26.6</v>
          </cell>
          <cell r="I70">
            <v>4.0999999999999996</v>
          </cell>
          <cell r="J70">
            <v>23.1</v>
          </cell>
          <cell r="K70">
            <v>18.100000000000001</v>
          </cell>
          <cell r="L70">
            <v>34</v>
          </cell>
          <cell r="M70">
            <v>42.3</v>
          </cell>
          <cell r="N70">
            <v>42.04</v>
          </cell>
          <cell r="O70">
            <v>38.659999999999997</v>
          </cell>
          <cell r="P70">
            <v>8.1999999999999993</v>
          </cell>
          <cell r="Q70">
            <v>6.9</v>
          </cell>
          <cell r="R70">
            <v>40.1</v>
          </cell>
          <cell r="S70">
            <v>18.821998878496551</v>
          </cell>
          <cell r="T70">
            <v>22.640955172684254</v>
          </cell>
          <cell r="U70">
            <v>27.854133606019854</v>
          </cell>
          <cell r="V70">
            <v>32.612674385285487</v>
          </cell>
          <cell r="W70">
            <v>37.280287633737132</v>
          </cell>
          <cell r="X70">
            <v>37.280287633737132</v>
          </cell>
          <cell r="Y70">
            <v>28.2</v>
          </cell>
          <cell r="Z70">
            <v>33.9</v>
          </cell>
          <cell r="AA70">
            <v>11.8</v>
          </cell>
          <cell r="AB70">
            <v>17.5</v>
          </cell>
          <cell r="AC70">
            <v>17.5</v>
          </cell>
          <cell r="AD70">
            <v>18.7</v>
          </cell>
          <cell r="AE70">
            <v>18.600000000000001</v>
          </cell>
          <cell r="AF70">
            <v>17.100000000000001</v>
          </cell>
          <cell r="AG70">
            <v>54.536999999999999</v>
          </cell>
          <cell r="AH70">
            <v>1.91</v>
          </cell>
          <cell r="AI70">
            <v>1.91</v>
          </cell>
          <cell r="AJ70">
            <v>1.4995002549051659</v>
          </cell>
        </row>
        <row r="71">
          <cell r="E71">
            <v>22.3</v>
          </cell>
          <cell r="F71">
            <v>20.514841753242731</v>
          </cell>
          <cell r="G71">
            <v>19.423626766368116</v>
          </cell>
          <cell r="H71">
            <v>22.9</v>
          </cell>
          <cell r="I71">
            <v>4</v>
          </cell>
          <cell r="J71">
            <v>21.12</v>
          </cell>
          <cell r="K71">
            <v>18.3</v>
          </cell>
          <cell r="L71">
            <v>34.6</v>
          </cell>
          <cell r="M71">
            <v>41.3</v>
          </cell>
          <cell r="N71">
            <v>40.659999999999997</v>
          </cell>
          <cell r="O71">
            <v>35.56</v>
          </cell>
          <cell r="P71">
            <v>7.9</v>
          </cell>
          <cell r="Q71">
            <v>7.6</v>
          </cell>
          <cell r="R71">
            <v>43.2</v>
          </cell>
          <cell r="S71">
            <v>17.609631800976643</v>
          </cell>
          <cell r="T71">
            <v>22.186317518614292</v>
          </cell>
          <cell r="U71">
            <v>27.490423482763884</v>
          </cell>
          <cell r="V71">
            <v>32.279273438967515</v>
          </cell>
          <cell r="W71">
            <v>37.037814218233152</v>
          </cell>
          <cell r="X71">
            <v>37.037814218233152</v>
          </cell>
          <cell r="Y71">
            <v>26.2</v>
          </cell>
          <cell r="Z71">
            <v>26.6</v>
          </cell>
          <cell r="AA71">
            <v>14.6</v>
          </cell>
          <cell r="AB71">
            <v>18.2</v>
          </cell>
          <cell r="AC71">
            <v>18.2</v>
          </cell>
          <cell r="AD71">
            <v>22.4</v>
          </cell>
          <cell r="AE71">
            <v>17.600000000000001</v>
          </cell>
          <cell r="AF71">
            <v>17.100000000000001</v>
          </cell>
          <cell r="AG71">
            <v>56.889000000000003</v>
          </cell>
          <cell r="AH71">
            <v>2.0099999999999998</v>
          </cell>
          <cell r="AI71">
            <v>2.0099999999999998</v>
          </cell>
          <cell r="AJ71">
            <v>1.5718445654488364</v>
          </cell>
        </row>
        <row r="72"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</row>
        <row r="73">
          <cell r="E73">
            <v>76.5</v>
          </cell>
          <cell r="G73">
            <v>59.5</v>
          </cell>
          <cell r="H73">
            <v>69</v>
          </cell>
          <cell r="I73">
            <v>48</v>
          </cell>
          <cell r="J73">
            <v>72</v>
          </cell>
          <cell r="K73">
            <v>73.5</v>
          </cell>
          <cell r="L73">
            <v>58</v>
          </cell>
          <cell r="M73">
            <v>69</v>
          </cell>
          <cell r="N73">
            <v>48.6</v>
          </cell>
          <cell r="O73">
            <v>41.7</v>
          </cell>
          <cell r="P73">
            <v>50</v>
          </cell>
          <cell r="Q73">
            <v>71</v>
          </cell>
          <cell r="R73">
            <v>49</v>
          </cell>
          <cell r="S73">
            <v>53.024948253151855</v>
          </cell>
          <cell r="T73">
            <v>56.512608994345506</v>
          </cell>
          <cell r="U73">
            <v>62.337492373398412</v>
          </cell>
          <cell r="V73">
            <v>48.547421720127062</v>
          </cell>
          <cell r="W73">
            <v>55.178350422104387</v>
          </cell>
          <cell r="X73">
            <v>55.178350422104387</v>
          </cell>
          <cell r="Y73">
            <v>64</v>
          </cell>
          <cell r="Z73">
            <v>69</v>
          </cell>
          <cell r="AA73">
            <v>41</v>
          </cell>
          <cell r="AB73">
            <v>40</v>
          </cell>
          <cell r="AC73">
            <v>40</v>
          </cell>
          <cell r="AD73">
            <v>30</v>
          </cell>
          <cell r="AE73">
            <v>71.5</v>
          </cell>
          <cell r="AF73">
            <v>71</v>
          </cell>
          <cell r="AG73">
            <v>33.1</v>
          </cell>
          <cell r="AH73">
            <v>27.8</v>
          </cell>
          <cell r="AI73">
            <v>27.8</v>
          </cell>
          <cell r="AJ73">
            <v>30.270857142857142</v>
          </cell>
        </row>
        <row r="74">
          <cell r="E74">
            <v>79.5</v>
          </cell>
          <cell r="F74">
            <v>30.6</v>
          </cell>
          <cell r="G74">
            <v>69</v>
          </cell>
          <cell r="H74">
            <v>77.5</v>
          </cell>
          <cell r="I74">
            <v>64.2</v>
          </cell>
          <cell r="J74">
            <v>79.45</v>
          </cell>
          <cell r="K74">
            <v>76.02</v>
          </cell>
          <cell r="L74">
            <v>67.3</v>
          </cell>
          <cell r="M74">
            <v>70.2</v>
          </cell>
          <cell r="N74">
            <v>59.8</v>
          </cell>
          <cell r="O74">
            <v>50.9</v>
          </cell>
          <cell r="P74">
            <v>68.400000000000006</v>
          </cell>
          <cell r="Q74">
            <v>73.180000000000007</v>
          </cell>
          <cell r="R74">
            <v>60</v>
          </cell>
          <cell r="S74">
            <v>62.407321537522876</v>
          </cell>
          <cell r="T74">
            <v>65.140987027770535</v>
          </cell>
          <cell r="U74">
            <v>69.364557037095608</v>
          </cell>
          <cell r="V74">
            <v>59.158007771105616</v>
          </cell>
          <cell r="W74">
            <v>64.397890699904124</v>
          </cell>
          <cell r="X74">
            <v>64.397890699904124</v>
          </cell>
          <cell r="Y74">
            <v>85.1</v>
          </cell>
          <cell r="Z74">
            <v>83.2</v>
          </cell>
          <cell r="AA74">
            <v>53</v>
          </cell>
          <cell r="AB74">
            <v>50</v>
          </cell>
          <cell r="AC74">
            <v>50</v>
          </cell>
          <cell r="AD74">
            <v>45.5</v>
          </cell>
          <cell r="AE74">
            <v>80.5</v>
          </cell>
          <cell r="AF74">
            <v>80.5</v>
          </cell>
          <cell r="AG74">
            <v>52.7</v>
          </cell>
          <cell r="AH74">
            <v>40.200000000000003</v>
          </cell>
          <cell r="AI74">
            <v>40.200000000000003</v>
          </cell>
          <cell r="AJ74">
            <v>38.832688247712873</v>
          </cell>
        </row>
        <row r="75">
          <cell r="E75">
            <v>80.900000000000006</v>
          </cell>
          <cell r="F75">
            <v>47</v>
          </cell>
          <cell r="G75">
            <v>72.5</v>
          </cell>
          <cell r="H75">
            <v>79.64</v>
          </cell>
          <cell r="I75">
            <v>66.040000000000006</v>
          </cell>
          <cell r="J75">
            <v>81.16</v>
          </cell>
          <cell r="K75">
            <v>78.069999999999993</v>
          </cell>
          <cell r="L75">
            <v>70.260000000000005</v>
          </cell>
          <cell r="M75">
            <v>71.2</v>
          </cell>
          <cell r="N75">
            <v>63.6</v>
          </cell>
          <cell r="O75">
            <v>59</v>
          </cell>
          <cell r="P75">
            <v>72.739999999999995</v>
          </cell>
          <cell r="Q75">
            <v>73.97</v>
          </cell>
          <cell r="R75">
            <v>62.36</v>
          </cell>
          <cell r="S75">
            <v>77.136730074262346</v>
          </cell>
          <cell r="T75">
            <v>72.098364563758395</v>
          </cell>
          <cell r="U75">
            <v>75.295465706334923</v>
          </cell>
          <cell r="V75">
            <v>67.737859413634766</v>
          </cell>
          <cell r="W75">
            <v>71.521379288716062</v>
          </cell>
          <cell r="X75">
            <v>71.521379288716062</v>
          </cell>
          <cell r="Y75">
            <v>86.98</v>
          </cell>
          <cell r="Z75">
            <v>85.2</v>
          </cell>
          <cell r="AA75">
            <v>54.89</v>
          </cell>
          <cell r="AB75">
            <v>55.06</v>
          </cell>
          <cell r="AC75">
            <v>55.06</v>
          </cell>
          <cell r="AD75">
            <v>47.98</v>
          </cell>
          <cell r="AE75">
            <v>83.5</v>
          </cell>
          <cell r="AF75">
            <v>82.1</v>
          </cell>
          <cell r="AG75">
            <v>66.2</v>
          </cell>
          <cell r="AH75">
            <v>43.9</v>
          </cell>
          <cell r="AI75">
            <v>43.9</v>
          </cell>
          <cell r="AJ75">
            <v>44.99242872721608</v>
          </cell>
        </row>
        <row r="76">
          <cell r="E76">
            <v>82.52</v>
          </cell>
          <cell r="F76">
            <v>59.5</v>
          </cell>
          <cell r="G76">
            <v>75.5</v>
          </cell>
          <cell r="H76">
            <v>81.22</v>
          </cell>
          <cell r="I76">
            <v>67.819999999999993</v>
          </cell>
          <cell r="J76">
            <v>82.3</v>
          </cell>
          <cell r="K76">
            <v>79.489999999999995</v>
          </cell>
          <cell r="L76">
            <v>72.459999999999994</v>
          </cell>
          <cell r="M76">
            <v>72.8</v>
          </cell>
          <cell r="N76">
            <v>64.900000000000006</v>
          </cell>
          <cell r="O76">
            <v>63.4</v>
          </cell>
          <cell r="P76">
            <v>75.38</v>
          </cell>
          <cell r="Q76">
            <v>74.37</v>
          </cell>
          <cell r="R76">
            <v>64</v>
          </cell>
          <cell r="S76">
            <v>76.39491929668867</v>
          </cell>
          <cell r="T76">
            <v>78.576902395793923</v>
          </cell>
          <cell r="U76">
            <v>80.454162610789481</v>
          </cell>
          <cell r="V76">
            <v>74.905886864813041</v>
          </cell>
          <cell r="W76">
            <v>77.809640024405127</v>
          </cell>
          <cell r="X76">
            <v>77.809640024405127</v>
          </cell>
          <cell r="Y76">
            <v>88.16</v>
          </cell>
          <cell r="Z76">
            <v>87</v>
          </cell>
          <cell r="AA76">
            <v>56.02</v>
          </cell>
          <cell r="AB76">
            <v>57.72</v>
          </cell>
          <cell r="AC76">
            <v>57.72</v>
          </cell>
          <cell r="AD76">
            <v>50.7</v>
          </cell>
          <cell r="AE76">
            <v>86.52</v>
          </cell>
          <cell r="AF76">
            <v>83.3</v>
          </cell>
          <cell r="AG76">
            <v>72.2</v>
          </cell>
          <cell r="AH76">
            <v>46.4</v>
          </cell>
          <cell r="AI76">
            <v>46.4</v>
          </cell>
          <cell r="AJ76">
            <v>49.136846519429696</v>
          </cell>
        </row>
        <row r="77">
          <cell r="E77">
            <v>83.26</v>
          </cell>
          <cell r="F77">
            <v>69</v>
          </cell>
          <cell r="G77">
            <v>77.2</v>
          </cell>
          <cell r="H77">
            <v>82.08</v>
          </cell>
          <cell r="I77">
            <v>69.06</v>
          </cell>
          <cell r="J77">
            <v>82.91</v>
          </cell>
          <cell r="K77">
            <v>79.95</v>
          </cell>
          <cell r="L77">
            <v>73.28</v>
          </cell>
          <cell r="M77">
            <v>73.86</v>
          </cell>
          <cell r="N77">
            <v>69.5</v>
          </cell>
          <cell r="O77">
            <v>67.099999999999994</v>
          </cell>
          <cell r="P77">
            <v>76.819999999999993</v>
          </cell>
          <cell r="Q77">
            <v>74.930000000000007</v>
          </cell>
          <cell r="R77">
            <v>64.86</v>
          </cell>
          <cell r="S77">
            <v>80.73964163606432</v>
          </cell>
          <cell r="T77">
            <v>82.713608933506293</v>
          </cell>
          <cell r="U77">
            <v>84.072228791375466</v>
          </cell>
          <cell r="V77">
            <v>80.688939479052721</v>
          </cell>
          <cell r="W77">
            <v>82.510282837967409</v>
          </cell>
          <cell r="X77">
            <v>82.510282837967409</v>
          </cell>
          <cell r="Y77">
            <v>89</v>
          </cell>
          <cell r="Z77">
            <v>88.22</v>
          </cell>
          <cell r="AA77">
            <v>56.56</v>
          </cell>
          <cell r="AB77">
            <v>59.1</v>
          </cell>
          <cell r="AC77">
            <v>59.1</v>
          </cell>
          <cell r="AD77">
            <v>51.92</v>
          </cell>
          <cell r="AE77">
            <v>87.58</v>
          </cell>
          <cell r="AF77">
            <v>84.24</v>
          </cell>
          <cell r="AG77">
            <v>74.099999999999994</v>
          </cell>
          <cell r="AH77">
            <v>47.5</v>
          </cell>
          <cell r="AI77">
            <v>47.5</v>
          </cell>
          <cell r="AJ77">
            <v>51.212698412698408</v>
          </cell>
        </row>
        <row r="78">
          <cell r="E78">
            <v>83.7</v>
          </cell>
          <cell r="F78">
            <v>77</v>
          </cell>
          <cell r="G78">
            <v>78</v>
          </cell>
          <cell r="H78">
            <v>83</v>
          </cell>
          <cell r="I78">
            <v>69.900000000000006</v>
          </cell>
          <cell r="J78">
            <v>83</v>
          </cell>
          <cell r="K78">
            <v>80</v>
          </cell>
          <cell r="L78">
            <v>73.5</v>
          </cell>
          <cell r="M78">
            <v>75.3</v>
          </cell>
          <cell r="N78">
            <v>70.099999999999994</v>
          </cell>
          <cell r="O78">
            <v>70.3</v>
          </cell>
          <cell r="P78">
            <v>77.5</v>
          </cell>
          <cell r="Q78">
            <v>75.010000000000005</v>
          </cell>
          <cell r="R78">
            <v>65</v>
          </cell>
          <cell r="S78">
            <v>83.228444080127062</v>
          </cell>
          <cell r="T78">
            <v>84.894745457521694</v>
          </cell>
          <cell r="U78">
            <v>85.986871100073884</v>
          </cell>
          <cell r="V78">
            <v>84.591385396754532</v>
          </cell>
          <cell r="W78">
            <v>84.571595623588834</v>
          </cell>
          <cell r="X78">
            <v>84.571595623588834</v>
          </cell>
          <cell r="Y78">
            <v>89.28</v>
          </cell>
          <cell r="Z78">
            <v>88.9</v>
          </cell>
          <cell r="AA78">
            <v>56.9</v>
          </cell>
          <cell r="AB78">
            <v>59.6</v>
          </cell>
          <cell r="AC78">
            <v>59.6</v>
          </cell>
          <cell r="AD78">
            <v>52.1</v>
          </cell>
          <cell r="AE78">
            <v>88</v>
          </cell>
          <cell r="AF78">
            <v>84.6</v>
          </cell>
          <cell r="AG78">
            <v>75</v>
          </cell>
          <cell r="AH78">
            <v>47.5</v>
          </cell>
          <cell r="AI78">
            <v>47.5</v>
          </cell>
          <cell r="AJ78">
            <v>52.447402597402593</v>
          </cell>
        </row>
        <row r="79">
          <cell r="E79">
            <v>83.42</v>
          </cell>
          <cell r="F79">
            <v>81</v>
          </cell>
          <cell r="G79">
            <v>78.5</v>
          </cell>
          <cell r="H79">
            <v>82</v>
          </cell>
          <cell r="I79">
            <v>69.239999999999995</v>
          </cell>
          <cell r="J79">
            <v>82.82</v>
          </cell>
          <cell r="K79">
            <v>78.77</v>
          </cell>
          <cell r="L79">
            <v>72.819999999999993</v>
          </cell>
          <cell r="M79">
            <v>75.02</v>
          </cell>
          <cell r="N79">
            <v>75.2</v>
          </cell>
          <cell r="O79">
            <v>72.900000000000006</v>
          </cell>
          <cell r="P79">
            <v>76.819999999999993</v>
          </cell>
          <cell r="Q79">
            <v>74.8</v>
          </cell>
          <cell r="R79">
            <v>64.680000000000007</v>
          </cell>
          <cell r="S79">
            <v>84.424996451671774</v>
          </cell>
          <cell r="T79">
            <v>85.578395484243742</v>
          </cell>
          <cell r="U79">
            <v>86.61476510067115</v>
          </cell>
          <cell r="V79">
            <v>86.609539789069999</v>
          </cell>
          <cell r="W79">
            <v>85.389622041681392</v>
          </cell>
          <cell r="X79">
            <v>85.389622041681392</v>
          </cell>
          <cell r="Y79">
            <v>88.52</v>
          </cell>
          <cell r="Z79">
            <v>88.3</v>
          </cell>
          <cell r="AA79">
            <v>56.44</v>
          </cell>
          <cell r="AB79">
            <v>56.6</v>
          </cell>
          <cell r="AC79">
            <v>56.6</v>
          </cell>
          <cell r="AD79">
            <v>51.68</v>
          </cell>
          <cell r="AE79">
            <v>87.68</v>
          </cell>
          <cell r="AF79">
            <v>84.04</v>
          </cell>
          <cell r="AG79">
            <v>75.099999999999994</v>
          </cell>
          <cell r="AH79">
            <v>46.6</v>
          </cell>
          <cell r="AI79">
            <v>46.6</v>
          </cell>
          <cell r="AJ79">
            <v>52.095209452201928</v>
          </cell>
        </row>
        <row r="80">
          <cell r="E80">
            <v>82.3</v>
          </cell>
          <cell r="F80">
            <v>80.5</v>
          </cell>
          <cell r="G80">
            <v>77.5</v>
          </cell>
          <cell r="H80">
            <v>79.900000000000006</v>
          </cell>
          <cell r="I80">
            <v>67.86</v>
          </cell>
          <cell r="J80">
            <v>81.98</v>
          </cell>
          <cell r="K80">
            <v>76.709999999999994</v>
          </cell>
          <cell r="L80">
            <v>71.56</v>
          </cell>
          <cell r="M80">
            <v>73.7</v>
          </cell>
          <cell r="N80">
            <v>72.2</v>
          </cell>
          <cell r="O80">
            <v>73.900000000000006</v>
          </cell>
          <cell r="P80">
            <v>74.8</v>
          </cell>
          <cell r="Q80">
            <v>74.040000000000006</v>
          </cell>
          <cell r="R80">
            <v>64</v>
          </cell>
          <cell r="S80">
            <v>83.196461256863955</v>
          </cell>
          <cell r="T80">
            <v>85.382691628399868</v>
          </cell>
          <cell r="U80">
            <v>85.89683159044796</v>
          </cell>
          <cell r="V80">
            <v>86.834158049508716</v>
          </cell>
          <cell r="W80">
            <v>84.760123136819942</v>
          </cell>
          <cell r="X80">
            <v>84.760123136819942</v>
          </cell>
          <cell r="Y80">
            <v>87.1</v>
          </cell>
          <cell r="Z80">
            <v>87.12</v>
          </cell>
          <cell r="AA80">
            <v>55.9</v>
          </cell>
          <cell r="AB80">
            <v>52</v>
          </cell>
          <cell r="AC80">
            <v>52</v>
          </cell>
          <cell r="AD80">
            <v>50.14</v>
          </cell>
          <cell r="AE80">
            <v>86.2</v>
          </cell>
          <cell r="AF80">
            <v>81.459999999999994</v>
          </cell>
          <cell r="AG80">
            <v>74.3</v>
          </cell>
          <cell r="AH80">
            <v>43.8</v>
          </cell>
          <cell r="AI80">
            <v>43.8</v>
          </cell>
          <cell r="AJ80">
            <v>50.652618880064345</v>
          </cell>
        </row>
        <row r="81">
          <cell r="E81">
            <v>79.92</v>
          </cell>
          <cell r="F81">
            <v>77</v>
          </cell>
          <cell r="G81">
            <v>74</v>
          </cell>
          <cell r="H81">
            <v>76</v>
          </cell>
          <cell r="I81">
            <v>65.260000000000005</v>
          </cell>
          <cell r="J81">
            <v>80.34</v>
          </cell>
          <cell r="K81">
            <v>74.069999999999993</v>
          </cell>
          <cell r="L81">
            <v>70.16</v>
          </cell>
          <cell r="M81">
            <v>70.66</v>
          </cell>
          <cell r="N81">
            <v>71.5</v>
          </cell>
          <cell r="O81">
            <v>75.2</v>
          </cell>
          <cell r="P81">
            <v>70.98</v>
          </cell>
          <cell r="Q81">
            <v>73.319999999999993</v>
          </cell>
          <cell r="R81">
            <v>62.88</v>
          </cell>
          <cell r="S81">
            <v>79.586745225770983</v>
          </cell>
          <cell r="T81">
            <v>83.381534793359251</v>
          </cell>
          <cell r="U81">
            <v>83.74080960483748</v>
          </cell>
          <cell r="V81">
            <v>84.662705889732194</v>
          </cell>
          <cell r="W81">
            <v>82.840096255740022</v>
          </cell>
          <cell r="X81">
            <v>82.840096255740022</v>
          </cell>
          <cell r="Y81">
            <v>84.2</v>
          </cell>
          <cell r="Z81">
            <v>85.1</v>
          </cell>
          <cell r="AA81">
            <v>54.8</v>
          </cell>
          <cell r="AB81">
            <v>45</v>
          </cell>
          <cell r="AC81">
            <v>45</v>
          </cell>
          <cell r="AD81">
            <v>47.48</v>
          </cell>
          <cell r="AE81">
            <v>83.4</v>
          </cell>
          <cell r="AF81">
            <v>77.16</v>
          </cell>
          <cell r="AG81">
            <v>72.900000000000006</v>
          </cell>
          <cell r="AH81">
            <v>39.9</v>
          </cell>
          <cell r="AI81">
            <v>39.9</v>
          </cell>
          <cell r="AJ81">
            <v>47.888321995464835</v>
          </cell>
        </row>
        <row r="82">
          <cell r="E82">
            <v>76.2</v>
          </cell>
          <cell r="F82">
            <v>69</v>
          </cell>
          <cell r="G82">
            <v>66</v>
          </cell>
          <cell r="H82">
            <v>70.5</v>
          </cell>
          <cell r="I82">
            <v>60.4</v>
          </cell>
          <cell r="J82">
            <v>77.319999999999993</v>
          </cell>
          <cell r="K82">
            <v>70.239999999999995</v>
          </cell>
          <cell r="L82">
            <v>68.2</v>
          </cell>
          <cell r="M82">
            <v>66.7</v>
          </cell>
          <cell r="N82">
            <v>69.3</v>
          </cell>
          <cell r="O82">
            <v>74.8</v>
          </cell>
          <cell r="P82">
            <v>65.5</v>
          </cell>
          <cell r="Q82">
            <v>72.430000000000007</v>
          </cell>
          <cell r="R82">
            <v>60.91</v>
          </cell>
          <cell r="S82">
            <v>72.518237525532541</v>
          </cell>
          <cell r="T82">
            <v>80.381660871674626</v>
          </cell>
          <cell r="U82">
            <v>81.304984262146633</v>
          </cell>
          <cell r="V82">
            <v>80.556006586662008</v>
          </cell>
          <cell r="W82">
            <v>79.157659191357027</v>
          </cell>
          <cell r="X82">
            <v>79.157659191357027</v>
          </cell>
          <cell r="Y82">
            <v>80.5</v>
          </cell>
          <cell r="Z82">
            <v>82.6</v>
          </cell>
          <cell r="AA82">
            <v>52.56</v>
          </cell>
          <cell r="AB82">
            <v>35</v>
          </cell>
          <cell r="AC82">
            <v>35</v>
          </cell>
          <cell r="AD82">
            <v>44</v>
          </cell>
          <cell r="AE82">
            <v>79</v>
          </cell>
          <cell r="AF82">
            <v>72</v>
          </cell>
          <cell r="AG82">
            <v>70.5</v>
          </cell>
          <cell r="AH82">
            <v>34.799999999999997</v>
          </cell>
          <cell r="AI82">
            <v>34.799999999999997</v>
          </cell>
          <cell r="AJ82">
            <v>43.594146079484425</v>
          </cell>
        </row>
        <row r="83">
          <cell r="E83">
            <v>71</v>
          </cell>
          <cell r="F83">
            <v>55</v>
          </cell>
          <cell r="G83">
            <v>50</v>
          </cell>
          <cell r="H83">
            <v>40</v>
          </cell>
          <cell r="I83">
            <v>20</v>
          </cell>
          <cell r="J83">
            <v>63</v>
          </cell>
          <cell r="K83">
            <v>66</v>
          </cell>
          <cell r="L83">
            <v>66</v>
          </cell>
          <cell r="M83">
            <v>67</v>
          </cell>
          <cell r="N83">
            <v>64.8</v>
          </cell>
          <cell r="O83">
            <v>67.7</v>
          </cell>
          <cell r="P83">
            <v>44.5</v>
          </cell>
          <cell r="Q83">
            <v>65</v>
          </cell>
          <cell r="R83">
            <v>58</v>
          </cell>
          <cell r="S83">
            <v>61.872725802539023</v>
          </cell>
          <cell r="T83">
            <v>73.975250302563538</v>
          </cell>
          <cell r="U83">
            <v>77.485229719630325</v>
          </cell>
          <cell r="V83">
            <v>74.370167312600429</v>
          </cell>
          <cell r="W83">
            <v>73.672788585111874</v>
          </cell>
          <cell r="X83">
            <v>73.672788585111874</v>
          </cell>
          <cell r="Y83">
            <v>74</v>
          </cell>
          <cell r="Z83">
            <v>52</v>
          </cell>
          <cell r="AA83">
            <v>36.5</v>
          </cell>
          <cell r="AB83">
            <v>31</v>
          </cell>
          <cell r="AC83">
            <v>31</v>
          </cell>
          <cell r="AD83">
            <v>30</v>
          </cell>
          <cell r="AE83">
            <v>57</v>
          </cell>
          <cell r="AF83">
            <v>60</v>
          </cell>
          <cell r="AG83">
            <v>63.4</v>
          </cell>
          <cell r="AH83">
            <v>28.3</v>
          </cell>
          <cell r="AI83">
            <v>28.3</v>
          </cell>
          <cell r="AJ83">
            <v>38.331961403808371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oleObject" Target="../embeddings/oleObject4.bin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7.bin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6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5.bin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fitToPage="1"/>
  </sheetPr>
  <dimension ref="A1:Y106"/>
  <sheetViews>
    <sheetView topLeftCell="A52" zoomScale="130" zoomScaleNormal="130" workbookViewId="0">
      <selection activeCell="E17" sqref="E17"/>
    </sheetView>
  </sheetViews>
  <sheetFormatPr defaultRowHeight="12.75" x14ac:dyDescent="0.2"/>
  <cols>
    <col min="1" max="1" width="21.42578125" bestFit="1" customWidth="1"/>
    <col min="2" max="2" width="12.7109375" customWidth="1"/>
    <col min="3" max="3" width="13.28515625" customWidth="1"/>
    <col min="4" max="4" width="4.7109375" customWidth="1"/>
    <col min="5" max="5" width="13.28515625" customWidth="1"/>
    <col min="6" max="6" width="4.7109375" customWidth="1"/>
    <col min="7" max="7" width="9.5703125" bestFit="1" customWidth="1"/>
    <col min="10" max="10" width="9" customWidth="1"/>
    <col min="15" max="16" width="9.140625" customWidth="1"/>
    <col min="17" max="21" width="9.140625" hidden="1" customWidth="1"/>
    <col min="22" max="23" width="9.7109375" hidden="1" customWidth="1"/>
    <col min="24" max="25" width="9.140625" hidden="1" customWidth="1"/>
  </cols>
  <sheetData>
    <row r="1" spans="1:22" x14ac:dyDescent="0.2">
      <c r="A1" s="18" t="s">
        <v>13</v>
      </c>
      <c r="B1" s="19"/>
      <c r="C1" s="19"/>
      <c r="D1" s="19"/>
      <c r="E1" s="19"/>
      <c r="F1" s="19"/>
      <c r="G1" s="19"/>
      <c r="H1" s="19"/>
      <c r="I1" s="19"/>
      <c r="J1" s="19"/>
      <c r="K1" s="20"/>
      <c r="L1" t="s">
        <v>158</v>
      </c>
      <c r="R1" s="76" t="s">
        <v>4</v>
      </c>
      <c r="S1" s="77"/>
      <c r="T1" s="78" t="s">
        <v>45</v>
      </c>
    </row>
    <row r="2" spans="1:22" ht="15.95" customHeight="1" x14ac:dyDescent="0.2">
      <c r="A2" s="28"/>
      <c r="B2" s="28"/>
      <c r="C2" s="28"/>
      <c r="D2" s="28"/>
      <c r="E2" s="28"/>
      <c r="F2" s="22"/>
      <c r="G2" s="23" t="s">
        <v>27</v>
      </c>
      <c r="H2" s="396" t="s">
        <v>297</v>
      </c>
      <c r="I2" s="397"/>
      <c r="J2" s="398"/>
      <c r="K2" s="25"/>
      <c r="L2" t="s">
        <v>220</v>
      </c>
      <c r="R2" s="79" t="s">
        <v>11</v>
      </c>
      <c r="S2" s="80">
        <v>1</v>
      </c>
      <c r="T2" s="81">
        <f>IF($S$2=1,$C$6*101325,IF($S$2=2,101325+100*$C$6,IF($S$2=3,101325+9.81*$C$6,101325+$C$6)))</f>
        <v>101325</v>
      </c>
      <c r="U2" t="str">
        <f>IF(S2=1,"[bar(abs)]",IF(S2=2,"[mbar(g)]",IF(S2=3,"[mm wk(g)]","[Pa (g)]")))</f>
        <v>[bar(abs)]</v>
      </c>
    </row>
    <row r="3" spans="1:22" ht="15.95" customHeight="1" x14ac:dyDescent="0.2">
      <c r="A3" s="28"/>
      <c r="B3" s="28"/>
      <c r="C3" s="28"/>
      <c r="D3" s="28"/>
      <c r="E3" s="28"/>
      <c r="F3" s="22"/>
      <c r="G3" s="27" t="s">
        <v>26</v>
      </c>
      <c r="H3" s="396" t="s">
        <v>299</v>
      </c>
      <c r="I3" s="397"/>
      <c r="J3" s="398"/>
      <c r="K3" s="25"/>
      <c r="L3" s="261" t="s">
        <v>292</v>
      </c>
      <c r="R3" s="79" t="s">
        <v>12</v>
      </c>
      <c r="S3" s="80"/>
      <c r="T3" s="273">
        <f>T2-C28</f>
        <v>99481.384405059158</v>
      </c>
    </row>
    <row r="4" spans="1:22" ht="15.95" customHeight="1" x14ac:dyDescent="0.2">
      <c r="A4" s="300" t="s">
        <v>10</v>
      </c>
      <c r="B4" s="19"/>
      <c r="C4" s="318" t="s">
        <v>264</v>
      </c>
      <c r="D4" s="22"/>
      <c r="E4" s="268"/>
      <c r="F4" s="22"/>
      <c r="G4" s="23" t="s">
        <v>25</v>
      </c>
      <c r="H4" s="396"/>
      <c r="I4" s="397"/>
      <c r="J4" s="398"/>
      <c r="K4" s="25"/>
      <c r="R4" s="79" t="s">
        <v>62</v>
      </c>
      <c r="S4" s="80"/>
      <c r="T4" s="82"/>
    </row>
    <row r="5" spans="1:22" ht="15.95" customHeight="1" thickBot="1" x14ac:dyDescent="0.25">
      <c r="A5" s="26" t="s">
        <v>7</v>
      </c>
      <c r="B5" s="22" t="s">
        <v>2</v>
      </c>
      <c r="C5" s="319">
        <v>120</v>
      </c>
      <c r="D5" s="22"/>
      <c r="E5" s="28"/>
      <c r="F5" s="28"/>
      <c r="G5" s="23" t="s">
        <v>24</v>
      </c>
      <c r="H5" s="399">
        <v>43865</v>
      </c>
      <c r="I5" s="397"/>
      <c r="J5" s="398"/>
      <c r="K5" s="29"/>
      <c r="Q5" s="2"/>
      <c r="R5" s="274" t="s">
        <v>61</v>
      </c>
      <c r="S5" s="90"/>
      <c r="T5" s="275"/>
      <c r="U5" s="1"/>
    </row>
    <row r="6" spans="1:22" ht="15.95" customHeight="1" x14ac:dyDescent="0.2">
      <c r="A6" s="26" t="s">
        <v>6</v>
      </c>
      <c r="B6" s="22"/>
      <c r="C6" s="319">
        <v>1</v>
      </c>
      <c r="D6" s="22"/>
      <c r="E6" s="28"/>
      <c r="F6" s="28"/>
      <c r="G6" s="23" t="s">
        <v>181</v>
      </c>
      <c r="H6" s="396" t="s">
        <v>298</v>
      </c>
      <c r="I6" s="397"/>
      <c r="J6" s="398"/>
      <c r="K6" s="29"/>
      <c r="Q6" s="4"/>
      <c r="R6" s="277" t="s">
        <v>49</v>
      </c>
      <c r="S6" s="77"/>
      <c r="T6" s="13">
        <f>T2/101325*273/(273+C5)</f>
        <v>0.69465648854961837</v>
      </c>
      <c r="U6" s="1"/>
    </row>
    <row r="7" spans="1:22" ht="15.95" customHeight="1" thickBot="1" x14ac:dyDescent="0.25">
      <c r="A7" s="26" t="s">
        <v>104</v>
      </c>
      <c r="B7" s="28"/>
      <c r="C7" s="319">
        <v>75000</v>
      </c>
      <c r="D7" s="28"/>
      <c r="E7" s="28"/>
      <c r="F7" s="28"/>
      <c r="G7" s="22"/>
      <c r="H7" s="28"/>
      <c r="I7" s="30"/>
      <c r="J7" s="22"/>
      <c r="K7" s="25"/>
      <c r="R7" s="278" t="s">
        <v>49</v>
      </c>
      <c r="S7" s="87"/>
      <c r="T7" s="15">
        <f>T3/101325*273/(273+C5)</f>
        <v>0.68201716424251824</v>
      </c>
    </row>
    <row r="8" spans="1:22" ht="15.95" customHeight="1" x14ac:dyDescent="0.2">
      <c r="A8" s="264" t="s">
        <v>269</v>
      </c>
      <c r="B8" s="28"/>
      <c r="C8" s="319">
        <v>0.89770000000000005</v>
      </c>
      <c r="D8" s="28"/>
      <c r="E8" s="28"/>
      <c r="F8" s="28"/>
      <c r="G8" s="22"/>
      <c r="H8" s="28"/>
      <c r="I8" s="28"/>
      <c r="J8" s="22"/>
      <c r="K8" s="25"/>
      <c r="Q8" s="1"/>
      <c r="R8" s="276" t="s">
        <v>1</v>
      </c>
      <c r="S8" s="80"/>
      <c r="T8" s="14" t="s">
        <v>52</v>
      </c>
      <c r="U8" s="1" t="s">
        <v>58</v>
      </c>
      <c r="V8" t="s">
        <v>8</v>
      </c>
    </row>
    <row r="9" spans="1:22" ht="15.95" customHeight="1" x14ac:dyDescent="0.2">
      <c r="A9" s="26" t="s">
        <v>151</v>
      </c>
      <c r="B9" s="269" t="s">
        <v>267</v>
      </c>
      <c r="C9" s="319">
        <v>2.2700000000000001E-2</v>
      </c>
      <c r="D9" s="269" t="s">
        <v>272</v>
      </c>
      <c r="E9" s="28"/>
      <c r="F9" s="22"/>
      <c r="G9" s="22"/>
      <c r="H9" s="31"/>
      <c r="I9" s="30"/>
      <c r="J9" s="22"/>
      <c r="K9" s="25"/>
      <c r="R9" s="79" t="s">
        <v>46</v>
      </c>
      <c r="S9" s="80">
        <v>2</v>
      </c>
      <c r="T9" s="10">
        <f>IF(S9=1,1,IF(S9=2,3600,IF(S9=3,T6,T6*3600)))</f>
        <v>3600</v>
      </c>
      <c r="U9" s="4">
        <f>C7/T9</f>
        <v>20.833333333333332</v>
      </c>
      <c r="V9" s="55">
        <f>T6*U9</f>
        <v>14.472010178117049</v>
      </c>
    </row>
    <row r="10" spans="1:22" ht="15.95" customHeight="1" x14ac:dyDescent="0.2">
      <c r="A10" s="264" t="s">
        <v>270</v>
      </c>
      <c r="B10" s="28" t="s">
        <v>17</v>
      </c>
      <c r="C10" s="319">
        <v>1200</v>
      </c>
      <c r="D10" s="28"/>
      <c r="E10" s="28"/>
      <c r="F10" s="22"/>
      <c r="G10" s="22"/>
      <c r="H10" s="31"/>
      <c r="I10" s="30"/>
      <c r="J10" s="22"/>
      <c r="K10" s="25"/>
      <c r="R10" s="79" t="s">
        <v>47</v>
      </c>
      <c r="S10" s="80"/>
      <c r="T10" s="14"/>
      <c r="U10" s="4">
        <f>C7/T9*(T2/T3)</f>
        <v>21.219422232855933</v>
      </c>
      <c r="V10" s="55">
        <f>T6*U9</f>
        <v>14.472010178117049</v>
      </c>
    </row>
    <row r="11" spans="1:22" ht="15.95" customHeight="1" x14ac:dyDescent="0.2">
      <c r="A11" s="32" t="s">
        <v>18</v>
      </c>
      <c r="B11" s="301"/>
      <c r="C11" s="320">
        <v>1500</v>
      </c>
      <c r="D11" s="22"/>
      <c r="E11" s="286"/>
      <c r="F11" s="22"/>
      <c r="G11" s="22"/>
      <c r="H11" s="28"/>
      <c r="I11" s="28"/>
      <c r="J11" s="22"/>
      <c r="K11" s="25"/>
      <c r="R11" s="79" t="s">
        <v>8</v>
      </c>
      <c r="S11" s="80"/>
      <c r="T11" s="14"/>
      <c r="U11" s="4"/>
    </row>
    <row r="12" spans="1:22" ht="15.95" customHeight="1" thickBot="1" x14ac:dyDescent="0.25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5"/>
      <c r="M12" s="262" t="s">
        <v>260</v>
      </c>
      <c r="N12" s="261" t="s">
        <v>259</v>
      </c>
      <c r="R12" s="83" t="s">
        <v>9</v>
      </c>
      <c r="S12" s="84"/>
      <c r="T12" s="15"/>
      <c r="U12" s="4"/>
    </row>
    <row r="13" spans="1:22" ht="15.95" customHeight="1" thickBot="1" x14ac:dyDescent="0.25">
      <c r="A13" s="22"/>
      <c r="B13" s="22"/>
      <c r="C13" s="321" t="s">
        <v>264</v>
      </c>
      <c r="D13" s="321"/>
      <c r="E13" s="321" t="s">
        <v>265</v>
      </c>
      <c r="F13" s="22"/>
      <c r="G13" s="22"/>
      <c r="H13" s="22"/>
      <c r="I13" s="22"/>
      <c r="J13" s="22"/>
      <c r="K13" s="25"/>
      <c r="M13" s="262" t="s">
        <v>260</v>
      </c>
      <c r="N13" s="261" t="s">
        <v>273</v>
      </c>
      <c r="Q13" s="2"/>
      <c r="R13" s="85"/>
      <c r="S13" s="77"/>
      <c r="T13" s="13"/>
      <c r="U13" s="4"/>
    </row>
    <row r="14" spans="1:22" ht="15.95" customHeight="1" x14ac:dyDescent="0.2">
      <c r="A14" s="302" t="s">
        <v>262</v>
      </c>
      <c r="B14" s="19"/>
      <c r="C14" s="303"/>
      <c r="D14" s="19"/>
      <c r="E14" s="304"/>
      <c r="F14" s="22"/>
      <c r="G14" s="22"/>
      <c r="H14" s="22"/>
      <c r="I14" s="22"/>
      <c r="J14" s="22"/>
      <c r="K14" s="25"/>
      <c r="M14" s="262"/>
      <c r="N14" s="261"/>
      <c r="Q14" s="4"/>
      <c r="R14" s="76" t="s">
        <v>14</v>
      </c>
      <c r="S14" s="77"/>
      <c r="T14" s="279" t="s">
        <v>16</v>
      </c>
      <c r="U14" s="4" t="s">
        <v>15</v>
      </c>
    </row>
    <row r="15" spans="1:22" ht="15.95" customHeight="1" x14ac:dyDescent="0.2">
      <c r="A15" s="26" t="s">
        <v>28</v>
      </c>
      <c r="B15" s="31" t="s">
        <v>29</v>
      </c>
      <c r="C15" s="295">
        <v>120</v>
      </c>
      <c r="D15" s="22"/>
      <c r="E15" s="287">
        <v>120</v>
      </c>
      <c r="F15" s="22"/>
      <c r="G15" s="22"/>
      <c r="H15" s="22"/>
      <c r="I15" s="22"/>
      <c r="J15" s="22"/>
      <c r="K15" s="25"/>
      <c r="Q15" s="3"/>
      <c r="R15" s="79" t="s">
        <v>15</v>
      </c>
      <c r="S15" s="80">
        <v>2</v>
      </c>
      <c r="T15" s="280">
        <f>IF(S15=1,C8*T6,C8)</f>
        <v>0.89770000000000005</v>
      </c>
      <c r="U15" s="4">
        <f>T15/T6</f>
        <v>1.2922934065934066</v>
      </c>
    </row>
    <row r="16" spans="1:22" ht="15.95" customHeight="1" thickBot="1" x14ac:dyDescent="0.25">
      <c r="A16" s="26" t="s">
        <v>30</v>
      </c>
      <c r="B16" s="28" t="s">
        <v>3</v>
      </c>
      <c r="C16" s="295">
        <v>16</v>
      </c>
      <c r="D16" s="22"/>
      <c r="E16" s="287">
        <v>16</v>
      </c>
      <c r="F16" s="22"/>
      <c r="G16" s="22"/>
      <c r="H16" s="22"/>
      <c r="I16" s="22"/>
      <c r="J16" s="22"/>
      <c r="K16" s="25"/>
      <c r="R16" s="86" t="s">
        <v>16</v>
      </c>
      <c r="S16" s="87"/>
      <c r="T16" s="281">
        <f>IF(S15=1,C8*T7,C8)</f>
        <v>0.89770000000000005</v>
      </c>
      <c r="U16" s="4">
        <f>T16/T7</f>
        <v>1.3162425332755807</v>
      </c>
    </row>
    <row r="17" spans="1:23" ht="15.95" customHeight="1" x14ac:dyDescent="0.2">
      <c r="A17" s="26" t="s">
        <v>31</v>
      </c>
      <c r="B17" s="28" t="s">
        <v>0</v>
      </c>
      <c r="C17" s="296">
        <f>SQRT(U9/'Berekening trap 1'!K24/'Berekening trap 1'!K25/C16/C15)*1000</f>
        <v>341.99727682212148</v>
      </c>
      <c r="D17" s="22"/>
      <c r="E17" s="288">
        <f>SQRT(U10/'Berekening trap 2'!K24/'Berekening trap 2'!K25/E16/E15)*1000</f>
        <v>345.15172161353814</v>
      </c>
      <c r="F17" s="22"/>
      <c r="G17" s="22"/>
      <c r="H17" s="22"/>
      <c r="I17" s="22"/>
      <c r="J17" s="22"/>
      <c r="K17" s="25"/>
      <c r="R17" s="88"/>
      <c r="S17" s="80"/>
      <c r="T17" s="4"/>
      <c r="U17" s="1"/>
    </row>
    <row r="18" spans="1:23" ht="15.95" customHeight="1" x14ac:dyDescent="0.2">
      <c r="A18" s="26" t="s">
        <v>32</v>
      </c>
      <c r="B18" s="28" t="s">
        <v>0</v>
      </c>
      <c r="C18" s="295">
        <v>300</v>
      </c>
      <c r="D18" s="22"/>
      <c r="E18" s="287">
        <v>300</v>
      </c>
      <c r="F18" s="22"/>
      <c r="G18" s="22"/>
      <c r="H18" s="22"/>
      <c r="I18" s="22"/>
      <c r="J18" s="22"/>
      <c r="K18" s="25"/>
      <c r="R18" s="89" t="s">
        <v>19</v>
      </c>
      <c r="S18" s="80"/>
      <c r="T18" s="1" t="s">
        <v>103</v>
      </c>
      <c r="U18" t="s">
        <v>156</v>
      </c>
      <c r="V18" s="1" t="s">
        <v>16</v>
      </c>
      <c r="W18" t="s">
        <v>15</v>
      </c>
    </row>
    <row r="19" spans="1:23" ht="15.95" customHeight="1" x14ac:dyDescent="0.2">
      <c r="A19" s="26" t="s">
        <v>33</v>
      </c>
      <c r="B19" s="28"/>
      <c r="C19" s="26"/>
      <c r="D19" s="22"/>
      <c r="E19" s="25"/>
      <c r="F19" s="22"/>
      <c r="G19" s="22"/>
      <c r="H19" s="22"/>
      <c r="I19" s="22"/>
      <c r="J19" s="22"/>
      <c r="K19" s="25"/>
      <c r="R19" s="88" t="s">
        <v>20</v>
      </c>
      <c r="S19" s="80">
        <v>5</v>
      </c>
      <c r="T19" s="69">
        <f>IF(S19=1,1/1000*U9,IF(S19=2,V9/1000,IF(S19=3,U9,IF(S19=4,V9,1/3600))))</f>
        <v>2.7777777777777778E-4</v>
      </c>
      <c r="U19" s="71">
        <f>C11*T19</f>
        <v>0.41666666666666669</v>
      </c>
      <c r="V19" s="70">
        <f>U19/U9</f>
        <v>0.02</v>
      </c>
      <c r="W19" s="71">
        <f>U19/V9</f>
        <v>2.8791208791208792E-2</v>
      </c>
    </row>
    <row r="20" spans="1:23" ht="15.95" customHeight="1" x14ac:dyDescent="0.3">
      <c r="A20" s="26" t="s">
        <v>154</v>
      </c>
      <c r="B20" s="271" t="s">
        <v>263</v>
      </c>
      <c r="C20" s="295">
        <v>1</v>
      </c>
      <c r="D20" s="22"/>
      <c r="E20" s="287">
        <v>1</v>
      </c>
      <c r="F20" s="68" t="s">
        <v>157</v>
      </c>
      <c r="G20" s="28"/>
      <c r="H20" s="28"/>
      <c r="I20" s="22"/>
      <c r="J20" s="22"/>
      <c r="K20" s="25"/>
      <c r="Q20" s="2"/>
      <c r="R20" s="88" t="s">
        <v>21</v>
      </c>
      <c r="S20" s="80"/>
      <c r="T20" s="69"/>
      <c r="U20" s="308"/>
      <c r="V20" s="70">
        <f>C30*U9/U10/1000</f>
        <v>1.7194157781304996E-4</v>
      </c>
      <c r="W20" s="71">
        <f>C31/1000</f>
        <v>2.5210740554310935E-4</v>
      </c>
    </row>
    <row r="21" spans="1:23" ht="15.95" customHeight="1" x14ac:dyDescent="0.2">
      <c r="A21" s="26" t="s">
        <v>248</v>
      </c>
      <c r="B21" s="271" t="s">
        <v>263</v>
      </c>
      <c r="C21" s="297"/>
      <c r="D21" s="22"/>
      <c r="E21" s="289"/>
      <c r="F21" s="28" t="s">
        <v>148</v>
      </c>
      <c r="G21" s="28"/>
      <c r="H21" s="30"/>
      <c r="I21" s="22"/>
      <c r="J21" s="22"/>
      <c r="K21" s="25"/>
      <c r="Q21" s="4"/>
      <c r="R21" s="88" t="s">
        <v>16</v>
      </c>
      <c r="S21" s="80"/>
      <c r="T21" s="1"/>
      <c r="U21" s="3"/>
    </row>
    <row r="22" spans="1:23" ht="15.95" customHeight="1" x14ac:dyDescent="0.2">
      <c r="A22" s="290"/>
      <c r="B22" s="28"/>
      <c r="C22" s="290"/>
      <c r="D22" s="22"/>
      <c r="E22" s="29"/>
      <c r="F22" s="28"/>
      <c r="G22" s="28"/>
      <c r="H22" s="28"/>
      <c r="I22" s="22"/>
      <c r="J22" s="22"/>
      <c r="K22" s="25"/>
      <c r="Q22" s="4"/>
      <c r="R22" s="80" t="s">
        <v>15</v>
      </c>
      <c r="S22" s="90"/>
      <c r="T22" s="1"/>
      <c r="U22" s="3"/>
    </row>
    <row r="23" spans="1:23" ht="15.95" customHeight="1" x14ac:dyDescent="0.2">
      <c r="A23" s="21" t="s">
        <v>266</v>
      </c>
      <c r="B23" s="22"/>
      <c r="C23" s="26"/>
      <c r="D23" s="22"/>
      <c r="E23" s="291"/>
      <c r="F23" s="28"/>
      <c r="G23" s="28"/>
      <c r="H23" s="28"/>
      <c r="I23" s="22"/>
      <c r="J23" s="22"/>
      <c r="K23" s="25"/>
      <c r="R23" s="91" t="s">
        <v>57</v>
      </c>
      <c r="S23" s="92"/>
      <c r="T23" s="1"/>
      <c r="U23" s="3"/>
    </row>
    <row r="24" spans="1:23" ht="15.95" customHeight="1" x14ac:dyDescent="0.2">
      <c r="A24" s="26" t="s">
        <v>39</v>
      </c>
      <c r="B24" s="22" t="s">
        <v>3</v>
      </c>
      <c r="C24" s="298">
        <f>'Berekening trap 1'!R24</f>
        <v>20.793268862888318</v>
      </c>
      <c r="D24" s="22"/>
      <c r="E24" s="292">
        <f>'Berekening trap 2'!R24</f>
        <v>21.178615276940324</v>
      </c>
      <c r="F24" s="28"/>
      <c r="G24" s="28"/>
      <c r="H24" s="66"/>
      <c r="I24" s="22"/>
      <c r="J24" s="22"/>
      <c r="K24" s="25"/>
      <c r="R24" s="89" t="s">
        <v>22</v>
      </c>
      <c r="S24" s="80"/>
      <c r="T24" s="35"/>
      <c r="U24" s="3"/>
    </row>
    <row r="25" spans="1:23" ht="15.95" customHeight="1" x14ac:dyDescent="0.2">
      <c r="A25" s="26" t="s">
        <v>40</v>
      </c>
      <c r="B25" s="22" t="s">
        <v>3</v>
      </c>
      <c r="C25" s="298">
        <f>'Berekening trap 1'!R25</f>
        <v>26.059637776537201</v>
      </c>
      <c r="D25" s="22"/>
      <c r="E25" s="292">
        <f>'Berekening trap 2'!R25</f>
        <v>26.542581946350044</v>
      </c>
      <c r="F25" s="65"/>
      <c r="G25" s="28"/>
      <c r="H25" s="66"/>
      <c r="I25" s="22"/>
      <c r="J25" s="22"/>
      <c r="K25" s="25"/>
      <c r="L25" s="43"/>
      <c r="R25" s="88">
        <v>300</v>
      </c>
      <c r="S25" s="80">
        <v>6</v>
      </c>
      <c r="U25" s="3"/>
    </row>
    <row r="26" spans="1:23" ht="15.95" customHeight="1" x14ac:dyDescent="0.2">
      <c r="A26" s="26" t="s">
        <v>222</v>
      </c>
      <c r="B26" s="267" t="s">
        <v>263</v>
      </c>
      <c r="C26" s="299">
        <f>'Berekening trap 1'!B51</f>
        <v>0.69463594066856948</v>
      </c>
      <c r="D26" s="285"/>
      <c r="E26" s="293">
        <f>'Berekening trap 2'!B51</f>
        <v>0.68828745509611089</v>
      </c>
      <c r="F26" s="265"/>
      <c r="G26" s="322" t="s">
        <v>271</v>
      </c>
      <c r="H26" s="265"/>
      <c r="I26" s="265"/>
      <c r="J26" s="270"/>
      <c r="K26" s="25"/>
      <c r="R26" s="88">
        <v>350</v>
      </c>
      <c r="S26" s="35">
        <v>6</v>
      </c>
      <c r="T26" s="6"/>
    </row>
    <row r="27" spans="1:23" ht="15.95" customHeight="1" x14ac:dyDescent="0.2">
      <c r="A27" s="290" t="s">
        <v>41</v>
      </c>
      <c r="B27" s="28" t="s">
        <v>5</v>
      </c>
      <c r="C27" s="315">
        <f>'Berekening trap 1'!W190</f>
        <v>99.12435977464034</v>
      </c>
      <c r="D27" s="316"/>
      <c r="E27" s="317">
        <f>'Berekening trap 2'!P190</f>
        <v>73.762717663463661</v>
      </c>
      <c r="F27" s="325"/>
      <c r="G27" s="326">
        <f>100-100*G31/(W19*1000)</f>
        <v>99.770255801820099</v>
      </c>
      <c r="H27" s="266"/>
      <c r="I27" s="270"/>
      <c r="J27" s="270"/>
      <c r="K27" s="25"/>
      <c r="Q27" s="2"/>
      <c r="R27" s="88">
        <v>435</v>
      </c>
      <c r="S27" s="80"/>
      <c r="T27" s="6"/>
    </row>
    <row r="28" spans="1:23" ht="15.95" customHeight="1" x14ac:dyDescent="0.2">
      <c r="A28" s="290" t="s">
        <v>42</v>
      </c>
      <c r="B28" s="28" t="s">
        <v>84</v>
      </c>
      <c r="C28" s="311">
        <f>'Berekening trap 1'!R27</f>
        <v>1843.6155949408451</v>
      </c>
      <c r="D28" s="22"/>
      <c r="E28" s="312">
        <f>'Berekening trap 2'!R27</f>
        <v>1704.412128823423</v>
      </c>
      <c r="F28" s="26"/>
      <c r="G28" s="288">
        <f>C28+E28</f>
        <v>3548.0277237642681</v>
      </c>
      <c r="H28" s="22"/>
      <c r="I28" s="22"/>
      <c r="J28" s="270"/>
      <c r="K28" s="25"/>
      <c r="Q28" s="4"/>
      <c r="R28" s="80">
        <v>550</v>
      </c>
      <c r="S28" s="90"/>
      <c r="T28" s="6"/>
    </row>
    <row r="29" spans="1:23" ht="15.95" customHeight="1" x14ac:dyDescent="0.2">
      <c r="A29" s="26" t="s">
        <v>42</v>
      </c>
      <c r="B29" s="22" t="s">
        <v>85</v>
      </c>
      <c r="C29" s="311">
        <f>'Berekening trap 1'!R28</f>
        <v>1197.7679423131469</v>
      </c>
      <c r="D29" s="22"/>
      <c r="E29" s="312">
        <f>'Berekening trap 2'!R28</f>
        <v>1242.5740206825144</v>
      </c>
      <c r="F29" s="26"/>
      <c r="G29" s="288">
        <f>C29+E29</f>
        <v>2440.3419629956616</v>
      </c>
      <c r="H29" s="22"/>
      <c r="I29" s="22"/>
      <c r="J29" s="270"/>
      <c r="K29" s="25"/>
      <c r="R29" s="80">
        <v>750</v>
      </c>
      <c r="S29" s="93"/>
      <c r="T29" s="6"/>
    </row>
    <row r="30" spans="1:23" ht="15.95" customHeight="1" x14ac:dyDescent="0.2">
      <c r="A30" s="290" t="s">
        <v>43</v>
      </c>
      <c r="B30" s="269" t="s">
        <v>144</v>
      </c>
      <c r="C30" s="310">
        <f>'Berekening trap 1'!W191</f>
        <v>0.17512804507193092</v>
      </c>
      <c r="D30" s="22"/>
      <c r="E30" s="313">
        <f>'Berekening trap 2'!P191</f>
        <v>4.5112797224705244E-2</v>
      </c>
      <c r="F30" s="26"/>
      <c r="G30" s="323">
        <f>E30</f>
        <v>4.5112797224705244E-2</v>
      </c>
      <c r="H30" s="22"/>
      <c r="I30" s="22"/>
      <c r="J30" s="266"/>
      <c r="K30" s="25" t="s">
        <v>56</v>
      </c>
      <c r="Q30" s="4"/>
      <c r="R30" s="80">
        <v>850</v>
      </c>
      <c r="S30" s="80"/>
      <c r="T30" s="6"/>
    </row>
    <row r="31" spans="1:23" ht="15.95" customHeight="1" x14ac:dyDescent="0.2">
      <c r="A31" s="294" t="s">
        <v>43</v>
      </c>
      <c r="B31" s="34" t="s">
        <v>44</v>
      </c>
      <c r="C31" s="309">
        <f>'Berekening trap 1'!W192</f>
        <v>0.25210740554310934</v>
      </c>
      <c r="D31" s="34"/>
      <c r="E31" s="314">
        <f>'Berekening trap 2'!P192</f>
        <v>6.6146131783662271E-2</v>
      </c>
      <c r="F31" s="32"/>
      <c r="G31" s="324">
        <f>E31</f>
        <v>6.6146131783662271E-2</v>
      </c>
      <c r="H31" s="22"/>
      <c r="I31" s="22"/>
      <c r="J31" s="270"/>
      <c r="K31" s="25"/>
      <c r="R31" s="94" t="s">
        <v>59</v>
      </c>
      <c r="S31" s="92"/>
      <c r="T31" s="6"/>
    </row>
    <row r="32" spans="1:23" ht="15.95" customHeight="1" x14ac:dyDescent="0.2">
      <c r="A32" s="26"/>
      <c r="B32" s="22"/>
      <c r="C32" s="22"/>
      <c r="D32" s="22"/>
      <c r="E32" s="22"/>
      <c r="F32" s="22"/>
      <c r="G32" s="22"/>
      <c r="H32" s="22"/>
      <c r="I32" s="22"/>
      <c r="J32" s="258"/>
      <c r="K32" s="29"/>
      <c r="R32" s="94">
        <v>1850</v>
      </c>
      <c r="S32" s="94"/>
    </row>
    <row r="33" spans="1:25" ht="15.95" customHeight="1" x14ac:dyDescent="0.2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9"/>
      <c r="R33" s="92" t="s">
        <v>60</v>
      </c>
      <c r="S33" s="94"/>
      <c r="Y33" s="37"/>
    </row>
    <row r="34" spans="1:25" ht="15.95" customHeight="1" thickBot="1" x14ac:dyDescent="0.25">
      <c r="A34" s="272" t="s">
        <v>268</v>
      </c>
      <c r="B34" s="255"/>
      <c r="C34" s="24"/>
      <c r="D34" s="67" t="s">
        <v>249</v>
      </c>
      <c r="E34" s="22"/>
      <c r="F34" s="22"/>
      <c r="G34" s="22"/>
      <c r="H34" s="22"/>
      <c r="I34" s="22"/>
      <c r="J34" s="28"/>
      <c r="K34" s="29"/>
      <c r="R34" s="94"/>
      <c r="S34" s="94"/>
    </row>
    <row r="35" spans="1:25" ht="15.95" customHeight="1" x14ac:dyDescent="0.2">
      <c r="A35" s="252" t="s">
        <v>37</v>
      </c>
      <c r="B35" s="253" t="s">
        <v>38</v>
      </c>
      <c r="C35" s="252" t="s">
        <v>97</v>
      </c>
      <c r="D35" s="67" t="s">
        <v>50</v>
      </c>
      <c r="E35" s="22"/>
      <c r="F35" s="22"/>
      <c r="G35" s="22"/>
      <c r="H35" s="22"/>
      <c r="I35" s="22"/>
      <c r="J35" s="22"/>
      <c r="K35" s="25"/>
      <c r="Q35" s="2"/>
      <c r="R35" s="76" t="s">
        <v>34</v>
      </c>
      <c r="S35" s="77"/>
      <c r="T35" s="11"/>
      <c r="V35" s="37"/>
      <c r="Y35" s="36"/>
    </row>
    <row r="36" spans="1:25" ht="15.95" customHeight="1" x14ac:dyDescent="0.2">
      <c r="A36" s="55">
        <v>0.61699999999999999</v>
      </c>
      <c r="B36" s="55">
        <v>1E-3</v>
      </c>
      <c r="C36" s="257">
        <v>1</v>
      </c>
      <c r="D36" s="67" t="s">
        <v>296</v>
      </c>
      <c r="E36" s="22"/>
      <c r="F36" s="22"/>
      <c r="G36" s="22"/>
      <c r="H36" s="22"/>
      <c r="I36" s="22"/>
      <c r="J36" s="28"/>
      <c r="K36" s="29"/>
      <c r="Q36" s="4"/>
      <c r="R36" s="79" t="s">
        <v>35</v>
      </c>
      <c r="S36" s="80">
        <v>2</v>
      </c>
      <c r="T36" s="12">
        <v>2</v>
      </c>
      <c r="U36" t="str">
        <f>IF(S36=1,"NA","Y")</f>
        <v>Y</v>
      </c>
      <c r="Y36" s="37"/>
    </row>
    <row r="37" spans="1:25" ht="13.5" thickBot="1" x14ac:dyDescent="0.25">
      <c r="A37" s="55">
        <v>0.68600000000000005</v>
      </c>
      <c r="B37" s="55">
        <v>0.01</v>
      </c>
      <c r="C37" s="25">
        <f>C36+1</f>
        <v>2</v>
      </c>
      <c r="D37" s="67"/>
      <c r="E37" s="22"/>
      <c r="F37" s="22"/>
      <c r="G37" s="22"/>
      <c r="H37" s="22"/>
      <c r="I37" s="22"/>
      <c r="J37" s="22"/>
      <c r="K37" s="25"/>
      <c r="R37" s="95" t="s">
        <v>36</v>
      </c>
      <c r="S37" s="87">
        <v>1</v>
      </c>
      <c r="T37" s="16"/>
      <c r="U37" t="str">
        <f>IF(T36=1,"NA","Y")</f>
        <v>Y</v>
      </c>
      <c r="V37" s="37"/>
      <c r="Y37" s="37"/>
    </row>
    <row r="38" spans="1:25" x14ac:dyDescent="0.2">
      <c r="A38" s="55">
        <v>0.748</v>
      </c>
      <c r="B38" s="55">
        <v>0.02</v>
      </c>
      <c r="C38" s="25">
        <f t="shared" ref="C38:C101" si="0">C37+1</f>
        <v>3</v>
      </c>
      <c r="D38" s="67"/>
      <c r="E38" s="22"/>
      <c r="F38" s="22"/>
      <c r="G38" s="22"/>
      <c r="H38" s="22"/>
      <c r="I38" s="22"/>
      <c r="J38" s="22"/>
      <c r="K38" s="25"/>
      <c r="Q38" s="4"/>
      <c r="R38" s="7"/>
      <c r="S38" s="6"/>
      <c r="V38" s="37"/>
      <c r="Y38" s="37"/>
    </row>
    <row r="39" spans="1:25" x14ac:dyDescent="0.2">
      <c r="A39" s="55">
        <v>0.85</v>
      </c>
      <c r="B39" s="55">
        <v>0.06</v>
      </c>
      <c r="C39" s="25">
        <f t="shared" si="0"/>
        <v>4</v>
      </c>
      <c r="D39" s="67"/>
      <c r="E39" s="22"/>
      <c r="F39" s="22"/>
      <c r="G39" s="22"/>
      <c r="H39" s="22"/>
      <c r="I39" s="22"/>
      <c r="J39" s="22"/>
      <c r="K39" s="25"/>
      <c r="R39" s="17"/>
      <c r="S39" s="6"/>
      <c r="T39" s="6"/>
      <c r="U39" s="6"/>
      <c r="V39" s="37"/>
      <c r="Y39" s="47"/>
    </row>
    <row r="40" spans="1:25" x14ac:dyDescent="0.2">
      <c r="A40" s="55">
        <v>0.94699999999999995</v>
      </c>
      <c r="B40" s="55">
        <v>0.1</v>
      </c>
      <c r="C40" s="25">
        <f t="shared" si="0"/>
        <v>5</v>
      </c>
      <c r="D40" s="67"/>
      <c r="E40" s="22"/>
      <c r="F40" s="22"/>
      <c r="G40" s="22"/>
      <c r="H40" s="22"/>
      <c r="I40" s="22"/>
      <c r="J40" s="22"/>
      <c r="K40" s="25"/>
      <c r="R40" s="7"/>
      <c r="S40" s="6"/>
      <c r="T40" s="6"/>
      <c r="U40" s="6"/>
      <c r="V40" s="47"/>
    </row>
    <row r="41" spans="1:25" x14ac:dyDescent="0.2">
      <c r="A41" s="55">
        <v>1.054</v>
      </c>
      <c r="B41" s="55">
        <v>0.16</v>
      </c>
      <c r="C41" s="25">
        <f t="shared" si="0"/>
        <v>6</v>
      </c>
      <c r="D41" s="67"/>
      <c r="E41" s="22"/>
      <c r="F41" s="22"/>
      <c r="G41" s="22"/>
      <c r="H41" s="22"/>
      <c r="I41" s="22"/>
      <c r="J41" s="258"/>
      <c r="K41" s="29"/>
    </row>
    <row r="42" spans="1:25" x14ac:dyDescent="0.2">
      <c r="A42" s="55">
        <v>1.1779999999999999</v>
      </c>
      <c r="B42" s="55">
        <v>0.23</v>
      </c>
      <c r="C42" s="25">
        <f t="shared" si="0"/>
        <v>7</v>
      </c>
      <c r="D42" s="67"/>
      <c r="E42" s="22"/>
      <c r="F42" s="22"/>
      <c r="G42" s="22"/>
      <c r="H42" s="22"/>
      <c r="I42" s="22"/>
      <c r="J42" s="28"/>
      <c r="K42" s="29"/>
    </row>
    <row r="43" spans="1:25" x14ac:dyDescent="0.2">
      <c r="A43" s="55">
        <v>1.3049999999999999</v>
      </c>
      <c r="B43" s="55">
        <v>0.3</v>
      </c>
      <c r="C43" s="25">
        <f t="shared" si="0"/>
        <v>8</v>
      </c>
      <c r="D43" s="67"/>
      <c r="E43" s="22"/>
      <c r="F43" s="22"/>
      <c r="G43" s="22"/>
      <c r="H43" s="22"/>
      <c r="I43" s="22"/>
      <c r="J43" s="22"/>
      <c r="K43" s="25"/>
      <c r="N43" s="1"/>
      <c r="R43" s="6"/>
      <c r="S43" s="6"/>
      <c r="T43" s="6"/>
    </row>
    <row r="44" spans="1:25" x14ac:dyDescent="0.2">
      <c r="A44" s="55">
        <v>1.4530000000000001</v>
      </c>
      <c r="B44" s="55">
        <v>0.39</v>
      </c>
      <c r="C44" s="25">
        <f t="shared" si="0"/>
        <v>9</v>
      </c>
      <c r="D44" s="67"/>
      <c r="E44" s="22"/>
      <c r="F44" s="22"/>
      <c r="G44" s="22"/>
      <c r="H44" s="22"/>
      <c r="I44" s="22"/>
      <c r="J44" s="28"/>
      <c r="K44" s="29"/>
      <c r="R44" s="6"/>
      <c r="S44" s="6"/>
      <c r="T44" s="6"/>
    </row>
    <row r="45" spans="1:25" x14ac:dyDescent="0.2">
      <c r="A45" s="55">
        <v>1.617</v>
      </c>
      <c r="B45" s="55">
        <v>0.49</v>
      </c>
      <c r="C45" s="25">
        <f t="shared" si="0"/>
        <v>10</v>
      </c>
      <c r="D45" s="67"/>
      <c r="E45" s="22"/>
      <c r="F45" s="22"/>
      <c r="G45" s="22"/>
      <c r="H45" s="22"/>
      <c r="I45" s="22"/>
      <c r="J45" s="22"/>
      <c r="K45" s="25"/>
      <c r="R45" s="6"/>
      <c r="S45" s="6"/>
      <c r="T45" s="6"/>
    </row>
    <row r="46" spans="1:25" x14ac:dyDescent="0.2">
      <c r="A46" s="55">
        <v>1.8</v>
      </c>
      <c r="B46" s="55">
        <v>0.6</v>
      </c>
      <c r="C46" s="25">
        <f t="shared" si="0"/>
        <v>11</v>
      </c>
      <c r="D46" s="67"/>
      <c r="E46" s="22"/>
      <c r="F46" s="22"/>
      <c r="G46" s="22"/>
      <c r="H46" s="22"/>
      <c r="I46" s="22"/>
      <c r="J46" s="22"/>
      <c r="K46" s="25"/>
    </row>
    <row r="47" spans="1:25" x14ac:dyDescent="0.2">
      <c r="A47" s="55">
        <v>2.0030000000000001</v>
      </c>
      <c r="B47" s="55">
        <v>0.73</v>
      </c>
      <c r="C47" s="25">
        <f t="shared" si="0"/>
        <v>12</v>
      </c>
      <c r="D47" s="67"/>
      <c r="E47" s="22"/>
      <c r="F47" s="22"/>
      <c r="G47" s="22"/>
      <c r="H47" s="22"/>
      <c r="I47" s="22"/>
      <c r="J47" s="22"/>
      <c r="K47" s="25"/>
    </row>
    <row r="48" spans="1:25" x14ac:dyDescent="0.2">
      <c r="A48" s="55">
        <v>2.23</v>
      </c>
      <c r="B48" s="55">
        <v>0.88</v>
      </c>
      <c r="C48" s="25">
        <f t="shared" si="0"/>
        <v>13</v>
      </c>
      <c r="D48" s="67"/>
      <c r="E48" s="22"/>
      <c r="F48" s="22"/>
      <c r="G48" s="22"/>
      <c r="H48" s="22"/>
      <c r="I48" s="22"/>
      <c r="J48" s="22"/>
      <c r="K48" s="25"/>
    </row>
    <row r="49" spans="1:11" x14ac:dyDescent="0.2">
      <c r="A49" s="55">
        <v>2.4820000000000002</v>
      </c>
      <c r="B49" s="55">
        <v>1.08</v>
      </c>
      <c r="C49" s="25">
        <f t="shared" si="0"/>
        <v>14</v>
      </c>
      <c r="D49" s="67"/>
      <c r="E49" s="22"/>
      <c r="F49" s="22"/>
      <c r="G49" s="22"/>
      <c r="H49" s="22"/>
      <c r="I49" s="22"/>
      <c r="J49" s="258"/>
      <c r="K49" s="29"/>
    </row>
    <row r="50" spans="1:11" x14ac:dyDescent="0.2">
      <c r="A50" s="55">
        <v>2.762</v>
      </c>
      <c r="B50" s="55">
        <v>1.26</v>
      </c>
      <c r="C50" s="25">
        <f t="shared" si="0"/>
        <v>15</v>
      </c>
      <c r="D50" s="67"/>
      <c r="E50" s="22"/>
      <c r="F50" s="22"/>
      <c r="G50" s="22"/>
      <c r="H50" s="22"/>
      <c r="I50" s="22"/>
      <c r="J50" s="28"/>
      <c r="K50" s="29"/>
    </row>
    <row r="51" spans="1:11" x14ac:dyDescent="0.2">
      <c r="A51" s="55">
        <v>3.0750000000000002</v>
      </c>
      <c r="B51" s="55">
        <v>1.49</v>
      </c>
      <c r="C51" s="25">
        <f t="shared" si="0"/>
        <v>16</v>
      </c>
      <c r="D51" s="67"/>
      <c r="E51" s="22"/>
      <c r="F51" s="22"/>
      <c r="G51" s="22"/>
      <c r="H51" s="22"/>
      <c r="I51" s="22"/>
      <c r="J51" s="22"/>
      <c r="K51" s="25"/>
    </row>
    <row r="52" spans="1:11" x14ac:dyDescent="0.2">
      <c r="A52" s="55">
        <v>3.4220000000000002</v>
      </c>
      <c r="B52" s="55">
        <v>1.76</v>
      </c>
      <c r="C52" s="25">
        <f t="shared" si="0"/>
        <v>17</v>
      </c>
      <c r="D52" s="67"/>
      <c r="E52" s="22"/>
      <c r="F52" s="22"/>
      <c r="G52" s="22"/>
      <c r="H52" s="22"/>
      <c r="I52" s="22"/>
      <c r="J52" s="22"/>
      <c r="K52" s="25"/>
    </row>
    <row r="53" spans="1:11" x14ac:dyDescent="0.2">
      <c r="A53" s="55">
        <v>3.8</v>
      </c>
      <c r="B53" s="55">
        <v>2.0499999999999998</v>
      </c>
      <c r="C53" s="25">
        <f t="shared" si="0"/>
        <v>18</v>
      </c>
      <c r="D53" s="67"/>
      <c r="E53" s="22"/>
      <c r="F53" s="22"/>
      <c r="G53" s="22"/>
      <c r="H53" s="22"/>
      <c r="I53" s="22"/>
      <c r="J53" s="22"/>
      <c r="K53" s="25"/>
    </row>
    <row r="54" spans="1:11" x14ac:dyDescent="0.2">
      <c r="A54" s="55">
        <v>4.2389999999999999</v>
      </c>
      <c r="B54" s="55">
        <v>2.38</v>
      </c>
      <c r="C54" s="25">
        <f t="shared" si="0"/>
        <v>19</v>
      </c>
      <c r="D54" s="67"/>
      <c r="E54" s="22"/>
      <c r="F54" s="22"/>
      <c r="G54" s="22"/>
      <c r="H54" s="22"/>
      <c r="I54" s="22"/>
      <c r="J54" s="22"/>
      <c r="K54" s="25"/>
    </row>
    <row r="55" spans="1:11" x14ac:dyDescent="0.2">
      <c r="A55" s="55">
        <v>4.7160000000000002</v>
      </c>
      <c r="B55" s="55">
        <v>2.75</v>
      </c>
      <c r="C55" s="25">
        <f t="shared" si="0"/>
        <v>20</v>
      </c>
      <c r="D55" s="67"/>
      <c r="E55" s="22"/>
      <c r="F55" s="22"/>
      <c r="G55" s="22"/>
      <c r="H55" s="22"/>
      <c r="I55" s="22"/>
      <c r="J55" s="258"/>
      <c r="K55" s="29"/>
    </row>
    <row r="56" spans="1:11" x14ac:dyDescent="0.2">
      <c r="A56" s="55">
        <v>5.2519999999999998</v>
      </c>
      <c r="B56" s="55">
        <v>3.15</v>
      </c>
      <c r="C56" s="25">
        <f t="shared" si="0"/>
        <v>21</v>
      </c>
      <c r="D56" s="67"/>
      <c r="E56" s="22"/>
      <c r="F56" s="22"/>
      <c r="G56" s="22"/>
      <c r="H56" s="22"/>
      <c r="I56" s="22"/>
      <c r="J56" s="28"/>
      <c r="K56" s="29"/>
    </row>
    <row r="57" spans="1:11" x14ac:dyDescent="0.2">
      <c r="A57" s="55">
        <v>5.8449999999999998</v>
      </c>
      <c r="B57" s="55">
        <v>3.61</v>
      </c>
      <c r="C57" s="25">
        <f t="shared" si="0"/>
        <v>22</v>
      </c>
      <c r="D57" s="67"/>
      <c r="E57" s="22"/>
      <c r="F57" s="22"/>
      <c r="G57" s="22"/>
      <c r="H57" s="22"/>
      <c r="I57" s="22"/>
      <c r="J57" s="22"/>
      <c r="K57" s="25"/>
    </row>
    <row r="58" spans="1:11" x14ac:dyDescent="0.2">
      <c r="A58" s="55">
        <v>6.5049999999999999</v>
      </c>
      <c r="B58" s="55">
        <v>4.1100000000000003</v>
      </c>
      <c r="C58" s="25">
        <f t="shared" si="0"/>
        <v>23</v>
      </c>
      <c r="D58" s="67"/>
      <c r="E58" s="22"/>
      <c r="F58" s="22"/>
      <c r="G58" s="22"/>
      <c r="H58" s="22"/>
      <c r="I58" s="22"/>
      <c r="J58" s="22"/>
      <c r="K58" s="25"/>
    </row>
    <row r="59" spans="1:11" x14ac:dyDescent="0.2">
      <c r="A59" s="55">
        <v>7.2409999999999997</v>
      </c>
      <c r="B59" s="55">
        <v>4.67</v>
      </c>
      <c r="C59" s="25">
        <f t="shared" si="0"/>
        <v>24</v>
      </c>
      <c r="D59" s="67"/>
      <c r="E59" s="22"/>
      <c r="F59" s="22"/>
      <c r="G59" s="22"/>
      <c r="H59" s="22"/>
      <c r="I59" s="22"/>
      <c r="J59" s="22"/>
      <c r="K59" s="25"/>
    </row>
    <row r="60" spans="1:11" x14ac:dyDescent="0.2">
      <c r="A60" s="55">
        <v>8.0589999999999993</v>
      </c>
      <c r="B60" s="55">
        <v>5.3</v>
      </c>
      <c r="C60" s="25">
        <f t="shared" si="0"/>
        <v>25</v>
      </c>
      <c r="D60" s="67"/>
      <c r="E60" s="22"/>
      <c r="F60" s="22"/>
      <c r="G60" s="22"/>
      <c r="H60" s="22"/>
      <c r="I60" s="22"/>
      <c r="J60" s="22"/>
      <c r="K60" s="25"/>
    </row>
    <row r="61" spans="1:11" x14ac:dyDescent="0.2">
      <c r="A61" s="55">
        <v>8.9700000000000006</v>
      </c>
      <c r="B61" s="55">
        <v>6</v>
      </c>
      <c r="C61" s="25">
        <f t="shared" si="0"/>
        <v>26</v>
      </c>
      <c r="D61" s="67"/>
      <c r="E61" s="22"/>
      <c r="F61" s="22"/>
      <c r="G61" s="22"/>
      <c r="H61" s="22"/>
      <c r="I61" s="22"/>
      <c r="J61" s="22"/>
      <c r="K61" s="25"/>
    </row>
    <row r="62" spans="1:11" x14ac:dyDescent="0.2">
      <c r="A62" s="55">
        <v>9.9</v>
      </c>
      <c r="B62" s="55">
        <v>6.8</v>
      </c>
      <c r="C62" s="25">
        <f t="shared" si="0"/>
        <v>27</v>
      </c>
      <c r="D62" s="67"/>
      <c r="E62" s="22"/>
      <c r="F62" s="22"/>
      <c r="G62" s="22"/>
      <c r="H62" s="22"/>
      <c r="I62" s="22"/>
      <c r="J62" s="22"/>
      <c r="K62" s="25"/>
    </row>
    <row r="63" spans="1:11" x14ac:dyDescent="0.2">
      <c r="A63" s="55">
        <v>11.11</v>
      </c>
      <c r="B63" s="55">
        <v>7.7</v>
      </c>
      <c r="C63" s="25">
        <f t="shared" si="0"/>
        <v>28</v>
      </c>
      <c r="D63" s="67"/>
      <c r="E63" s="22"/>
      <c r="F63" s="22"/>
      <c r="G63" s="22"/>
      <c r="H63" s="22"/>
      <c r="I63" s="22"/>
      <c r="J63" s="22"/>
      <c r="K63" s="25"/>
    </row>
    <row r="64" spans="1:11" x14ac:dyDescent="0.2">
      <c r="A64" s="55">
        <v>12.38</v>
      </c>
      <c r="B64" s="55">
        <v>8.7100000000000009</v>
      </c>
      <c r="C64" s="25">
        <f t="shared" si="0"/>
        <v>29</v>
      </c>
      <c r="D64" s="67"/>
      <c r="E64" s="22"/>
      <c r="F64" s="22"/>
      <c r="G64" s="22"/>
      <c r="H64" s="22"/>
      <c r="I64" s="22"/>
      <c r="J64" s="22"/>
      <c r="K64" s="25"/>
    </row>
    <row r="65" spans="1:11" x14ac:dyDescent="0.2">
      <c r="A65" s="55">
        <v>13.76</v>
      </c>
      <c r="B65" s="55">
        <v>9.84</v>
      </c>
      <c r="C65" s="25">
        <f t="shared" si="0"/>
        <v>30</v>
      </c>
      <c r="D65" s="67"/>
      <c r="E65" s="22"/>
      <c r="F65" s="22"/>
      <c r="G65" s="22"/>
      <c r="H65" s="22"/>
      <c r="I65" s="22"/>
      <c r="J65" s="22"/>
      <c r="K65" s="25"/>
    </row>
    <row r="66" spans="1:11" x14ac:dyDescent="0.2">
      <c r="A66" s="55">
        <v>15.32</v>
      </c>
      <c r="B66" s="55">
        <v>11.08</v>
      </c>
      <c r="C66" s="25">
        <f t="shared" si="0"/>
        <v>31</v>
      </c>
      <c r="D66" s="67"/>
      <c r="E66" s="22"/>
      <c r="F66" s="22"/>
      <c r="G66" s="22"/>
      <c r="H66" s="22"/>
      <c r="I66" s="22"/>
      <c r="J66" s="22"/>
      <c r="K66" s="25"/>
    </row>
    <row r="67" spans="1:11" x14ac:dyDescent="0.2">
      <c r="A67" s="55">
        <v>17.5</v>
      </c>
      <c r="B67" s="55">
        <v>12.41</v>
      </c>
      <c r="C67" s="25">
        <f t="shared" si="0"/>
        <v>32</v>
      </c>
      <c r="D67" s="67"/>
      <c r="E67" s="22"/>
      <c r="F67" s="22"/>
      <c r="G67" s="22"/>
      <c r="H67" s="22"/>
      <c r="I67" s="22"/>
      <c r="J67" s="22"/>
      <c r="K67" s="25"/>
    </row>
    <row r="68" spans="1:11" x14ac:dyDescent="0.2">
      <c r="A68" s="55">
        <v>18.97</v>
      </c>
      <c r="B68" s="55">
        <v>13.82</v>
      </c>
      <c r="C68" s="25">
        <f t="shared" si="0"/>
        <v>33</v>
      </c>
      <c r="D68" s="67"/>
      <c r="E68" s="22"/>
      <c r="F68" s="22"/>
      <c r="G68" s="22"/>
      <c r="H68" s="22"/>
      <c r="I68" s="22"/>
      <c r="J68" s="22"/>
      <c r="K68" s="25"/>
    </row>
    <row r="69" spans="1:11" x14ac:dyDescent="0.2">
      <c r="A69" s="55">
        <v>21.21</v>
      </c>
      <c r="B69" s="55">
        <v>15.32</v>
      </c>
      <c r="C69" s="25">
        <f t="shared" si="0"/>
        <v>34</v>
      </c>
      <c r="D69" s="67"/>
      <c r="E69" s="22"/>
      <c r="F69" s="22"/>
      <c r="G69" s="22"/>
      <c r="H69" s="22"/>
      <c r="I69" s="22"/>
      <c r="J69" s="22"/>
      <c r="K69" s="25"/>
    </row>
    <row r="70" spans="1:11" x14ac:dyDescent="0.2">
      <c r="A70" s="55">
        <v>23.51</v>
      </c>
      <c r="B70" s="55">
        <v>16.86</v>
      </c>
      <c r="C70" s="25">
        <f t="shared" si="0"/>
        <v>35</v>
      </c>
      <c r="D70" s="67"/>
      <c r="E70" s="22"/>
      <c r="F70" s="22"/>
      <c r="G70" s="22"/>
      <c r="H70" s="22"/>
      <c r="I70" s="22"/>
      <c r="J70" s="22"/>
      <c r="K70" s="25"/>
    </row>
    <row r="71" spans="1:11" x14ac:dyDescent="0.2">
      <c r="A71" s="55">
        <v>26.16</v>
      </c>
      <c r="B71" s="55">
        <v>18.48</v>
      </c>
      <c r="C71" s="25">
        <f t="shared" si="0"/>
        <v>36</v>
      </c>
      <c r="D71" s="67"/>
      <c r="E71" s="22"/>
      <c r="F71" s="22"/>
      <c r="G71" s="22"/>
      <c r="H71" s="22"/>
      <c r="I71" s="22"/>
      <c r="J71" s="22"/>
      <c r="K71" s="25"/>
    </row>
    <row r="72" spans="1:11" x14ac:dyDescent="0.2">
      <c r="A72" s="55">
        <v>29.12</v>
      </c>
      <c r="B72" s="55">
        <v>20.190000000000001</v>
      </c>
      <c r="C72" s="25">
        <f t="shared" si="0"/>
        <v>37</v>
      </c>
      <c r="D72" s="67"/>
      <c r="E72" s="22"/>
      <c r="F72" s="22"/>
      <c r="G72" s="22"/>
      <c r="H72" s="22"/>
      <c r="I72" s="22"/>
      <c r="J72" s="22"/>
      <c r="K72" s="25"/>
    </row>
    <row r="73" spans="1:11" x14ac:dyDescent="0.2">
      <c r="A73" s="55">
        <v>32.14</v>
      </c>
      <c r="B73" s="55">
        <v>22.04</v>
      </c>
      <c r="C73" s="25">
        <f t="shared" si="0"/>
        <v>38</v>
      </c>
      <c r="D73" s="67"/>
      <c r="E73" s="22"/>
      <c r="F73" s="22"/>
      <c r="G73" s="22"/>
      <c r="H73" s="22"/>
      <c r="I73" s="22"/>
      <c r="J73" s="22"/>
      <c r="K73" s="25"/>
    </row>
    <row r="74" spans="1:11" x14ac:dyDescent="0.2">
      <c r="A74" s="55">
        <v>37.07</v>
      </c>
      <c r="B74" s="55">
        <v>24.07</v>
      </c>
      <c r="C74" s="25">
        <f t="shared" si="0"/>
        <v>39</v>
      </c>
      <c r="D74" s="67"/>
      <c r="E74" s="22"/>
      <c r="F74" s="22"/>
      <c r="G74" s="22"/>
      <c r="H74" s="22"/>
      <c r="I74" s="22"/>
      <c r="J74" s="22"/>
      <c r="K74" s="25"/>
    </row>
    <row r="75" spans="1:11" x14ac:dyDescent="0.2">
      <c r="A75" s="55">
        <v>40.15</v>
      </c>
      <c r="B75" s="55">
        <v>26.35</v>
      </c>
      <c r="C75" s="25">
        <f t="shared" si="0"/>
        <v>40</v>
      </c>
      <c r="D75" s="67"/>
      <c r="E75" s="22"/>
      <c r="F75" s="22"/>
      <c r="G75" s="22"/>
      <c r="H75" s="22"/>
      <c r="I75" s="22"/>
      <c r="J75" s="22"/>
      <c r="K75" s="25"/>
    </row>
    <row r="76" spans="1:11" x14ac:dyDescent="0.2">
      <c r="A76" s="55">
        <v>44.89</v>
      </c>
      <c r="B76" s="55">
        <v>28.94</v>
      </c>
      <c r="C76" s="25">
        <f t="shared" si="0"/>
        <v>41</v>
      </c>
      <c r="D76" s="67"/>
      <c r="E76" s="22"/>
      <c r="F76" s="22"/>
      <c r="G76" s="22"/>
      <c r="H76" s="22"/>
      <c r="I76" s="22"/>
      <c r="J76" s="22"/>
      <c r="K76" s="25"/>
    </row>
    <row r="77" spans="1:11" x14ac:dyDescent="0.2">
      <c r="A77" s="55">
        <v>49.74</v>
      </c>
      <c r="B77" s="55">
        <v>31.8</v>
      </c>
      <c r="C77" s="25">
        <f t="shared" si="0"/>
        <v>42</v>
      </c>
      <c r="D77" s="67"/>
      <c r="E77" s="22"/>
      <c r="F77" s="22"/>
      <c r="G77" s="22"/>
      <c r="H77" s="22"/>
      <c r="I77" s="22"/>
      <c r="J77" s="22"/>
      <c r="K77" s="25"/>
    </row>
    <row r="78" spans="1:11" x14ac:dyDescent="0.2">
      <c r="A78" s="55">
        <v>55.36</v>
      </c>
      <c r="B78" s="55">
        <v>35.28</v>
      </c>
      <c r="C78" s="25">
        <f t="shared" si="0"/>
        <v>43</v>
      </c>
      <c r="D78" s="67"/>
      <c r="E78" s="22"/>
      <c r="F78" s="22"/>
      <c r="G78" s="22"/>
      <c r="H78" s="22"/>
      <c r="I78" s="22"/>
      <c r="J78" s="22"/>
      <c r="K78" s="25"/>
    </row>
    <row r="79" spans="1:11" x14ac:dyDescent="0.2">
      <c r="A79" s="55">
        <v>61.61</v>
      </c>
      <c r="B79" s="55">
        <v>39.130000000000003</v>
      </c>
      <c r="C79" s="25">
        <f t="shared" si="0"/>
        <v>44</v>
      </c>
      <c r="D79" s="67"/>
      <c r="E79" s="22"/>
      <c r="F79" s="22"/>
      <c r="G79" s="22"/>
      <c r="H79" s="22"/>
      <c r="I79" s="22"/>
      <c r="J79" s="22"/>
      <c r="K79" s="25"/>
    </row>
    <row r="80" spans="1:11" x14ac:dyDescent="0.2">
      <c r="A80" s="55">
        <v>68.58</v>
      </c>
      <c r="B80" s="55">
        <v>43.44</v>
      </c>
      <c r="C80" s="25">
        <f t="shared" si="0"/>
        <v>45</v>
      </c>
      <c r="D80" s="67"/>
      <c r="E80" s="22"/>
      <c r="F80" s="22"/>
      <c r="G80" s="22"/>
      <c r="H80" s="22"/>
      <c r="I80" s="22"/>
      <c r="J80" s="22"/>
      <c r="K80" s="25"/>
    </row>
    <row r="81" spans="1:11" x14ac:dyDescent="0.2">
      <c r="A81" s="55">
        <v>73.33</v>
      </c>
      <c r="B81" s="55">
        <v>48.18</v>
      </c>
      <c r="C81" s="25">
        <f t="shared" si="0"/>
        <v>46</v>
      </c>
      <c r="D81" s="67"/>
      <c r="E81" s="22"/>
      <c r="F81" s="22"/>
      <c r="G81" s="22"/>
      <c r="H81" s="22"/>
      <c r="I81" s="22"/>
      <c r="J81" s="22"/>
      <c r="K81" s="25"/>
    </row>
    <row r="82" spans="1:11" x14ac:dyDescent="0.2">
      <c r="A82" s="55">
        <v>84.95</v>
      </c>
      <c r="B82" s="55">
        <v>53.28</v>
      </c>
      <c r="C82" s="25">
        <f t="shared" si="0"/>
        <v>47</v>
      </c>
      <c r="D82" s="67"/>
      <c r="E82" s="22"/>
      <c r="F82" s="22"/>
      <c r="G82" s="22"/>
      <c r="H82" s="22"/>
      <c r="I82" s="22"/>
      <c r="J82" s="22"/>
      <c r="K82" s="25"/>
    </row>
    <row r="83" spans="1:11" x14ac:dyDescent="0.2">
      <c r="A83" s="55">
        <v>94.55</v>
      </c>
      <c r="B83" s="55">
        <v>58.65</v>
      </c>
      <c r="C83" s="25">
        <f t="shared" si="0"/>
        <v>48</v>
      </c>
      <c r="D83" s="67"/>
      <c r="E83" s="22"/>
      <c r="F83" s="22"/>
      <c r="G83" s="22"/>
      <c r="H83" s="22"/>
      <c r="I83" s="22"/>
      <c r="J83" s="22"/>
      <c r="K83" s="25"/>
    </row>
    <row r="84" spans="1:11" x14ac:dyDescent="0.2">
      <c r="A84" s="55">
        <v>105.2</v>
      </c>
      <c r="B84" s="55">
        <v>64.16</v>
      </c>
      <c r="C84" s="25">
        <f t="shared" si="0"/>
        <v>49</v>
      </c>
      <c r="D84" s="67"/>
      <c r="E84" s="22"/>
      <c r="F84" s="22"/>
      <c r="G84" s="22"/>
      <c r="H84" s="22"/>
      <c r="I84" s="22"/>
      <c r="J84" s="22"/>
      <c r="K84" s="25"/>
    </row>
    <row r="85" spans="1:11" x14ac:dyDescent="0.2">
      <c r="A85" s="55">
        <v>117.1</v>
      </c>
      <c r="B85" s="55">
        <v>69.709999999999994</v>
      </c>
      <c r="C85" s="25">
        <f t="shared" si="0"/>
        <v>50</v>
      </c>
      <c r="D85" s="67"/>
      <c r="E85" s="22"/>
      <c r="F85" s="22"/>
      <c r="G85" s="22"/>
      <c r="H85" s="22"/>
      <c r="I85" s="22"/>
      <c r="J85" s="22"/>
      <c r="K85" s="25"/>
    </row>
    <row r="86" spans="1:11" x14ac:dyDescent="0.2">
      <c r="A86" s="55">
        <v>200</v>
      </c>
      <c r="B86" s="55">
        <v>100</v>
      </c>
      <c r="C86" s="25">
        <f t="shared" si="0"/>
        <v>51</v>
      </c>
      <c r="D86" s="67"/>
      <c r="E86" s="22"/>
      <c r="F86" s="22"/>
      <c r="G86" s="22"/>
      <c r="H86" s="22"/>
      <c r="I86" s="22"/>
      <c r="J86" s="22"/>
      <c r="K86" s="25"/>
    </row>
    <row r="87" spans="1:11" x14ac:dyDescent="0.2">
      <c r="A87" s="364"/>
      <c r="B87" s="240"/>
      <c r="C87" s="25">
        <f t="shared" si="0"/>
        <v>52</v>
      </c>
      <c r="D87" s="67"/>
      <c r="E87" s="22"/>
      <c r="F87" s="22"/>
      <c r="G87" s="22"/>
      <c r="H87" s="22"/>
      <c r="I87" s="22"/>
      <c r="J87" s="22"/>
      <c r="K87" s="25"/>
    </row>
    <row r="88" spans="1:11" x14ac:dyDescent="0.2">
      <c r="A88" s="364"/>
      <c r="B88" s="240"/>
      <c r="C88" s="25">
        <f t="shared" si="0"/>
        <v>53</v>
      </c>
      <c r="D88" s="67"/>
      <c r="E88" s="22"/>
      <c r="F88" s="22"/>
      <c r="G88" s="22"/>
      <c r="H88" s="22"/>
      <c r="I88" s="22"/>
      <c r="J88" s="22"/>
      <c r="K88" s="25"/>
    </row>
    <row r="89" spans="1:11" x14ac:dyDescent="0.2">
      <c r="A89" s="364"/>
      <c r="B89" s="240"/>
      <c r="C89" s="25">
        <f t="shared" si="0"/>
        <v>54</v>
      </c>
      <c r="D89" s="67"/>
      <c r="E89" s="22"/>
      <c r="F89" s="22"/>
      <c r="G89" s="22"/>
      <c r="H89" s="22"/>
      <c r="I89" s="22"/>
      <c r="J89" s="22"/>
      <c r="K89" s="25"/>
    </row>
    <row r="90" spans="1:11" x14ac:dyDescent="0.2">
      <c r="A90" s="364"/>
      <c r="B90" s="240"/>
      <c r="C90" s="25">
        <f t="shared" si="0"/>
        <v>55</v>
      </c>
      <c r="D90" s="67"/>
      <c r="E90" s="22"/>
      <c r="F90" s="22"/>
      <c r="G90" s="22"/>
      <c r="H90" s="22"/>
      <c r="I90" s="22"/>
      <c r="J90" s="22"/>
      <c r="K90" s="25"/>
    </row>
    <row r="91" spans="1:11" x14ac:dyDescent="0.2">
      <c r="A91" s="364"/>
      <c r="B91" s="240"/>
      <c r="C91" s="25">
        <f t="shared" si="0"/>
        <v>56</v>
      </c>
      <c r="D91" s="67"/>
      <c r="E91" s="22"/>
      <c r="F91" s="22"/>
      <c r="G91" s="22"/>
      <c r="H91" s="22"/>
      <c r="I91" s="22"/>
      <c r="J91" s="22"/>
      <c r="K91" s="25"/>
    </row>
    <row r="92" spans="1:11" x14ac:dyDescent="0.2">
      <c r="A92" s="364"/>
      <c r="B92" s="240"/>
      <c r="C92" s="25">
        <f t="shared" si="0"/>
        <v>57</v>
      </c>
      <c r="D92" s="67"/>
      <c r="E92" s="22"/>
      <c r="F92" s="22"/>
      <c r="G92" s="22"/>
      <c r="H92" s="22"/>
      <c r="I92" s="22"/>
      <c r="J92" s="22"/>
      <c r="K92" s="25"/>
    </row>
    <row r="93" spans="1:11" x14ac:dyDescent="0.2">
      <c r="A93" s="364"/>
      <c r="B93" s="240"/>
      <c r="C93" s="25">
        <f t="shared" si="0"/>
        <v>58</v>
      </c>
      <c r="D93" s="67"/>
      <c r="E93" s="22"/>
      <c r="F93" s="22"/>
      <c r="G93" s="22"/>
      <c r="H93" s="22"/>
      <c r="I93" s="22"/>
      <c r="J93" s="22"/>
      <c r="K93" s="25"/>
    </row>
    <row r="94" spans="1:11" x14ac:dyDescent="0.2">
      <c r="A94" s="364"/>
      <c r="B94" s="240"/>
      <c r="C94" s="25">
        <f t="shared" si="0"/>
        <v>59</v>
      </c>
      <c r="D94" s="67"/>
      <c r="E94" s="22"/>
      <c r="F94" s="22"/>
      <c r="G94" s="22"/>
      <c r="H94" s="22"/>
      <c r="I94" s="22"/>
      <c r="J94" s="22"/>
      <c r="K94" s="25"/>
    </row>
    <row r="95" spans="1:11" x14ac:dyDescent="0.2">
      <c r="A95" s="364"/>
      <c r="B95" s="240"/>
      <c r="C95" s="25">
        <f t="shared" si="0"/>
        <v>60</v>
      </c>
      <c r="D95" s="67"/>
      <c r="E95" s="22"/>
      <c r="F95" s="22"/>
      <c r="G95" s="22"/>
      <c r="H95" s="22"/>
      <c r="I95" s="22"/>
      <c r="J95" s="22"/>
      <c r="K95" s="25"/>
    </row>
    <row r="96" spans="1:11" x14ac:dyDescent="0.2">
      <c r="A96" s="364"/>
      <c r="B96" s="240"/>
      <c r="C96" s="25">
        <f t="shared" si="0"/>
        <v>61</v>
      </c>
      <c r="D96" s="67"/>
      <c r="E96" s="22"/>
      <c r="F96" s="22"/>
      <c r="G96" s="22"/>
      <c r="H96" s="22"/>
      <c r="I96" s="22"/>
      <c r="J96" s="22"/>
      <c r="K96" s="25"/>
    </row>
    <row r="97" spans="1:11" x14ac:dyDescent="0.2">
      <c r="A97" s="364"/>
      <c r="B97" s="240"/>
      <c r="C97" s="25">
        <f t="shared" si="0"/>
        <v>62</v>
      </c>
      <c r="D97" s="67"/>
      <c r="E97" s="22"/>
      <c r="F97" s="22"/>
      <c r="G97" s="22"/>
      <c r="H97" s="22"/>
      <c r="I97" s="22"/>
      <c r="J97" s="22"/>
      <c r="K97" s="25"/>
    </row>
    <row r="98" spans="1:11" x14ac:dyDescent="0.2">
      <c r="A98" s="364"/>
      <c r="B98" s="240"/>
      <c r="C98" s="25">
        <f t="shared" si="0"/>
        <v>63</v>
      </c>
      <c r="D98" s="67"/>
      <c r="E98" s="22"/>
      <c r="F98" s="22"/>
      <c r="G98" s="22"/>
      <c r="H98" s="22"/>
      <c r="I98" s="22"/>
      <c r="J98" s="22"/>
      <c r="K98" s="25"/>
    </row>
    <row r="99" spans="1:11" x14ac:dyDescent="0.2">
      <c r="A99" s="364"/>
      <c r="B99" s="240"/>
      <c r="C99" s="25">
        <f t="shared" si="0"/>
        <v>64</v>
      </c>
      <c r="D99" s="67"/>
      <c r="E99" s="22"/>
      <c r="F99" s="22"/>
      <c r="G99" s="22"/>
      <c r="H99" s="22"/>
      <c r="I99" s="22"/>
      <c r="J99" s="22"/>
      <c r="K99" s="25"/>
    </row>
    <row r="100" spans="1:11" x14ac:dyDescent="0.2">
      <c r="A100" s="364"/>
      <c r="B100" s="240"/>
      <c r="C100" s="25">
        <f t="shared" si="0"/>
        <v>65</v>
      </c>
      <c r="D100" s="67"/>
      <c r="E100" s="22"/>
      <c r="F100" s="22"/>
      <c r="G100" s="22"/>
      <c r="H100" s="22"/>
      <c r="I100" s="22"/>
      <c r="J100" s="22"/>
      <c r="K100" s="25"/>
    </row>
    <row r="101" spans="1:11" x14ac:dyDescent="0.2">
      <c r="A101" s="364"/>
      <c r="B101" s="240"/>
      <c r="C101" s="25">
        <f t="shared" si="0"/>
        <v>66</v>
      </c>
      <c r="D101" s="67"/>
      <c r="E101" s="22"/>
      <c r="F101" s="22"/>
      <c r="G101" s="22"/>
      <c r="H101" s="22"/>
      <c r="I101" s="22"/>
      <c r="J101" s="22"/>
      <c r="K101" s="25"/>
    </row>
    <row r="102" spans="1:11" x14ac:dyDescent="0.2">
      <c r="A102" s="364"/>
      <c r="B102" s="240"/>
      <c r="C102" s="25"/>
      <c r="D102" s="67"/>
      <c r="E102" s="22"/>
      <c r="F102" s="22"/>
      <c r="G102" s="22"/>
      <c r="H102" s="22"/>
      <c r="I102" s="22"/>
      <c r="J102" s="22"/>
      <c r="K102" s="25"/>
    </row>
    <row r="103" spans="1:11" x14ac:dyDescent="0.2">
      <c r="A103" s="364"/>
      <c r="B103" s="240"/>
      <c r="C103" s="25"/>
      <c r="D103" s="67"/>
      <c r="E103" s="22"/>
      <c r="F103" s="22"/>
      <c r="G103" s="22"/>
      <c r="H103" s="22"/>
      <c r="I103" s="22"/>
      <c r="J103" s="22"/>
      <c r="K103" s="25"/>
    </row>
    <row r="104" spans="1:11" x14ac:dyDescent="0.2">
      <c r="A104" s="364"/>
      <c r="B104" s="240"/>
      <c r="C104" s="25"/>
      <c r="D104" s="67"/>
      <c r="E104" s="22"/>
      <c r="F104" s="22"/>
      <c r="G104" s="22"/>
      <c r="H104" s="22"/>
      <c r="I104" s="22"/>
      <c r="J104" s="22"/>
      <c r="K104" s="25"/>
    </row>
    <row r="105" spans="1:11" x14ac:dyDescent="0.2">
      <c r="A105" s="365"/>
      <c r="B105" s="241"/>
      <c r="C105" s="33"/>
      <c r="D105" s="67"/>
      <c r="E105" s="22"/>
      <c r="F105" s="22"/>
      <c r="G105" s="22"/>
      <c r="H105" s="22"/>
      <c r="I105" s="22"/>
      <c r="J105" s="22"/>
      <c r="K105" s="25"/>
    </row>
    <row r="106" spans="1:11" x14ac:dyDescent="0.2">
      <c r="A106" s="32"/>
      <c r="B106" s="34"/>
      <c r="C106" s="34"/>
      <c r="D106" s="34"/>
      <c r="E106" s="34"/>
      <c r="F106" s="34"/>
      <c r="G106" s="34"/>
      <c r="H106" s="34"/>
      <c r="I106" s="34"/>
      <c r="J106" s="34"/>
      <c r="K106" s="33"/>
    </row>
  </sheetData>
  <mergeCells count="5">
    <mergeCell ref="H2:J2"/>
    <mergeCell ref="H6:J6"/>
    <mergeCell ref="H5:J5"/>
    <mergeCell ref="H4:J4"/>
    <mergeCell ref="H3:J3"/>
  </mergeCells>
  <phoneticPr fontId="0" type="noConversion"/>
  <pageMargins left="0.75" right="0.75" top="1" bottom="1" header="0.5" footer="0.5"/>
  <pageSetup paperSize="9" scale="5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locked="0" defaultSize="0" autoLine="0" autoPict="0">
                <anchor moveWithCells="1">
                  <from>
                    <xdr:col>1</xdr:col>
                    <xdr:colOff>9525</xdr:colOff>
                    <xdr:row>5</xdr:row>
                    <xdr:rowOff>0</xdr:rowOff>
                  </from>
                  <to>
                    <xdr:col>1</xdr:col>
                    <xdr:colOff>828675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Drop Down 14">
              <controlPr locked="0" defaultSize="0" autoLine="0" autoPict="0">
                <anchor moveWithCells="1">
                  <from>
                    <xdr:col>1</xdr:col>
                    <xdr:colOff>19050</xdr:colOff>
                    <xdr:row>6</xdr:row>
                    <xdr:rowOff>9525</xdr:rowOff>
                  </from>
                  <to>
                    <xdr:col>1</xdr:col>
                    <xdr:colOff>828675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Drop Down 15">
              <controlPr locked="0" defaultSize="0" autoLine="0" autoPict="0">
                <anchor moveWithCells="1">
                  <from>
                    <xdr:col>1</xdr:col>
                    <xdr:colOff>19050</xdr:colOff>
                    <xdr:row>7</xdr:row>
                    <xdr:rowOff>9525</xdr:rowOff>
                  </from>
                  <to>
                    <xdr:col>1</xdr:col>
                    <xdr:colOff>828675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Drop Down 16">
              <controlPr locked="0" defaultSize="0" autoLine="0" autoPict="0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828675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Drop Down 17">
              <controlPr locked="0" defaultSize="0" autoLine="0" autoPict="0">
                <anchor moveWithCells="1">
                  <from>
                    <xdr:col>2</xdr:col>
                    <xdr:colOff>9525</xdr:colOff>
                    <xdr:row>13</xdr:row>
                    <xdr:rowOff>0</xdr:rowOff>
                  </from>
                  <to>
                    <xdr:col>2</xdr:col>
                    <xdr:colOff>866775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Drop Down 18">
              <controlPr locked="0" defaultSize="0" autoLine="0" autoPict="0">
                <anchor moveWithCells="1">
                  <from>
                    <xdr:col>2</xdr:col>
                    <xdr:colOff>9525</xdr:colOff>
                    <xdr:row>20</xdr:row>
                    <xdr:rowOff>9525</xdr:rowOff>
                  </from>
                  <to>
                    <xdr:col>2</xdr:col>
                    <xdr:colOff>866775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0" name="Button 26">
              <controlPr defaultSize="0" print="0" autoFill="0" autoPict="0" macro="[0]!afdrukken">
                <anchor moveWithCells="1">
                  <from>
                    <xdr:col>8</xdr:col>
                    <xdr:colOff>66675</xdr:colOff>
                    <xdr:row>7</xdr:row>
                    <xdr:rowOff>76200</xdr:rowOff>
                  </from>
                  <to>
                    <xdr:col>10</xdr:col>
                    <xdr:colOff>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1" name="Drop Down 42">
              <controlPr locked="0" defaultSize="0" autoLine="0" autoPict="0">
                <anchor moveWithCells="1">
                  <from>
                    <xdr:col>4</xdr:col>
                    <xdr:colOff>9525</xdr:colOff>
                    <xdr:row>13</xdr:row>
                    <xdr:rowOff>0</xdr:rowOff>
                  </from>
                  <to>
                    <xdr:col>4</xdr:col>
                    <xdr:colOff>866775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2" name="Drop Down 43">
              <controlPr locked="0" defaultSize="0" autoLine="0" autoPict="0">
                <anchor moveWithCells="1">
                  <from>
                    <xdr:col>4</xdr:col>
                    <xdr:colOff>9525</xdr:colOff>
                    <xdr:row>20</xdr:row>
                    <xdr:rowOff>9525</xdr:rowOff>
                  </from>
                  <to>
                    <xdr:col>4</xdr:col>
                    <xdr:colOff>866775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A1:AD196"/>
  <sheetViews>
    <sheetView topLeftCell="A129" zoomScaleNormal="100" workbookViewId="0">
      <selection activeCell="J157" sqref="J157"/>
    </sheetView>
  </sheetViews>
  <sheetFormatPr defaultRowHeight="12.75" x14ac:dyDescent="0.2"/>
  <cols>
    <col min="1" max="9" width="10.7109375" customWidth="1"/>
    <col min="10" max="10" width="10.7109375" style="378" customWidth="1"/>
    <col min="11" max="30" width="10.7109375" customWidth="1"/>
  </cols>
  <sheetData>
    <row r="1" spans="1:24" x14ac:dyDescent="0.2">
      <c r="A1" s="9" t="s">
        <v>55</v>
      </c>
      <c r="B1" s="9"/>
    </row>
    <row r="4" spans="1:24" x14ac:dyDescent="0.2">
      <c r="A4" t="s">
        <v>188</v>
      </c>
    </row>
    <row r="5" spans="1:24" x14ac:dyDescent="0.2">
      <c r="X5" s="37"/>
    </row>
    <row r="6" spans="1:24" x14ac:dyDescent="0.2">
      <c r="A6" s="41" t="str">
        <f>INVOER!A7</f>
        <v>Gasdebiet/batterij</v>
      </c>
      <c r="B6" s="5"/>
      <c r="C6" s="5">
        <f>INVOER!U9</f>
        <v>20.833333333333332</v>
      </c>
      <c r="D6" s="5" t="s">
        <v>48</v>
      </c>
      <c r="E6" s="5" t="s">
        <v>86</v>
      </c>
      <c r="F6" s="5"/>
      <c r="G6" s="5"/>
      <c r="H6" s="42"/>
      <c r="X6" s="37"/>
    </row>
    <row r="7" spans="1:24" x14ac:dyDescent="0.2">
      <c r="A7" s="43" t="str">
        <f>INVOER!A8</f>
        <v>Dichtheid gas</v>
      </c>
      <c r="B7" s="6"/>
      <c r="C7" s="6">
        <f>INVOER!T15</f>
        <v>0.89770000000000005</v>
      </c>
      <c r="D7" s="6" t="s">
        <v>16</v>
      </c>
      <c r="E7" s="6"/>
      <c r="F7" s="6"/>
      <c r="G7" s="6"/>
      <c r="H7" s="44"/>
      <c r="X7" s="37"/>
    </row>
    <row r="8" spans="1:24" x14ac:dyDescent="0.2">
      <c r="A8" s="43" t="str">
        <f>INVOER!A9</f>
        <v>Dyn. viscositeit gas</v>
      </c>
      <c r="B8" s="6"/>
      <c r="C8" s="6">
        <f>INVOER!C9</f>
        <v>2.2700000000000001E-2</v>
      </c>
      <c r="D8" s="6" t="str">
        <f>INVOER!B9</f>
        <v>mPas of cP</v>
      </c>
      <c r="E8" s="6"/>
      <c r="F8" s="6"/>
      <c r="G8" s="6"/>
      <c r="H8" s="44"/>
      <c r="X8" s="37"/>
    </row>
    <row r="9" spans="1:24" x14ac:dyDescent="0.2">
      <c r="A9" s="43" t="str">
        <f>INVOER!A10</f>
        <v>Deeltjesdichtheid</v>
      </c>
      <c r="B9" s="6"/>
      <c r="C9" s="6">
        <f>INVOER!C10</f>
        <v>1200</v>
      </c>
      <c r="D9" s="6" t="str">
        <f>INVOER!B10</f>
        <v>kg/m³</v>
      </c>
      <c r="E9" s="6"/>
      <c r="F9" s="6"/>
      <c r="G9" s="6"/>
      <c r="H9" s="44"/>
      <c r="X9" s="37"/>
    </row>
    <row r="10" spans="1:24" x14ac:dyDescent="0.2">
      <c r="A10" s="43"/>
      <c r="B10" s="6"/>
      <c r="C10" s="6"/>
      <c r="D10" s="6"/>
      <c r="E10" s="6"/>
      <c r="F10" s="6"/>
      <c r="G10" s="6"/>
      <c r="H10" s="44"/>
      <c r="X10" s="37"/>
    </row>
    <row r="11" spans="1:24" x14ac:dyDescent="0.2">
      <c r="A11" s="43" t="str">
        <f>INVOER!A14</f>
        <v>Cycloontype AC</v>
      </c>
      <c r="B11" s="6"/>
      <c r="C11" s="6">
        <f>INVOER!S25</f>
        <v>6</v>
      </c>
      <c r="D11" s="6"/>
      <c r="E11" s="6"/>
      <c r="F11" s="6"/>
      <c r="G11" s="6"/>
      <c r="H11" s="44"/>
      <c r="X11" s="37"/>
    </row>
    <row r="12" spans="1:24" x14ac:dyDescent="0.2">
      <c r="A12" s="43" t="str">
        <f>INVOER!A15</f>
        <v xml:space="preserve">Aantal cyclonen </v>
      </c>
      <c r="B12" s="6"/>
      <c r="C12" s="6">
        <f>INVOER!C15</f>
        <v>120</v>
      </c>
      <c r="D12" s="6" t="str">
        <f>INVOER!B15</f>
        <v>(parallel)</v>
      </c>
      <c r="E12" s="6"/>
      <c r="F12" s="6"/>
      <c r="G12" s="6"/>
      <c r="H12" s="44"/>
    </row>
    <row r="13" spans="1:24" x14ac:dyDescent="0.2">
      <c r="A13" s="43" t="s">
        <v>51</v>
      </c>
      <c r="B13" s="6"/>
      <c r="C13" s="6">
        <f>INVOER!C18</f>
        <v>300</v>
      </c>
      <c r="D13" s="6" t="str">
        <f>INVOER!B18</f>
        <v>mm</v>
      </c>
      <c r="E13" s="6"/>
      <c r="F13" s="6"/>
      <c r="G13" s="6"/>
      <c r="H13" s="44"/>
    </row>
    <row r="14" spans="1:24" x14ac:dyDescent="0.2">
      <c r="A14" s="43" t="s">
        <v>53</v>
      </c>
      <c r="B14" s="6"/>
      <c r="C14" s="6">
        <f>INVOER!C20</f>
        <v>1</v>
      </c>
      <c r="D14" s="6" t="s">
        <v>54</v>
      </c>
      <c r="E14" s="6"/>
      <c r="F14" s="6"/>
      <c r="G14" s="6"/>
      <c r="H14" s="44"/>
    </row>
    <row r="15" spans="1:24" x14ac:dyDescent="0.2">
      <c r="A15" s="43" t="s">
        <v>248</v>
      </c>
      <c r="B15" s="6"/>
      <c r="C15" s="118" t="str">
        <f>IF(INVOER!S36=1,"neen","ja")</f>
        <v>ja</v>
      </c>
      <c r="D15" s="6"/>
      <c r="E15" s="6"/>
      <c r="F15" s="6"/>
      <c r="G15" s="6"/>
      <c r="H15" s="44"/>
    </row>
    <row r="16" spans="1:24" x14ac:dyDescent="0.2">
      <c r="A16" s="45"/>
      <c r="B16" s="46"/>
      <c r="C16" s="46"/>
      <c r="D16" s="46"/>
      <c r="E16" s="46"/>
      <c r="F16" s="46"/>
      <c r="G16" s="46"/>
      <c r="H16" s="50"/>
    </row>
    <row r="20" spans="1:20" x14ac:dyDescent="0.2">
      <c r="A20" s="215" t="s">
        <v>210</v>
      </c>
      <c r="Q20" t="s">
        <v>189</v>
      </c>
    </row>
    <row r="22" spans="1:20" x14ac:dyDescent="0.2">
      <c r="A22" s="148"/>
      <c r="B22" s="39">
        <v>1</v>
      </c>
      <c r="C22" s="39">
        <v>2</v>
      </c>
      <c r="D22" s="39">
        <v>3</v>
      </c>
      <c r="E22" s="39">
        <v>4</v>
      </c>
      <c r="F22" s="39">
        <v>5</v>
      </c>
      <c r="G22" s="39">
        <v>6</v>
      </c>
      <c r="H22" s="39">
        <v>7</v>
      </c>
      <c r="I22" s="39">
        <v>8</v>
      </c>
      <c r="J22" s="379">
        <v>9</v>
      </c>
      <c r="K22" s="139">
        <f>HLOOKUP(INVOER!S$25,B$22:J$43,1)</f>
        <v>6</v>
      </c>
      <c r="Q22" s="41" t="s">
        <v>198</v>
      </c>
      <c r="R22" s="5"/>
      <c r="S22" s="5"/>
      <c r="T22" s="42"/>
    </row>
    <row r="23" spans="1:20" x14ac:dyDescent="0.2">
      <c r="A23" s="152" t="s">
        <v>23</v>
      </c>
      <c r="B23" s="149">
        <v>300</v>
      </c>
      <c r="C23" s="149">
        <v>350</v>
      </c>
      <c r="D23" s="149">
        <v>435</v>
      </c>
      <c r="E23" s="149">
        <v>550</v>
      </c>
      <c r="F23" s="149">
        <v>750</v>
      </c>
      <c r="G23" s="149">
        <v>850</v>
      </c>
      <c r="H23" s="367" t="s">
        <v>212</v>
      </c>
      <c r="I23" s="368">
        <v>1850</v>
      </c>
      <c r="J23" s="380" t="s">
        <v>213</v>
      </c>
      <c r="K23" s="153">
        <f>HLOOKUP(INVOER!S$25,B$22:J$43,2)</f>
        <v>850</v>
      </c>
      <c r="L23" t="s">
        <v>214</v>
      </c>
      <c r="Q23" s="43"/>
      <c r="R23" s="6"/>
      <c r="S23" s="6"/>
      <c r="T23" s="44"/>
    </row>
    <row r="24" spans="1:20" x14ac:dyDescent="0.2">
      <c r="A24" s="145" t="s">
        <v>63</v>
      </c>
      <c r="B24" s="40">
        <v>0.34</v>
      </c>
      <c r="C24" s="40">
        <v>0.32</v>
      </c>
      <c r="D24" s="40">
        <v>0.28199999999999997</v>
      </c>
      <c r="E24" s="40">
        <v>0.25</v>
      </c>
      <c r="F24" s="40">
        <v>0.216</v>
      </c>
      <c r="G24" s="136">
        <v>0.20300000000000001</v>
      </c>
      <c r="H24" s="40">
        <v>0.20300000000000001</v>
      </c>
      <c r="I24" s="40">
        <v>0.13600000000000001</v>
      </c>
      <c r="J24" s="381">
        <v>0.13600000000000001</v>
      </c>
      <c r="K24" s="140">
        <f>HLOOKUP(INVOER!S$25,B$22:J$43,3)</f>
        <v>0.20300000000000001</v>
      </c>
      <c r="Q24" s="41" t="s">
        <v>39</v>
      </c>
      <c r="R24" s="150">
        <f>C6/C12/K24/K25/(C13/1000)^2</f>
        <v>20.793268862888318</v>
      </c>
      <c r="S24" s="5" t="s">
        <v>3</v>
      </c>
      <c r="T24" s="42"/>
    </row>
    <row r="25" spans="1:20" x14ac:dyDescent="0.2">
      <c r="A25" s="145" t="s">
        <v>64</v>
      </c>
      <c r="B25" s="40">
        <v>0.77</v>
      </c>
      <c r="C25" s="40">
        <v>0.7</v>
      </c>
      <c r="D25" s="40">
        <v>0.64</v>
      </c>
      <c r="E25" s="40">
        <v>0.56999999999999995</v>
      </c>
      <c r="F25" s="40">
        <v>0.48599999999999999</v>
      </c>
      <c r="G25" s="136">
        <v>0.45700000000000002</v>
      </c>
      <c r="H25" s="40">
        <v>0.45700000000000002</v>
      </c>
      <c r="I25" s="40">
        <v>0.31</v>
      </c>
      <c r="J25" s="381">
        <v>0.31</v>
      </c>
      <c r="K25" s="140">
        <f>HLOOKUP(INVOER!S$25,B$22:J$43,4)</f>
        <v>0.45700000000000002</v>
      </c>
      <c r="Q25" s="43" t="s">
        <v>120</v>
      </c>
      <c r="R25" s="61">
        <f>C6/C12/(PI()/4*(C14*K27*C13/1000)^2)</f>
        <v>26.059637776537201</v>
      </c>
      <c r="S25" s="6" t="s">
        <v>3</v>
      </c>
      <c r="T25" s="44"/>
    </row>
    <row r="26" spans="1:20" x14ac:dyDescent="0.2">
      <c r="A26" s="145" t="s">
        <v>65</v>
      </c>
      <c r="B26" s="40">
        <v>0.63</v>
      </c>
      <c r="C26" s="40">
        <v>0.61699999999999999</v>
      </c>
      <c r="D26" s="40">
        <v>0.6</v>
      </c>
      <c r="E26" s="40">
        <v>0.57999999999999996</v>
      </c>
      <c r="F26" s="40">
        <v>0.56999999999999995</v>
      </c>
      <c r="G26" s="136">
        <v>0.56399999999999995</v>
      </c>
      <c r="H26" s="40">
        <v>0.56399999999999995</v>
      </c>
      <c r="I26" s="40">
        <v>0.53</v>
      </c>
      <c r="J26" s="381">
        <v>0.53</v>
      </c>
      <c r="K26" s="140">
        <f>HLOOKUP(INVOER!S$25,B$22:J$43,5)</f>
        <v>0.56399999999999995</v>
      </c>
      <c r="Q26" s="45"/>
      <c r="R26" s="46"/>
      <c r="S26" s="46"/>
      <c r="T26" s="50"/>
    </row>
    <row r="27" spans="1:20" x14ac:dyDescent="0.2">
      <c r="A27" s="145" t="s">
        <v>66</v>
      </c>
      <c r="B27" s="40">
        <v>0.68</v>
      </c>
      <c r="C27" s="40">
        <v>0.63</v>
      </c>
      <c r="D27" s="40">
        <v>0.56000000000000005</v>
      </c>
      <c r="E27" s="40">
        <v>0.45</v>
      </c>
      <c r="F27" s="40">
        <v>0.36499999999999999</v>
      </c>
      <c r="G27" s="136">
        <v>0.307</v>
      </c>
      <c r="H27" s="40">
        <v>0.307</v>
      </c>
      <c r="I27" s="40">
        <v>0.15</v>
      </c>
      <c r="J27" s="381">
        <v>0.15</v>
      </c>
      <c r="K27" s="140">
        <f>HLOOKUP(INVOER!S$25,B$22:J$43,6)</f>
        <v>0.307</v>
      </c>
      <c r="Q27" s="214" t="s">
        <v>211</v>
      </c>
      <c r="R27" s="216">
        <f>K43*0.5*C7*R24^2*C14^(-2.23)</f>
        <v>1843.6155949408451</v>
      </c>
      <c r="S27" s="198" t="s">
        <v>190</v>
      </c>
      <c r="T27" s="217"/>
    </row>
    <row r="28" spans="1:20" x14ac:dyDescent="0.2">
      <c r="A28" s="145" t="s">
        <v>67</v>
      </c>
      <c r="B28" s="40">
        <v>0.68</v>
      </c>
      <c r="C28" s="40">
        <v>0.63</v>
      </c>
      <c r="D28" s="40">
        <v>0.56000000000000005</v>
      </c>
      <c r="E28" s="40">
        <v>0.56000000000000005</v>
      </c>
      <c r="F28" s="40">
        <v>0.56000000000000005</v>
      </c>
      <c r="G28" s="136">
        <v>0.42799999999999999</v>
      </c>
      <c r="H28" s="40">
        <v>0.42799999999999999</v>
      </c>
      <c r="I28" s="40">
        <v>0.25</v>
      </c>
      <c r="J28" s="381">
        <v>0.25</v>
      </c>
      <c r="K28" s="140">
        <f>HLOOKUP(INVOER!S$25,B$22:J$43,7)</f>
        <v>0.42799999999999999</v>
      </c>
      <c r="Q28" s="214" t="s">
        <v>145</v>
      </c>
      <c r="R28" s="216">
        <f>IF(K22=1,"unknown",IF(K22=7,"unknown",IF(K22=8,"unknown",IF(K22=9,"unkown",0.5*C7*R24^2*T39))))</f>
        <v>1197.7679423131469</v>
      </c>
      <c r="S28" s="198" t="s">
        <v>190</v>
      </c>
      <c r="T28" s="218"/>
    </row>
    <row r="29" spans="1:20" x14ac:dyDescent="0.2">
      <c r="A29" s="145" t="s">
        <v>68</v>
      </c>
      <c r="B29" s="136">
        <v>2.048</v>
      </c>
      <c r="C29" s="136">
        <v>2.048</v>
      </c>
      <c r="D29" s="136">
        <v>2.048</v>
      </c>
      <c r="E29" s="136">
        <v>2.048</v>
      </c>
      <c r="F29" s="136">
        <v>2.048</v>
      </c>
      <c r="G29" s="136">
        <v>2.4849999999999999</v>
      </c>
      <c r="H29" s="136">
        <v>2.4849999999999999</v>
      </c>
      <c r="I29" s="136">
        <v>2.4849999999999999</v>
      </c>
      <c r="J29" s="381">
        <v>2.4849999999999999</v>
      </c>
      <c r="K29" s="140">
        <f>HLOOKUP(INVOER!S$25,B$22:J$43,8)</f>
        <v>2.4849999999999999</v>
      </c>
      <c r="Q29" s="43"/>
      <c r="R29" s="6"/>
      <c r="S29" s="6"/>
      <c r="T29" s="44"/>
    </row>
    <row r="30" spans="1:20" x14ac:dyDescent="0.2">
      <c r="A30" s="146" t="s">
        <v>125</v>
      </c>
      <c r="B30" s="143"/>
      <c r="C30" s="143"/>
      <c r="D30" s="143"/>
      <c r="E30" s="143"/>
      <c r="F30" s="143"/>
      <c r="G30" s="143"/>
      <c r="H30" s="143"/>
      <c r="I30" s="143"/>
      <c r="J30" s="382"/>
      <c r="K30" s="140">
        <v>1.3120000000000001</v>
      </c>
      <c r="Q30" s="41" t="s">
        <v>23</v>
      </c>
      <c r="R30" s="5" t="s">
        <v>63</v>
      </c>
      <c r="S30" s="5" t="s">
        <v>64</v>
      </c>
      <c r="T30" s="219" t="s">
        <v>146</v>
      </c>
    </row>
    <row r="31" spans="1:20" x14ac:dyDescent="0.2">
      <c r="A31" s="146" t="s">
        <v>126</v>
      </c>
      <c r="B31" s="143"/>
      <c r="C31" s="143"/>
      <c r="D31" s="143"/>
      <c r="E31" s="143"/>
      <c r="F31" s="143"/>
      <c r="G31" s="143"/>
      <c r="H31" s="143"/>
      <c r="I31" s="143"/>
      <c r="J31" s="382"/>
      <c r="K31" s="140">
        <v>0.6</v>
      </c>
      <c r="Q31" s="43">
        <v>300</v>
      </c>
      <c r="R31" s="6"/>
      <c r="S31" s="6"/>
      <c r="T31" s="44" t="s">
        <v>147</v>
      </c>
    </row>
    <row r="32" spans="1:20" x14ac:dyDescent="0.2">
      <c r="A32" s="146" t="s">
        <v>127</v>
      </c>
      <c r="B32" s="143"/>
      <c r="C32" s="143"/>
      <c r="D32" s="143"/>
      <c r="E32" s="143"/>
      <c r="F32" s="143"/>
      <c r="G32" s="143"/>
      <c r="H32" s="143"/>
      <c r="I32" s="143"/>
      <c r="J32" s="382"/>
      <c r="K32" s="140">
        <v>0.4</v>
      </c>
      <c r="Q32" s="43">
        <v>350</v>
      </c>
      <c r="R32" s="6">
        <v>24.693000000000001</v>
      </c>
      <c r="S32" s="6">
        <v>-16.765999999999998</v>
      </c>
      <c r="T32" s="44">
        <f>R32+S32*C$14</f>
        <v>7.9270000000000032</v>
      </c>
    </row>
    <row r="33" spans="1:20" x14ac:dyDescent="0.2">
      <c r="A33" s="146" t="s">
        <v>128</v>
      </c>
      <c r="B33" s="143"/>
      <c r="C33" s="143"/>
      <c r="D33" s="143"/>
      <c r="E33" s="143"/>
      <c r="F33" s="143"/>
      <c r="G33" s="143"/>
      <c r="H33" s="143"/>
      <c r="I33" s="143"/>
      <c r="J33" s="382"/>
      <c r="K33" s="140">
        <v>0.3</v>
      </c>
      <c r="Q33" s="43">
        <v>435</v>
      </c>
      <c r="R33" s="6">
        <v>19.100999999999999</v>
      </c>
      <c r="S33" s="6">
        <v>-10.840999999999999</v>
      </c>
      <c r="T33" s="44">
        <f>R33+S33*C$14</f>
        <v>8.26</v>
      </c>
    </row>
    <row r="34" spans="1:20" x14ac:dyDescent="0.2">
      <c r="A34" s="159" t="s">
        <v>69</v>
      </c>
      <c r="B34" s="149">
        <v>3</v>
      </c>
      <c r="C34" s="149">
        <v>3.5062000000000002</v>
      </c>
      <c r="D34" s="149">
        <v>4.3517000000000001</v>
      </c>
      <c r="E34" s="149">
        <v>5.5115999999999996</v>
      </c>
      <c r="F34" s="149">
        <v>7.4817</v>
      </c>
      <c r="G34" s="160">
        <v>8.4659999999999993</v>
      </c>
      <c r="H34" s="149">
        <v>8.4659999999999993</v>
      </c>
      <c r="I34" s="149">
        <v>18.629000000000001</v>
      </c>
      <c r="J34" s="383">
        <v>18.629000000000001</v>
      </c>
      <c r="K34" s="153">
        <f>HLOOKUP(INVOER!S$25,B$22:J$43,13)</f>
        <v>8.4659999999999993</v>
      </c>
      <c r="Q34" s="43">
        <v>550</v>
      </c>
      <c r="R34" s="6">
        <v>14.055999999999999</v>
      </c>
      <c r="S34" s="6">
        <v>-6.4409999999999998</v>
      </c>
      <c r="T34" s="44">
        <f>R34+S34*C$14</f>
        <v>7.6149999999999993</v>
      </c>
    </row>
    <row r="35" spans="1:20" x14ac:dyDescent="0.2">
      <c r="A35" s="157" t="s">
        <v>73</v>
      </c>
      <c r="B35" s="5">
        <v>1.1499999999999999</v>
      </c>
      <c r="C35" s="39">
        <v>1</v>
      </c>
      <c r="D35" s="39">
        <v>0.69</v>
      </c>
      <c r="E35" s="39">
        <v>0.52700000000000002</v>
      </c>
      <c r="F35" s="39">
        <v>0.5</v>
      </c>
      <c r="G35" s="158">
        <v>0.52</v>
      </c>
      <c r="H35" s="39">
        <v>0.51870000000000005</v>
      </c>
      <c r="I35" s="5">
        <v>0.5</v>
      </c>
      <c r="J35" s="384">
        <v>0.4617</v>
      </c>
      <c r="K35" s="139">
        <f>HLOOKUP(INVOER!S$25,B$22:J$43,14)</f>
        <v>0.52</v>
      </c>
      <c r="Q35" s="43">
        <v>750</v>
      </c>
      <c r="R35" s="6">
        <v>10.423999999999999</v>
      </c>
      <c r="S35" s="6">
        <v>-3.8180000000000001</v>
      </c>
      <c r="T35" s="44">
        <f>R35+S35*C$14</f>
        <v>6.6059999999999999</v>
      </c>
    </row>
    <row r="36" spans="1:20" x14ac:dyDescent="0.2">
      <c r="A36" s="145" t="s">
        <v>75</v>
      </c>
      <c r="B36" s="6">
        <v>8.5308395061728408</v>
      </c>
      <c r="C36" s="40">
        <v>4.4862000000000002</v>
      </c>
      <c r="D36" s="40">
        <v>4.2902199999999997</v>
      </c>
      <c r="E36" s="40">
        <v>3.3210999999999999</v>
      </c>
      <c r="F36" s="40">
        <v>4.0940000000000003</v>
      </c>
      <c r="G36" s="136">
        <v>-0.106</v>
      </c>
      <c r="H36" s="40">
        <v>4.2781000000000002</v>
      </c>
      <c r="I36" s="6">
        <v>-0.19600000000000001</v>
      </c>
      <c r="J36" s="382">
        <v>-0.23960000000000001</v>
      </c>
      <c r="K36" s="140">
        <f>HLOOKUP(INVOER!S$25,B$22:J$43,15)</f>
        <v>-0.106</v>
      </c>
      <c r="Q36" s="43">
        <v>850</v>
      </c>
      <c r="R36" s="6">
        <v>9.8019999999999996</v>
      </c>
      <c r="S36" s="6">
        <v>-3.63</v>
      </c>
      <c r="T36" s="44">
        <f>R36+S36*C$14</f>
        <v>6.1719999999999997</v>
      </c>
    </row>
    <row r="37" spans="1:20" x14ac:dyDescent="0.2">
      <c r="A37" s="145" t="s">
        <v>77</v>
      </c>
      <c r="B37" s="6">
        <v>7.4569999999999999</v>
      </c>
      <c r="C37" s="40">
        <v>5.3514999999999997</v>
      </c>
      <c r="D37" s="40">
        <v>4.3440000000000003</v>
      </c>
      <c r="E37" s="40">
        <v>3.4708000000000001</v>
      </c>
      <c r="F37" s="40">
        <v>2.8803000000000001</v>
      </c>
      <c r="G37" s="136">
        <v>1.9418</v>
      </c>
      <c r="H37" s="40">
        <v>1.6412</v>
      </c>
      <c r="I37" s="6">
        <v>1.1927000000000001</v>
      </c>
      <c r="J37" s="382">
        <v>0.29210000000000003</v>
      </c>
      <c r="K37" s="140">
        <f>HLOOKUP(INVOER!S$25,B$22:J$43,16)</f>
        <v>1.9418</v>
      </c>
      <c r="Q37" s="43">
        <v>1850</v>
      </c>
      <c r="R37" s="6"/>
      <c r="S37" s="6"/>
      <c r="T37" s="44" t="s">
        <v>147</v>
      </c>
    </row>
    <row r="38" spans="1:20" x14ac:dyDescent="0.2">
      <c r="A38" s="145" t="s">
        <v>79</v>
      </c>
      <c r="B38" s="6">
        <v>1.610169719411773</v>
      </c>
      <c r="C38" s="40">
        <v>2.4257</v>
      </c>
      <c r="D38" s="40">
        <v>1.34518</v>
      </c>
      <c r="E38" s="40">
        <v>1.7857000000000001</v>
      </c>
      <c r="F38" s="40">
        <v>1.0519000000000001</v>
      </c>
      <c r="G38" s="136">
        <v>2.0196999999999998</v>
      </c>
      <c r="H38" s="40">
        <v>6.7769999999999997E-2</v>
      </c>
      <c r="I38" s="6">
        <v>1.36877</v>
      </c>
      <c r="J38" s="382">
        <v>0.12690000000000001</v>
      </c>
      <c r="K38" s="140">
        <f>HLOOKUP(INVOER!S$25,B$22:J$43,17)</f>
        <v>2.0196999999999998</v>
      </c>
      <c r="Q38" s="45"/>
      <c r="R38" s="46"/>
      <c r="S38" s="46"/>
      <c r="T38" s="50"/>
    </row>
    <row r="39" spans="1:20" x14ac:dyDescent="0.2">
      <c r="A39" s="145" t="s">
        <v>70</v>
      </c>
      <c r="B39" s="6">
        <v>1.0049999999999999</v>
      </c>
      <c r="C39" s="40">
        <v>1.0474300000000001</v>
      </c>
      <c r="D39" s="40">
        <v>1.139</v>
      </c>
      <c r="E39" s="40">
        <v>0.91626700000000005</v>
      </c>
      <c r="F39" s="40">
        <v>0.83550000000000002</v>
      </c>
      <c r="G39" s="136">
        <v>0.73704999999999998</v>
      </c>
      <c r="H39" s="40">
        <v>0.83860000000000001</v>
      </c>
      <c r="I39" s="6">
        <v>0.59833000000000003</v>
      </c>
      <c r="J39" s="382">
        <v>0.45600000000000002</v>
      </c>
      <c r="K39" s="140">
        <f>HLOOKUP(INVOER!S$25,B$22:J$43,18)</f>
        <v>0.73704999999999998</v>
      </c>
      <c r="Q39" s="43"/>
      <c r="R39" s="6" t="s">
        <v>197</v>
      </c>
      <c r="S39" s="6"/>
      <c r="T39" s="217">
        <f>VLOOKUP(K23,Q31:T37,4)</f>
        <v>6.1719999999999997</v>
      </c>
    </row>
    <row r="40" spans="1:20" x14ac:dyDescent="0.2">
      <c r="A40" s="145" t="s">
        <v>71</v>
      </c>
      <c r="B40" s="6">
        <v>0.47891804527756254</v>
      </c>
      <c r="C40" s="40">
        <v>0.6472</v>
      </c>
      <c r="D40" s="40">
        <v>0.58902399999999999</v>
      </c>
      <c r="E40" s="40">
        <v>0.71042000000000005</v>
      </c>
      <c r="F40" s="40">
        <v>0.60099999999999998</v>
      </c>
      <c r="G40" s="136">
        <v>0.7077</v>
      </c>
      <c r="H40" s="40">
        <v>0.33150000000000002</v>
      </c>
      <c r="I40" s="6">
        <v>0.61733000000000005</v>
      </c>
      <c r="J40" s="382">
        <v>0.36330000000000001</v>
      </c>
      <c r="K40" s="140">
        <f>HLOOKUP(INVOER!S$25,B$22:J$43,19)</f>
        <v>0.7077</v>
      </c>
      <c r="Q40" s="45"/>
      <c r="R40" s="46"/>
      <c r="S40" s="46"/>
      <c r="T40" s="50"/>
    </row>
    <row r="41" spans="1:20" x14ac:dyDescent="0.2">
      <c r="A41" s="147" t="s">
        <v>225</v>
      </c>
      <c r="B41" s="137">
        <v>12.2</v>
      </c>
      <c r="C41" s="138">
        <v>10.199999999999999</v>
      </c>
      <c r="D41" s="51">
        <v>8.93</v>
      </c>
      <c r="E41" s="51">
        <v>8.6199999999999992</v>
      </c>
      <c r="F41" s="51">
        <v>8.3000000000000007</v>
      </c>
      <c r="G41" s="137">
        <v>7.8</v>
      </c>
      <c r="H41" s="51">
        <v>10</v>
      </c>
      <c r="I41" s="46">
        <v>9.3000000000000007</v>
      </c>
      <c r="J41" s="385">
        <v>10.45</v>
      </c>
      <c r="K41" s="141">
        <f>HLOOKUP(INVOER!S$25,B$22:J$43,20)</f>
        <v>7.8</v>
      </c>
    </row>
    <row r="42" spans="1:20" x14ac:dyDescent="0.2">
      <c r="A42" s="135"/>
      <c r="B42" s="136"/>
      <c r="C42" s="40"/>
      <c r="D42" s="40"/>
      <c r="E42" s="40"/>
      <c r="F42" s="40"/>
      <c r="G42" s="40"/>
      <c r="H42" s="40"/>
      <c r="I42" s="6"/>
      <c r="J42" s="386"/>
      <c r="K42" s="140"/>
    </row>
    <row r="43" spans="1:20" x14ac:dyDescent="0.2">
      <c r="A43" s="159" t="s">
        <v>83</v>
      </c>
      <c r="B43" s="160">
        <v>7</v>
      </c>
      <c r="C43" s="149">
        <v>7</v>
      </c>
      <c r="D43" s="149">
        <v>7</v>
      </c>
      <c r="E43" s="149">
        <v>7</v>
      </c>
      <c r="F43" s="149">
        <v>7.5</v>
      </c>
      <c r="G43" s="149">
        <v>9.5</v>
      </c>
      <c r="H43" s="73"/>
      <c r="I43" s="149">
        <v>14.5</v>
      </c>
      <c r="J43" s="387"/>
      <c r="K43" s="153">
        <f>HLOOKUP(INVOER!S$25,B$22:J$43,22)</f>
        <v>9.5</v>
      </c>
    </row>
    <row r="47" spans="1:20" x14ac:dyDescent="0.2">
      <c r="G47" s="167"/>
      <c r="H47" s="167"/>
      <c r="I47" s="167"/>
      <c r="K47" s="167"/>
      <c r="L47" s="167"/>
    </row>
    <row r="48" spans="1:20" x14ac:dyDescent="0.2">
      <c r="A48" t="s">
        <v>200</v>
      </c>
      <c r="G48" s="167" t="s">
        <v>191</v>
      </c>
      <c r="H48" s="167"/>
      <c r="I48" s="167"/>
      <c r="K48" s="167"/>
      <c r="L48" s="167"/>
    </row>
    <row r="49" spans="1:23" x14ac:dyDescent="0.2">
      <c r="G49" s="167"/>
      <c r="H49" s="167"/>
      <c r="I49" s="189"/>
      <c r="J49" s="388"/>
      <c r="K49" s="189"/>
      <c r="L49" s="167"/>
    </row>
    <row r="50" spans="1:23" x14ac:dyDescent="0.2">
      <c r="A50" s="41"/>
      <c r="B50" s="5"/>
      <c r="C50" s="42"/>
      <c r="G50" s="190"/>
      <c r="H50" s="191"/>
      <c r="I50" s="190" t="s">
        <v>223</v>
      </c>
      <c r="J50" s="389" t="s">
        <v>224</v>
      </c>
      <c r="K50" s="192" t="s">
        <v>72</v>
      </c>
      <c r="L50" s="167"/>
    </row>
    <row r="51" spans="1:23" x14ac:dyDescent="0.2">
      <c r="A51" s="43" t="s">
        <v>221</v>
      </c>
      <c r="B51" s="6">
        <f>SQRT(INVOER!C18/1000*2000*INVOER!C9*16/INVOER!C10/0.0181/INVOER!C24)</f>
        <v>0.69463594066856948</v>
      </c>
      <c r="C51" s="44"/>
      <c r="G51" s="193" t="s">
        <v>74</v>
      </c>
      <c r="H51" s="191">
        <v>0.95</v>
      </c>
      <c r="I51" s="196">
        <f t="shared" ref="I51:I56" si="0">$K$37*$B$51*((-LN(H51^(1/($B$54*$B$64))))^(1/$K$39))+$K$35*$B$51</f>
        <v>0.38441170011996861</v>
      </c>
      <c r="J51" s="390">
        <f t="shared" ref="J51:J56" si="1">$K$38*$B$51*((-LN(H51^(1/($B$54*$B$64))))^(1/$K$40))+$K$36*$B$51</f>
        <v>-5.3241601302518225E-2</v>
      </c>
      <c r="K51" s="206">
        <f t="shared" ref="K51:K55" si="2">IF(I51/$B$51&lt;K$41,I51,J51)</f>
        <v>0.38441170011996861</v>
      </c>
      <c r="L51" s="167"/>
    </row>
    <row r="52" spans="1:23" x14ac:dyDescent="0.2">
      <c r="A52" s="45"/>
      <c r="B52" s="46"/>
      <c r="C52" s="50"/>
      <c r="G52" s="194" t="s">
        <v>76</v>
      </c>
      <c r="H52" s="195">
        <v>0.9</v>
      </c>
      <c r="I52" s="197">
        <f t="shared" si="0"/>
        <v>0.42282102376441322</v>
      </c>
      <c r="J52" s="391">
        <f t="shared" si="1"/>
        <v>-1.7248151025507169E-2</v>
      </c>
      <c r="K52" s="207">
        <f t="shared" si="2"/>
        <v>0.42282102376441322</v>
      </c>
      <c r="L52" s="167"/>
    </row>
    <row r="53" spans="1:23" x14ac:dyDescent="0.2">
      <c r="A53" s="41" t="s">
        <v>202</v>
      </c>
      <c r="B53" s="5"/>
      <c r="C53" s="42"/>
      <c r="G53" s="194" t="s">
        <v>78</v>
      </c>
      <c r="H53" s="195">
        <v>0.5</v>
      </c>
      <c r="I53" s="197">
        <f t="shared" si="0"/>
        <v>1.1549602829373224</v>
      </c>
      <c r="J53" s="391">
        <f t="shared" si="1"/>
        <v>0.73400464678677368</v>
      </c>
      <c r="K53" s="207">
        <f t="shared" si="2"/>
        <v>1.1549602829373224</v>
      </c>
      <c r="L53" s="167"/>
    </row>
    <row r="54" spans="1:23" x14ac:dyDescent="0.2">
      <c r="A54" s="49" t="s">
        <v>201</v>
      </c>
      <c r="B54" s="40">
        <f>C14^(-1.3)</f>
        <v>1</v>
      </c>
      <c r="C54" s="44"/>
      <c r="G54" s="194" t="s">
        <v>80</v>
      </c>
      <c r="H54" s="195">
        <v>0.1</v>
      </c>
      <c r="I54" s="197">
        <f t="shared" si="0"/>
        <v>4.4077610621737708</v>
      </c>
      <c r="J54" s="391">
        <f t="shared" si="1"/>
        <v>4.3314582502028536</v>
      </c>
      <c r="K54" s="207">
        <f t="shared" si="2"/>
        <v>4.4077610621737708</v>
      </c>
      <c r="L54" s="167"/>
    </row>
    <row r="55" spans="1:23" x14ac:dyDescent="0.2">
      <c r="A55" s="43"/>
      <c r="B55" s="6"/>
      <c r="C55" s="44"/>
      <c r="G55" s="194" t="s">
        <v>81</v>
      </c>
      <c r="H55" s="195">
        <v>0.05</v>
      </c>
      <c r="I55" s="197">
        <f t="shared" si="0"/>
        <v>6.1441070293997262</v>
      </c>
      <c r="J55" s="391">
        <f t="shared" si="1"/>
        <v>6.3155605182436476</v>
      </c>
      <c r="K55" s="207">
        <f t="shared" si="2"/>
        <v>6.3155605182436476</v>
      </c>
      <c r="L55" s="167"/>
    </row>
    <row r="56" spans="1:23" x14ac:dyDescent="0.2">
      <c r="A56" s="41" t="s">
        <v>226</v>
      </c>
      <c r="B56" s="5"/>
      <c r="C56" s="42"/>
      <c r="G56" s="195" t="s">
        <v>82</v>
      </c>
      <c r="H56" s="195">
        <v>9.9999999999999995E-8</v>
      </c>
      <c r="I56" s="197">
        <f t="shared" si="0"/>
        <v>57.07389660131647</v>
      </c>
      <c r="J56" s="391">
        <f t="shared" si="1"/>
        <v>68.807781426752868</v>
      </c>
      <c r="K56" s="207">
        <f>IF(I56/$B$51&lt;K$41,I56,J56)</f>
        <v>68.807781426752868</v>
      </c>
      <c r="L56" s="167"/>
    </row>
    <row r="57" spans="1:23" x14ac:dyDescent="0.2">
      <c r="A57" s="43"/>
      <c r="B57" s="6"/>
      <c r="C57" s="44"/>
      <c r="G57" s="155" t="s">
        <v>87</v>
      </c>
      <c r="H57" s="158">
        <f>B51*K35</f>
        <v>0.36121068914765614</v>
      </c>
      <c r="I57" s="38" t="s">
        <v>199</v>
      </c>
      <c r="J57" s="379"/>
      <c r="K57" s="208"/>
      <c r="L57" s="6"/>
    </row>
    <row r="58" spans="1:23" x14ac:dyDescent="0.2">
      <c r="A58" s="43" t="s">
        <v>102</v>
      </c>
      <c r="B58" s="165">
        <f>INVOER!V19</f>
        <v>0.02</v>
      </c>
      <c r="C58" s="166" t="s">
        <v>101</v>
      </c>
      <c r="G58" s="151" t="s">
        <v>88</v>
      </c>
      <c r="H58" s="162">
        <f>(K56/'Berekening trap 2'!H57)^(1/110)</f>
        <v>1.0489683949471729</v>
      </c>
      <c r="I58" s="43"/>
      <c r="J58" s="386"/>
      <c r="K58" s="44"/>
      <c r="L58" s="6"/>
      <c r="M58" s="263" t="s">
        <v>283</v>
      </c>
    </row>
    <row r="59" spans="1:23" x14ac:dyDescent="0.2">
      <c r="A59" s="48" t="s">
        <v>216</v>
      </c>
      <c r="B59" s="40">
        <f>0.97833+2.918055*B58-39.3739*B58^2+472.0149*B58^3-769.586*B58^4</f>
        <v>1.0245945254400002</v>
      </c>
      <c r="C59" s="44"/>
      <c r="G59" s="43" t="s">
        <v>236</v>
      </c>
      <c r="H59" s="6"/>
      <c r="I59" s="6"/>
      <c r="J59" s="386"/>
      <c r="K59" s="44"/>
      <c r="L59" s="6"/>
    </row>
    <row r="60" spans="1:23" x14ac:dyDescent="0.2">
      <c r="A60" s="48" t="s">
        <v>217</v>
      </c>
      <c r="B60" s="40">
        <f>-0.30338+21.91961*B58-73.5039*B58^2+112.485*B58^3-63.4408*B58^4</f>
        <v>0.10650036947200002</v>
      </c>
      <c r="C60" s="44"/>
      <c r="G60" s="43" t="s">
        <v>237</v>
      </c>
      <c r="H60" s="6"/>
      <c r="I60" s="6"/>
      <c r="J60" s="386"/>
      <c r="K60" s="44"/>
      <c r="L60" s="6"/>
    </row>
    <row r="61" spans="1:23" x14ac:dyDescent="0.2">
      <c r="A61" s="48" t="s">
        <v>218</v>
      </c>
      <c r="B61" s="40">
        <f>2.043212+0.725352*B58-0.2663*B58^2+0.04299*B58^3-0.00233*B58^4</f>
        <v>2.0576128635471997</v>
      </c>
      <c r="C61" s="44"/>
      <c r="G61" s="43" t="s">
        <v>231</v>
      </c>
      <c r="H61" s="6"/>
      <c r="I61" s="6"/>
      <c r="J61" s="386"/>
      <c r="K61" s="44"/>
      <c r="L61" s="6"/>
    </row>
    <row r="62" spans="1:23" x14ac:dyDescent="0.2">
      <c r="A62" s="48" t="s">
        <v>219</v>
      </c>
      <c r="B62" s="40">
        <f>2.853325+0.019026*B58-0.00036*B58^2+0.000003*B58^3-0.0000000065*B58^4</f>
        <v>2.8537053760239992</v>
      </c>
      <c r="C62" s="44"/>
      <c r="D62" s="143"/>
      <c r="E62" s="143"/>
      <c r="G62" s="45" t="s">
        <v>239</v>
      </c>
      <c r="H62" s="46"/>
      <c r="I62" s="46"/>
      <c r="J62" s="392"/>
      <c r="K62" s="50"/>
      <c r="L62" s="6"/>
    </row>
    <row r="63" spans="1:23" x14ac:dyDescent="0.2">
      <c r="A63" s="48" t="s">
        <v>215</v>
      </c>
      <c r="B63" s="40">
        <f>IF(INVOER!S36=1,1,IF(B58&lt;0.02,1,(IF(B58&lt;0.14,B59,(IF(B58&lt;0.7,B60,(IF(B58&lt;9.1,B61,B62))))))))</f>
        <v>1.0245945254400002</v>
      </c>
      <c r="C63" s="44"/>
      <c r="F63" s="227" t="s">
        <v>238</v>
      </c>
      <c r="G63" s="143"/>
      <c r="H63" s="143"/>
      <c r="I63" s="143"/>
      <c r="J63" s="386"/>
      <c r="K63" s="143"/>
      <c r="W63" s="6"/>
    </row>
    <row r="64" spans="1:23" x14ac:dyDescent="0.2">
      <c r="A64" s="43" t="s">
        <v>155</v>
      </c>
      <c r="B64" s="6">
        <f>IF(INVOER!S36=1,1,'Berekening trap 1'!B63)</f>
        <v>1.0245945254400002</v>
      </c>
      <c r="C64" s="44" t="str">
        <f>IF(B64=1,"neen","ja")</f>
        <v>ja</v>
      </c>
      <c r="F64" s="227" t="s">
        <v>240</v>
      </c>
      <c r="G64" s="143"/>
      <c r="H64" s="143"/>
      <c r="I64" s="143"/>
      <c r="J64" s="386"/>
      <c r="K64" s="143"/>
      <c r="W64" s="6"/>
    </row>
    <row r="65" spans="1:30" x14ac:dyDescent="0.2">
      <c r="A65" s="45"/>
      <c r="B65" s="46"/>
      <c r="C65" s="50"/>
      <c r="F65" s="229" t="s">
        <v>241</v>
      </c>
      <c r="G65" s="143"/>
      <c r="H65" s="143"/>
      <c r="I65" s="143"/>
      <c r="J65" s="386"/>
      <c r="K65" s="143"/>
      <c r="W65" s="6"/>
    </row>
    <row r="66" spans="1:30" x14ac:dyDescent="0.2">
      <c r="W66" s="6"/>
    </row>
    <row r="67" spans="1:30" x14ac:dyDescent="0.2">
      <c r="B67" s="263" t="s">
        <v>279</v>
      </c>
      <c r="V67" s="6"/>
    </row>
    <row r="68" spans="1:30" x14ac:dyDescent="0.2">
      <c r="V68" s="6"/>
    </row>
    <row r="69" spans="1:30" x14ac:dyDescent="0.2">
      <c r="D69" s="227" t="s">
        <v>245</v>
      </c>
      <c r="V69" s="6"/>
    </row>
    <row r="70" spans="1:30" x14ac:dyDescent="0.2">
      <c r="D70" s="227" t="s">
        <v>246</v>
      </c>
      <c r="V70" s="369"/>
    </row>
    <row r="71" spans="1:30" x14ac:dyDescent="0.2">
      <c r="S71" s="46"/>
      <c r="V71" s="370"/>
      <c r="W71" s="6"/>
    </row>
    <row r="72" spans="1:30" x14ac:dyDescent="0.2">
      <c r="A72" s="41"/>
      <c r="B72" s="5"/>
      <c r="C72" s="188"/>
      <c r="D72" s="5" t="s">
        <v>195</v>
      </c>
      <c r="E72" s="5"/>
      <c r="F72" s="5"/>
      <c r="G72" s="5"/>
      <c r="H72" s="5"/>
      <c r="I72" s="42"/>
      <c r="J72" s="393"/>
      <c r="K72" s="177" t="s">
        <v>196</v>
      </c>
      <c r="L72" s="5"/>
      <c r="M72" s="5"/>
      <c r="N72" s="5"/>
      <c r="O72" s="5"/>
      <c r="P72" s="5"/>
      <c r="Q72" s="5"/>
      <c r="R72" s="5"/>
      <c r="T72" s="42"/>
      <c r="U72" s="148"/>
      <c r="V72" s="371"/>
      <c r="W72" s="143"/>
      <c r="Y72" t="s">
        <v>230</v>
      </c>
    </row>
    <row r="73" spans="1:30" x14ac:dyDescent="0.2">
      <c r="A73" s="43"/>
      <c r="B73" s="6"/>
      <c r="C73" s="144"/>
      <c r="D73" s="186" t="s">
        <v>208</v>
      </c>
      <c r="E73" s="46"/>
      <c r="F73" s="46"/>
      <c r="G73" s="46"/>
      <c r="H73" s="46"/>
      <c r="I73" s="50"/>
      <c r="J73" s="394"/>
      <c r="K73" s="179" t="s">
        <v>193</v>
      </c>
      <c r="L73" s="46"/>
      <c r="M73" s="46"/>
      <c r="N73" s="46"/>
      <c r="O73" s="46"/>
      <c r="P73" s="46"/>
      <c r="Q73" s="46"/>
      <c r="R73" s="46"/>
      <c r="S73" s="46"/>
      <c r="T73" s="50"/>
      <c r="U73" s="146"/>
      <c r="V73" s="372"/>
      <c r="W73" s="143"/>
      <c r="Y73" s="6"/>
      <c r="Z73" s="6"/>
      <c r="AA73" s="6"/>
      <c r="AB73" s="6"/>
    </row>
    <row r="74" spans="1:30" x14ac:dyDescent="0.2">
      <c r="A74" s="43"/>
      <c r="B74" s="6"/>
      <c r="C74" s="144"/>
      <c r="D74" s="187" t="s">
        <v>204</v>
      </c>
      <c r="E74" s="136" t="s">
        <v>205</v>
      </c>
      <c r="F74" s="176" t="s">
        <v>204</v>
      </c>
      <c r="G74" s="142" t="s">
        <v>205</v>
      </c>
      <c r="H74" s="44" t="s">
        <v>233</v>
      </c>
      <c r="I74" s="6" t="s">
        <v>233</v>
      </c>
      <c r="J74" s="393" t="s">
        <v>253</v>
      </c>
      <c r="K74" s="41"/>
      <c r="L74" s="5"/>
      <c r="M74" s="5"/>
      <c r="N74" s="5"/>
      <c r="O74" s="5"/>
      <c r="P74" s="178"/>
      <c r="Q74" s="5"/>
      <c r="R74" s="5" t="s">
        <v>99</v>
      </c>
      <c r="S74" t="s">
        <v>91</v>
      </c>
      <c r="T74" s="188" t="s">
        <v>100</v>
      </c>
      <c r="U74" s="148" t="s">
        <v>183</v>
      </c>
      <c r="V74" s="371" t="s">
        <v>207</v>
      </c>
      <c r="Y74" s="41" t="s">
        <v>97</v>
      </c>
      <c r="Z74" s="5" t="s">
        <v>89</v>
      </c>
      <c r="AA74" s="5" t="s">
        <v>92</v>
      </c>
      <c r="AB74" s="5" t="s">
        <v>98</v>
      </c>
      <c r="AC74" s="5" t="s">
        <v>203</v>
      </c>
      <c r="AD74" s="42" t="s">
        <v>89</v>
      </c>
    </row>
    <row r="75" spans="1:30" x14ac:dyDescent="0.2">
      <c r="A75" s="45" t="s">
        <v>192</v>
      </c>
      <c r="B75" s="46" t="s">
        <v>209</v>
      </c>
      <c r="C75" s="184" t="s">
        <v>206</v>
      </c>
      <c r="D75" s="143" t="s">
        <v>183</v>
      </c>
      <c r="E75" s="187" t="s">
        <v>183</v>
      </c>
      <c r="F75" s="173" t="s">
        <v>207</v>
      </c>
      <c r="G75" s="174" t="s">
        <v>207</v>
      </c>
      <c r="H75" s="199" t="s">
        <v>183</v>
      </c>
      <c r="I75" s="46" t="s">
        <v>207</v>
      </c>
      <c r="J75" s="394" t="s">
        <v>234</v>
      </c>
      <c r="K75" s="43"/>
      <c r="L75" s="6" t="s">
        <v>93</v>
      </c>
      <c r="M75" s="6" t="s">
        <v>94</v>
      </c>
      <c r="N75" s="6" t="s">
        <v>95</v>
      </c>
      <c r="O75" s="6" t="s">
        <v>96</v>
      </c>
      <c r="P75" s="6" t="s">
        <v>90</v>
      </c>
      <c r="Q75" s="6" t="s">
        <v>73</v>
      </c>
      <c r="R75" s="6" t="s">
        <v>91</v>
      </c>
      <c r="S75" s="143" t="s">
        <v>5</v>
      </c>
      <c r="T75" s="144" t="s">
        <v>5</v>
      </c>
      <c r="U75" s="254" t="s">
        <v>228</v>
      </c>
      <c r="V75" s="373" t="s">
        <v>228</v>
      </c>
      <c r="Y75" s="45"/>
      <c r="Z75" s="46"/>
      <c r="AA75" s="46"/>
      <c r="AB75" s="46"/>
      <c r="AC75" s="46"/>
      <c r="AD75" s="44" t="s">
        <v>234</v>
      </c>
    </row>
    <row r="76" spans="1:30" x14ac:dyDescent="0.2">
      <c r="A76" s="43">
        <f>'Berekening trap 2'!H57</f>
        <v>0.35790947664997769</v>
      </c>
      <c r="B76" s="6">
        <f>A76/2</f>
        <v>0.17895473832498884</v>
      </c>
      <c r="C76" s="169">
        <f>B76/$B$51</f>
        <v>0.2576237822545569</v>
      </c>
      <c r="D76" s="200">
        <f>IF(C76-$K$35&gt;0,EXP(-(((C76-$K$35)/$K$37)^$K$39)),1)</f>
        <v>1</v>
      </c>
      <c r="E76" s="201">
        <f>IF(C76-$K$36&gt;0,EXP(-(((C76-$K$36)/$K$38)^$K$40)),1)</f>
        <v>0.74290899267045341</v>
      </c>
      <c r="F76" s="41">
        <f t="shared" ref="F76:F97" si="3">D76^($B$54*$B$63)</f>
        <v>1</v>
      </c>
      <c r="G76" s="182">
        <f>E76^($B$54*$B$63)</f>
        <v>0.73749883410086436</v>
      </c>
      <c r="H76" s="183">
        <f>IF(C76&lt;$K$41,D76,E76)</f>
        <v>1</v>
      </c>
      <c r="I76" s="242">
        <f>IF(C76&lt;$K$41,F76,G76)</f>
        <v>1</v>
      </c>
      <c r="J76" s="393">
        <f>IF(INVOER!$S$36=1,100-H76*100,100-I76*100)</f>
        <v>0</v>
      </c>
      <c r="K76" s="41">
        <f t="shared" ref="K76:K107" si="4">VLOOKUP(A76,Z$76:AB$146,3)</f>
        <v>0</v>
      </c>
      <c r="L76" s="5">
        <f t="shared" ref="L76:L107" si="5">IF(K76=0,VLOOKUP(1,Y$77:AA$146,2),VLOOKUP(K76,Y$76:Z$145,2))</f>
        <v>0.61699999999999999</v>
      </c>
      <c r="M76" s="5">
        <f t="shared" ref="M76:M107" si="6">IF(K76=0,VLOOKUP(2,Y$77:AA$145,2),VLOOKUP(K76+1,Y$77:Z$145,2))</f>
        <v>0.68600000000000005</v>
      </c>
      <c r="N76" s="5">
        <f>(VLOOKUP(L76,Z$76:AA$146,2))/100</f>
        <v>0.99998999999999993</v>
      </c>
      <c r="O76" s="5">
        <f>(VLOOKUP(M76,Z$76:AA$145,2))/100</f>
        <v>0.9998999999999999</v>
      </c>
      <c r="P76" s="39">
        <f>LN(LN(N76)/LN(O76))/LN(L76/M76)</f>
        <v>21.721162359143253</v>
      </c>
      <c r="Q76" s="5">
        <f>L76/((-LN(N76))^(1/P76))</f>
        <v>1.0482752293018784</v>
      </c>
      <c r="R76" s="247">
        <f>EXP(-((A76/Q76)^P76))</f>
        <v>0.99999999992710675</v>
      </c>
      <c r="S76" s="5">
        <f>R76*100</f>
        <v>99.99999999271067</v>
      </c>
      <c r="T76" s="248">
        <f>100*(1-R76)</f>
        <v>7.2893246993999128E-9</v>
      </c>
      <c r="U76" s="244">
        <f>'Berekening trap 1'!H76*$T76</f>
        <v>7.2893246993999128E-9</v>
      </c>
      <c r="V76" s="374">
        <f>'Berekening trap 1'!I76*$T76</f>
        <v>7.2893246993999128E-9</v>
      </c>
      <c r="Y76" s="41">
        <v>0</v>
      </c>
      <c r="Z76" s="5">
        <v>0</v>
      </c>
      <c r="AA76" s="5">
        <v>100</v>
      </c>
      <c r="AB76" s="5">
        <v>0</v>
      </c>
      <c r="AC76" s="5">
        <f>AA76/100</f>
        <v>1</v>
      </c>
      <c r="AD76" s="188">
        <v>1E-8</v>
      </c>
    </row>
    <row r="77" spans="1:30" x14ac:dyDescent="0.2">
      <c r="A77" s="43">
        <f>A76*'Berekening trap 1'!H$58</f>
        <v>0.37543572925790974</v>
      </c>
      <c r="B77" s="6">
        <f>(A76+A77)/2</f>
        <v>0.36667260295394372</v>
      </c>
      <c r="C77" s="169">
        <f>B77/$B$51</f>
        <v>0.52786298762633943</v>
      </c>
      <c r="D77" s="202">
        <f>IF(C77-$K$35&gt;0,EXP(-(((C77-$K$35)/$K$37)^$K$39)),1)</f>
        <v>0.98290836522063141</v>
      </c>
      <c r="E77" s="199">
        <f>IF(C77-$K$36&gt;0,EXP(-(((C77-$K$36)/$K$38)^$K$40)),1)</f>
        <v>0.64379627859020261</v>
      </c>
      <c r="F77" s="43">
        <f>D77^($B$54*$B$63)</f>
        <v>0.98249170587937662</v>
      </c>
      <c r="G77" s="156">
        <f>E77^($B$54*$B$63)</f>
        <v>0.63686109780775191</v>
      </c>
      <c r="H77" s="171">
        <f>IF(C77&lt;$K$41,D77,E77)</f>
        <v>0.98290836522063141</v>
      </c>
      <c r="I77" s="181">
        <f>IF(C77&lt;$K$41,F77,G77)</f>
        <v>0.98249170587937662</v>
      </c>
      <c r="J77" s="395">
        <f>IF(INVOER!$S$36=1,100-H77*100,100-I77*100)</f>
        <v>1.7508294120623447</v>
      </c>
      <c r="K77" s="43">
        <f t="shared" si="4"/>
        <v>0</v>
      </c>
      <c r="L77" s="6">
        <f>IF(K77=0,VLOOKUP(1,Y$77:AA$146,2),VLOOKUP(K77,Y$76:Z$145,2))</f>
        <v>0.61699999999999999</v>
      </c>
      <c r="M77" s="6">
        <f t="shared" si="6"/>
        <v>0.68600000000000005</v>
      </c>
      <c r="N77" s="6">
        <f t="shared" ref="N77:N107" si="7">(VLOOKUP(L77,Z$76:AA$146,2))/100</f>
        <v>0.99998999999999993</v>
      </c>
      <c r="O77" s="6">
        <f t="shared" ref="O77:O107" si="8">(VLOOKUP(M77,Z$76:AA$145,2))/100</f>
        <v>0.9998999999999999</v>
      </c>
      <c r="P77" s="40">
        <f t="shared" ref="P77:P97" si="9">(LN(LN(N77)/LN(O77)))/LN(L77/M77)</f>
        <v>21.721162359143253</v>
      </c>
      <c r="Q77" s="6">
        <f t="shared" ref="Q77:Q97" si="10">L77/((-LN(N77))^(1/P77))</f>
        <v>1.0482752293018784</v>
      </c>
      <c r="R77" s="123">
        <f t="shared" ref="R77:R107" si="11">EXP(-((A77/Q77)^P77))</f>
        <v>0.99999999979409315</v>
      </c>
      <c r="S77" s="6">
        <f t="shared" ref="S77:S140" si="12">R77*100</f>
        <v>99.99999997940931</v>
      </c>
      <c r="T77" s="249">
        <f>IF(M77="x",0,(R76-R77)*100)</f>
        <v>1.3301360013429075E-8</v>
      </c>
      <c r="U77" s="245">
        <f>'Berekening trap 1'!H77*$T77</f>
        <v>1.3074018026010649E-8</v>
      </c>
      <c r="V77" s="375">
        <f>'Berekening trap 1'!I77*$T77</f>
        <v>1.3068475890109661E-8</v>
      </c>
      <c r="Y77" s="43">
        <f>Y76+1</f>
        <v>1</v>
      </c>
      <c r="Z77" s="6">
        <f>IF(INVOER!A36=0,"x",INVOER!A36)</f>
        <v>0.61699999999999999</v>
      </c>
      <c r="AA77" s="6">
        <f>IF(INVOER!B$36&gt;INVOER!B$37,INVOER!B36,100-INVOER!B36)</f>
        <v>99.998999999999995</v>
      </c>
      <c r="AB77" s="6">
        <f>IF(Z77=0,AB76,Y77)</f>
        <v>1</v>
      </c>
      <c r="AC77" s="6">
        <f t="shared" ref="AC77:AC140" si="13">AA77/100</f>
        <v>0.99998999999999993</v>
      </c>
      <c r="AD77" s="44">
        <f>IF(INVOER!A36=0,10000,INVOER!A36)</f>
        <v>0.61699999999999999</v>
      </c>
    </row>
    <row r="78" spans="1:30" x14ac:dyDescent="0.2">
      <c r="A78" s="43">
        <f>A77*'Berekening trap 1'!H$58</f>
        <v>0.39382021432549091</v>
      </c>
      <c r="B78" s="6">
        <f>(A77+A78)/2</f>
        <v>0.38462797179170033</v>
      </c>
      <c r="C78" s="169">
        <f>B78/$B$51</f>
        <v>0.55371159088242061</v>
      </c>
      <c r="D78" s="202">
        <f>IF(C78-$K$35&gt;0,EXP(-(((C78-$K$35)/$K$37)^$K$39)),1)</f>
        <v>0.9508437081886375</v>
      </c>
      <c r="E78" s="199">
        <f>IF(C78-$K$36&gt;0,EXP(-(((C78-$K$36)/$K$38)^$K$40)),1)</f>
        <v>0.63571336582397941</v>
      </c>
      <c r="F78" s="43">
        <f>D78^($B$54*$B$63)</f>
        <v>0.94966567646860967</v>
      </c>
      <c r="G78" s="156">
        <f t="shared" ref="G78:G97" si="14">E78^($B$54*$B$63)</f>
        <v>0.62866987292479259</v>
      </c>
      <c r="H78" s="171">
        <f>IF(C78&lt;$K$41,D78,E78)</f>
        <v>0.9508437081886375</v>
      </c>
      <c r="I78" s="181">
        <f>IF(C78&lt;$K$41,F78,G78)</f>
        <v>0.94966567646860967</v>
      </c>
      <c r="J78" s="395">
        <f>IF(INVOER!$S$36=1,100-H78*100,100-I78*100)</f>
        <v>5.0334323531390339</v>
      </c>
      <c r="K78" s="43">
        <f t="shared" si="4"/>
        <v>0</v>
      </c>
      <c r="L78" s="6">
        <f t="shared" si="5"/>
        <v>0.61699999999999999</v>
      </c>
      <c r="M78" s="6">
        <f t="shared" si="6"/>
        <v>0.68600000000000005</v>
      </c>
      <c r="N78" s="6">
        <f t="shared" si="7"/>
        <v>0.99998999999999993</v>
      </c>
      <c r="O78" s="6">
        <f t="shared" si="8"/>
        <v>0.9998999999999999</v>
      </c>
      <c r="P78" s="40">
        <f t="shared" si="9"/>
        <v>21.721162359143253</v>
      </c>
      <c r="Q78" s="6">
        <f t="shared" si="10"/>
        <v>1.0482752293018784</v>
      </c>
      <c r="R78" s="123">
        <f t="shared" si="11"/>
        <v>0.99999999941835982</v>
      </c>
      <c r="S78" s="6">
        <f>R78*100</f>
        <v>99.999999941835981</v>
      </c>
      <c r="T78" s="249">
        <f t="shared" ref="T78:T140" si="15">IF(M78="x",0,(R77-R78)*100)</f>
        <v>3.7573333333540404E-8</v>
      </c>
      <c r="U78" s="245">
        <f>'Berekening trap 1'!H78*$T78</f>
        <v>3.57263675958713E-8</v>
      </c>
      <c r="V78" s="375">
        <f>'Berekening trap 1'!I78*$T78</f>
        <v>3.568210501737721E-8</v>
      </c>
      <c r="Y78" s="43">
        <f t="shared" ref="Y78:Y141" si="16">Y77+1</f>
        <v>2</v>
      </c>
      <c r="Z78" s="6">
        <f>IF(INVOER!A37=0,"x",INVOER!A37)</f>
        <v>0.68600000000000005</v>
      </c>
      <c r="AA78" s="6">
        <f>IF(INVOER!B$36&gt;INVOER!B$37,INVOER!B37,100-INVOER!B37)</f>
        <v>99.99</v>
      </c>
      <c r="AB78" s="6">
        <f t="shared" ref="AB78:AB141" si="17">IF(Z78=0,AB77,Y78)</f>
        <v>2</v>
      </c>
      <c r="AC78" s="6">
        <f t="shared" si="13"/>
        <v>0.9998999999999999</v>
      </c>
      <c r="AD78" s="44">
        <f>IF(INVOER!A37=0,10000,INVOER!A37)</f>
        <v>0.68600000000000005</v>
      </c>
    </row>
    <row r="79" spans="1:30" x14ac:dyDescent="0.2">
      <c r="A79" s="43">
        <f>A78*'Berekening trap 1'!H$58</f>
        <v>0.4131049581187618</v>
      </c>
      <c r="B79" s="6">
        <f>(A78+A79)/2</f>
        <v>0.40346258622212638</v>
      </c>
      <c r="C79" s="169">
        <f t="shared" ref="C79:C140" si="18">B79/$B$51</f>
        <v>0.58082595875157839</v>
      </c>
      <c r="D79" s="202">
        <f>IF(C79-$K$35&gt;0,EXP(-(((C79-$K$35)/$K$37)^$K$39)),1)</f>
        <v>0.92508111822613015</v>
      </c>
      <c r="E79" s="199">
        <f t="shared" ref="E79:E97" si="19">IF(C79-$K$36&gt;0,EXP(-(((C79-$K$36)/$K$38)^$K$40)),1)</f>
        <v>0.62744063565679664</v>
      </c>
      <c r="F79" s="43">
        <f t="shared" si="3"/>
        <v>0.92331103339482545</v>
      </c>
      <c r="G79" s="156">
        <f t="shared" si="14"/>
        <v>0.62028893941099394</v>
      </c>
      <c r="H79" s="171">
        <f>IF(C79&lt;$K$41,D79,E79)</f>
        <v>0.92508111822613015</v>
      </c>
      <c r="I79" s="181">
        <f t="shared" ref="I79:I97" si="20">IF(C79&lt;$K$41,F79,G79)</f>
        <v>0.92331103339482545</v>
      </c>
      <c r="J79" s="395">
        <f>IF(INVOER!$S$36=1,100-H79*100,100-I79*100)</f>
        <v>7.6688966605174613</v>
      </c>
      <c r="K79" s="43">
        <f t="shared" si="4"/>
        <v>0</v>
      </c>
      <c r="L79" s="6">
        <f t="shared" si="5"/>
        <v>0.61699999999999999</v>
      </c>
      <c r="M79" s="6">
        <f t="shared" si="6"/>
        <v>0.68600000000000005</v>
      </c>
      <c r="N79" s="6">
        <f t="shared" si="7"/>
        <v>0.99998999999999993</v>
      </c>
      <c r="O79" s="6">
        <f t="shared" si="8"/>
        <v>0.9998999999999999</v>
      </c>
      <c r="P79" s="40">
        <f>(LN(LN(N79)/LN(O79)))/LN(L79/M79)</f>
        <v>21.721162359143253</v>
      </c>
      <c r="Q79" s="6">
        <f t="shared" si="10"/>
        <v>1.0482752293018784</v>
      </c>
      <c r="R79" s="123">
        <f t="shared" si="11"/>
        <v>0.9999999983569986</v>
      </c>
      <c r="S79" s="6">
        <f t="shared" si="12"/>
        <v>99.999999835699853</v>
      </c>
      <c r="T79" s="249">
        <f t="shared" si="15"/>
        <v>1.0613612211329837E-7</v>
      </c>
      <c r="U79" s="245">
        <f>'Berekening trap 1'!H79*$T79</f>
        <v>9.8184522528755158E-8</v>
      </c>
      <c r="V79" s="375">
        <f>'Berekening trap 1'!I79*$T79</f>
        <v>9.7996652588948899E-8</v>
      </c>
      <c r="Y79" s="43">
        <f t="shared" si="16"/>
        <v>3</v>
      </c>
      <c r="Z79" s="6">
        <f>IF(INVOER!A38=0,"x",INVOER!A38)</f>
        <v>0.748</v>
      </c>
      <c r="AA79" s="6">
        <f>IF(INVOER!B$36&gt;INVOER!B$37,INVOER!B38,100-INVOER!B38)</f>
        <v>99.98</v>
      </c>
      <c r="AB79" s="6">
        <f t="shared" si="17"/>
        <v>3</v>
      </c>
      <c r="AC79" s="6">
        <f t="shared" si="13"/>
        <v>0.99980000000000002</v>
      </c>
      <c r="AD79" s="44">
        <f>IF(INVOER!A38=0,10000,INVOER!A38)</f>
        <v>0.748</v>
      </c>
    </row>
    <row r="80" spans="1:30" x14ac:dyDescent="0.2">
      <c r="A80" s="43">
        <f>A79*'Berekening trap 1'!H$58</f>
        <v>0.43333404486255661</v>
      </c>
      <c r="B80" s="6">
        <f t="shared" ref="B80:B97" si="21">(A79+A80)/2</f>
        <v>0.42321950149065923</v>
      </c>
      <c r="C80" s="169">
        <f t="shared" si="18"/>
        <v>0.60926807369529601</v>
      </c>
      <c r="D80" s="202">
        <f t="shared" ref="D80:D87" si="22">IF(C80-$K$35&gt;0,EXP(-(((C80-$K$35)/$K$37)^$K$39)),1)</f>
        <v>0.90183724797228504</v>
      </c>
      <c r="E80" s="199">
        <f t="shared" si="19"/>
        <v>0.61897837640199582</v>
      </c>
      <c r="F80" s="43">
        <f t="shared" si="3"/>
        <v>0.89954846604885763</v>
      </c>
      <c r="G80" s="156">
        <f t="shared" si="14"/>
        <v>0.61171880960579772</v>
      </c>
      <c r="H80" s="171">
        <f>IF(C80&lt;$K$41,D80,E80)</f>
        <v>0.90183724797228504</v>
      </c>
      <c r="I80" s="181">
        <f>IF(C80&lt;$K$41,F80,G80)</f>
        <v>0.89954846604885763</v>
      </c>
      <c r="J80" s="395">
        <f>IF(INVOER!$S$36=1,100-H80*100,100-I80*100)</f>
        <v>10.045153395114241</v>
      </c>
      <c r="K80" s="43">
        <f t="shared" si="4"/>
        <v>0</v>
      </c>
      <c r="L80" s="6">
        <f>IF(K80=0,VLOOKUP(1,Y$77:AA$146,2),VLOOKUP(K80,Y$76:Z$145,2))</f>
        <v>0.61699999999999999</v>
      </c>
      <c r="M80" s="6">
        <f t="shared" si="6"/>
        <v>0.68600000000000005</v>
      </c>
      <c r="N80" s="6">
        <f t="shared" si="7"/>
        <v>0.99998999999999993</v>
      </c>
      <c r="O80" s="6">
        <f t="shared" si="8"/>
        <v>0.9998999999999999</v>
      </c>
      <c r="P80" s="40">
        <f>(LN(LN(N80)/LN(O80)))/LN(L80/M80)</f>
        <v>21.721162359143253</v>
      </c>
      <c r="Q80" s="6">
        <f>L80/((-LN(N80))^(1/P80))</f>
        <v>1.0482752293018784</v>
      </c>
      <c r="R80" s="123">
        <f t="shared" si="11"/>
        <v>0.99999999535889406</v>
      </c>
      <c r="S80" s="6">
        <f t="shared" si="12"/>
        <v>99.999999535889401</v>
      </c>
      <c r="T80" s="249">
        <f t="shared" si="15"/>
        <v>2.9981045424065655E-7</v>
      </c>
      <c r="U80" s="245">
        <f>'Berekening trap 1'!H80*$T80</f>
        <v>2.703802349657144E-7</v>
      </c>
      <c r="V80" s="375">
        <f>'Berekening trap 1'!I80*$T80</f>
        <v>2.6969403421759381E-7</v>
      </c>
      <c r="Y80" s="43">
        <f t="shared" si="16"/>
        <v>4</v>
      </c>
      <c r="Z80" s="6">
        <f>IF(INVOER!A39=0,"x",INVOER!A39)</f>
        <v>0.85</v>
      </c>
      <c r="AA80" s="6">
        <f>IF(INVOER!B$36&gt;INVOER!B$37,INVOER!B39,100-INVOER!B39)</f>
        <v>99.94</v>
      </c>
      <c r="AB80" s="6">
        <f t="shared" si="17"/>
        <v>4</v>
      </c>
      <c r="AC80" s="6">
        <f t="shared" si="13"/>
        <v>0.99939999999999996</v>
      </c>
      <c r="AD80" s="44">
        <f>IF(INVOER!A39=0,10000,INVOER!A39)</f>
        <v>0.85</v>
      </c>
    </row>
    <row r="81" spans="1:30" x14ac:dyDescent="0.2">
      <c r="A81" s="45">
        <f>A80*'Berekening trap 1'!H$58</f>
        <v>0.45455371751544221</v>
      </c>
      <c r="B81" s="46">
        <f>(A80+A81)/2</f>
        <v>0.44394388118899941</v>
      </c>
      <c r="C81" s="184">
        <f t="shared" si="18"/>
        <v>0.63910295335671041</v>
      </c>
      <c r="D81" s="203">
        <f>IF(C81-$K$35&gt;0,EXP(-(((C81-$K$35)/$K$37)^$K$39)),1)</f>
        <v>0.8800405742073466</v>
      </c>
      <c r="E81" s="168">
        <f t="shared" si="19"/>
        <v>0.61032721235666343</v>
      </c>
      <c r="F81" s="45">
        <f t="shared" si="3"/>
        <v>0.87727906539437717</v>
      </c>
      <c r="G81" s="185">
        <f t="shared" si="14"/>
        <v>0.60296034571001933</v>
      </c>
      <c r="H81" s="172">
        <f t="shared" ref="H81:H97" si="23">IF(C81&lt;$K$41,D81,E81)</f>
        <v>0.8800405742073466</v>
      </c>
      <c r="I81" s="243">
        <f>IF(C81&lt;$K$41,F81,G81)</f>
        <v>0.87727906539437717</v>
      </c>
      <c r="J81" s="394">
        <f>IF(INVOER!$S$36=1,100-H81*100,100-I81*100)</f>
        <v>12.272093460562289</v>
      </c>
      <c r="K81" s="45">
        <f t="shared" si="4"/>
        <v>0</v>
      </c>
      <c r="L81" s="46">
        <f t="shared" si="5"/>
        <v>0.61699999999999999</v>
      </c>
      <c r="M81" s="46">
        <f t="shared" si="6"/>
        <v>0.68600000000000005</v>
      </c>
      <c r="N81" s="46">
        <f t="shared" si="7"/>
        <v>0.99998999999999993</v>
      </c>
      <c r="O81" s="46">
        <f t="shared" si="8"/>
        <v>0.9998999999999999</v>
      </c>
      <c r="P81" s="51">
        <f t="shared" si="9"/>
        <v>21.721162359143253</v>
      </c>
      <c r="Q81" s="46">
        <f>L81/((-LN(N81))^(1/P81))</f>
        <v>1.0482752293018784</v>
      </c>
      <c r="R81" s="175">
        <f t="shared" si="11"/>
        <v>0.99999998688993008</v>
      </c>
      <c r="S81" s="46">
        <f t="shared" si="12"/>
        <v>99.999998688993003</v>
      </c>
      <c r="T81" s="250">
        <f t="shared" si="15"/>
        <v>8.4689639745505474E-7</v>
      </c>
      <c r="U81" s="246">
        <f>'Berekening trap 1'!H81*$T81</f>
        <v>7.4530319191047965E-7</v>
      </c>
      <c r="V81" s="376">
        <f>'Berekening trap 1'!I81*$T81</f>
        <v>7.429644800452354E-7</v>
      </c>
      <c r="Y81" s="43">
        <f t="shared" si="16"/>
        <v>5</v>
      </c>
      <c r="Z81" s="6">
        <f>IF(INVOER!A40=0,"x",INVOER!A40)</f>
        <v>0.94699999999999995</v>
      </c>
      <c r="AA81" s="6">
        <f>IF(INVOER!B$36&gt;INVOER!B$37,INVOER!B40,100-INVOER!B40)</f>
        <v>99.9</v>
      </c>
      <c r="AB81" s="6">
        <f t="shared" si="17"/>
        <v>5</v>
      </c>
      <c r="AC81" s="6">
        <f t="shared" si="13"/>
        <v>0.99900000000000011</v>
      </c>
      <c r="AD81" s="44">
        <f>IF(INVOER!A40=0,10000,INVOER!A40)</f>
        <v>0.94699999999999995</v>
      </c>
    </row>
    <row r="82" spans="1:30" x14ac:dyDescent="0.2">
      <c r="A82" s="43">
        <f>A81*'Berekening trap 1'!H$58</f>
        <v>0.47681248347944405</v>
      </c>
      <c r="B82" s="6">
        <f>(A81+A82)/2</f>
        <v>0.4656831004974431</v>
      </c>
      <c r="C82" s="169">
        <f t="shared" si="18"/>
        <v>0.67039879918858636</v>
      </c>
      <c r="D82" s="202">
        <f t="shared" si="22"/>
        <v>0.85919160444473797</v>
      </c>
      <c r="E82" s="199">
        <f t="shared" si="19"/>
        <v>0.60148812310702038</v>
      </c>
      <c r="F82" s="43">
        <f t="shared" si="3"/>
        <v>0.85599060905017854</v>
      </c>
      <c r="G82" s="156">
        <f t="shared" si="14"/>
        <v>0.59401477922974999</v>
      </c>
      <c r="H82" s="171">
        <f t="shared" si="23"/>
        <v>0.85919160444473797</v>
      </c>
      <c r="I82" s="181">
        <f t="shared" si="20"/>
        <v>0.85599060905017854</v>
      </c>
      <c r="J82" s="395">
        <f>IF(INVOER!$S$36=1,100-H82*100,100-I82*100)</f>
        <v>14.400939094982149</v>
      </c>
      <c r="K82" s="41">
        <f t="shared" si="4"/>
        <v>0</v>
      </c>
      <c r="L82" s="5">
        <f t="shared" si="5"/>
        <v>0.61699999999999999</v>
      </c>
      <c r="M82" s="5">
        <f t="shared" si="6"/>
        <v>0.68600000000000005</v>
      </c>
      <c r="N82" s="5">
        <f t="shared" si="7"/>
        <v>0.99998999999999993</v>
      </c>
      <c r="O82" s="5">
        <f t="shared" si="8"/>
        <v>0.9998999999999999</v>
      </c>
      <c r="P82" s="39">
        <f t="shared" si="9"/>
        <v>21.721162359143253</v>
      </c>
      <c r="Q82" s="5">
        <f t="shared" si="10"/>
        <v>1.0482752293018784</v>
      </c>
      <c r="R82" s="247">
        <f t="shared" si="11"/>
        <v>0.99999996296703075</v>
      </c>
      <c r="S82" s="5">
        <f t="shared" si="12"/>
        <v>99.999996296703074</v>
      </c>
      <c r="T82" s="251">
        <f t="shared" si="15"/>
        <v>2.3922899328177039E-6</v>
      </c>
      <c r="U82" s="245">
        <f>'Berekening trap 1'!H82*$T82</f>
        <v>2.0554354256746375E-6</v>
      </c>
      <c r="V82" s="375">
        <f>'Berekening trap 1'!I82*$T82</f>
        <v>2.0477777166172369E-6</v>
      </c>
      <c r="Y82" s="43">
        <f t="shared" si="16"/>
        <v>6</v>
      </c>
      <c r="Z82" s="6">
        <f>IF(INVOER!A41=0,"x",INVOER!A41)</f>
        <v>1.054</v>
      </c>
      <c r="AA82" s="6">
        <f>IF(INVOER!B$36&gt;INVOER!B$37,INVOER!B41,100-INVOER!B41)</f>
        <v>99.84</v>
      </c>
      <c r="AB82" s="6">
        <f t="shared" si="17"/>
        <v>6</v>
      </c>
      <c r="AC82" s="6">
        <f t="shared" si="13"/>
        <v>0.99840000000000007</v>
      </c>
      <c r="AD82" s="44">
        <f>IF(INVOER!A41=0,10000,INVOER!A41)</f>
        <v>1.054</v>
      </c>
    </row>
    <row r="83" spans="1:30" x14ac:dyDescent="0.2">
      <c r="A83" s="43">
        <f>A82*'Berekening trap 1'!H$58</f>
        <v>0.50016122548620778</v>
      </c>
      <c r="B83" s="6">
        <f>(A82+A83)/2</f>
        <v>0.48848685448282592</v>
      </c>
      <c r="C83" s="169">
        <f t="shared" si="18"/>
        <v>0.70322715235936351</v>
      </c>
      <c r="D83" s="202">
        <f t="shared" si="22"/>
        <v>0.83900741833947412</v>
      </c>
      <c r="E83" s="199">
        <f t="shared" si="19"/>
        <v>0.59246246301561389</v>
      </c>
      <c r="F83" s="43">
        <f t="shared" si="3"/>
        <v>0.83539304804230241</v>
      </c>
      <c r="G83" s="156">
        <f t="shared" si="14"/>
        <v>0.58488373053968679</v>
      </c>
      <c r="H83" s="171">
        <f>IF(C83&lt;$K$41,D83,E83)</f>
        <v>0.83900741833947412</v>
      </c>
      <c r="I83" s="181">
        <f t="shared" si="20"/>
        <v>0.83539304804230241</v>
      </c>
      <c r="J83" s="395">
        <f>IF(INVOER!$S$36=1,100-H83*100,100-I83*100)</f>
        <v>16.460695195769759</v>
      </c>
      <c r="K83" s="43">
        <f t="shared" si="4"/>
        <v>0</v>
      </c>
      <c r="L83" s="6">
        <f t="shared" si="5"/>
        <v>0.61699999999999999</v>
      </c>
      <c r="M83" s="6">
        <f t="shared" si="6"/>
        <v>0.68600000000000005</v>
      </c>
      <c r="N83" s="6">
        <f t="shared" si="7"/>
        <v>0.99998999999999993</v>
      </c>
      <c r="O83" s="6">
        <f t="shared" si="8"/>
        <v>0.9998999999999999</v>
      </c>
      <c r="P83" s="40">
        <f>(LN(LN(N83)/LN(O83)))/LN(L83/M83)</f>
        <v>21.721162359143253</v>
      </c>
      <c r="Q83" s="6">
        <f>L83/((-LN(N83))^(1/P83))</f>
        <v>1.0482752293018784</v>
      </c>
      <c r="R83" s="123">
        <f t="shared" si="11"/>
        <v>0.99999989539027712</v>
      </c>
      <c r="S83" s="6">
        <f t="shared" si="12"/>
        <v>99.999989539027709</v>
      </c>
      <c r="T83" s="249">
        <f t="shared" si="15"/>
        <v>6.7576753637332843E-6</v>
      </c>
      <c r="U83" s="245">
        <f>'Berekening trap 1'!H83*$T83</f>
        <v>5.6697397609021294E-6</v>
      </c>
      <c r="V83" s="375">
        <f>'Berekening trap 1'!I83*$T83</f>
        <v>5.6453150197895231E-6</v>
      </c>
      <c r="Y83" s="43">
        <f t="shared" si="16"/>
        <v>7</v>
      </c>
      <c r="Z83" s="6">
        <f>IF(INVOER!A42=0,"x",INVOER!A42)</f>
        <v>1.1779999999999999</v>
      </c>
      <c r="AA83" s="6">
        <f>IF(INVOER!B$36&gt;INVOER!B$37,INVOER!B42,100-INVOER!B42)</f>
        <v>99.77</v>
      </c>
      <c r="AB83" s="6">
        <f>IF(Z83=0,AB82,Y83)</f>
        <v>7</v>
      </c>
      <c r="AC83" s="6">
        <f t="shared" si="13"/>
        <v>0.99769999999999992</v>
      </c>
      <c r="AD83" s="44">
        <f>IF(INVOER!A42=0,10000,INVOER!A42)</f>
        <v>1.1779999999999999</v>
      </c>
    </row>
    <row r="84" spans="1:30" x14ac:dyDescent="0.2">
      <c r="A84" s="43">
        <f>A83*'Berekening trap 1'!H$58</f>
        <v>0.52465331791307834</v>
      </c>
      <c r="B84" s="6">
        <f t="shared" si="21"/>
        <v>0.51240727169964306</v>
      </c>
      <c r="C84" s="169">
        <f>B84/$B$51</f>
        <v>0.73766305729367254</v>
      </c>
      <c r="D84" s="202">
        <f>IF(C84-$K$35&gt;0,EXP(-(((C84-$K$35)/$K$37)^$K$39)),1)</f>
        <v>0.81930940092788596</v>
      </c>
      <c r="E84" s="199">
        <f t="shared" si="19"/>
        <v>0.58325198080223062</v>
      </c>
      <c r="F84" s="43">
        <f t="shared" si="3"/>
        <v>0.81530335823141076</v>
      </c>
      <c r="G84" s="156">
        <f t="shared" si="14"/>
        <v>0.57556922847017422</v>
      </c>
      <c r="H84" s="171">
        <f t="shared" si="23"/>
        <v>0.81930940092788596</v>
      </c>
      <c r="I84" s="181">
        <f t="shared" si="20"/>
        <v>0.81530335823141076</v>
      </c>
      <c r="J84" s="395">
        <f>IF(INVOER!$S$36=1,100-H84*100,100-I84*100)</f>
        <v>18.469664176858927</v>
      </c>
      <c r="K84" s="43">
        <f t="shared" si="4"/>
        <v>0</v>
      </c>
      <c r="L84" s="6">
        <f t="shared" si="5"/>
        <v>0.61699999999999999</v>
      </c>
      <c r="M84" s="6">
        <f t="shared" si="6"/>
        <v>0.68600000000000005</v>
      </c>
      <c r="N84" s="6">
        <f t="shared" si="7"/>
        <v>0.99998999999999993</v>
      </c>
      <c r="O84" s="6">
        <f t="shared" si="8"/>
        <v>0.9998999999999999</v>
      </c>
      <c r="P84" s="40">
        <f t="shared" si="9"/>
        <v>21.721162359143253</v>
      </c>
      <c r="Q84" s="6">
        <f t="shared" si="10"/>
        <v>1.0482752293018784</v>
      </c>
      <c r="R84" s="123">
        <f t="shared" si="11"/>
        <v>0.99999970450132203</v>
      </c>
      <c r="S84" s="6">
        <f t="shared" si="12"/>
        <v>99.999970450132196</v>
      </c>
      <c r="T84" s="249">
        <f t="shared" si="15"/>
        <v>1.9088895508723169E-5</v>
      </c>
      <c r="U84" s="245">
        <f>'Berekening trap 1'!H84*$T84</f>
        <v>1.5639711543626991E-5</v>
      </c>
      <c r="V84" s="375">
        <f>'Berekening trap 1'!I84*$T84</f>
        <v>1.5563240613190494E-5</v>
      </c>
      <c r="Y84" s="43">
        <f t="shared" si="16"/>
        <v>8</v>
      </c>
      <c r="Z84" s="6">
        <f>IF(INVOER!A43=0,"x",INVOER!A43)</f>
        <v>1.3049999999999999</v>
      </c>
      <c r="AA84" s="6">
        <f>IF(INVOER!B$36&gt;INVOER!B$37,INVOER!B43,100-INVOER!B43)</f>
        <v>99.7</v>
      </c>
      <c r="AB84" s="6">
        <f t="shared" si="17"/>
        <v>8</v>
      </c>
      <c r="AC84" s="6">
        <f t="shared" si="13"/>
        <v>0.997</v>
      </c>
      <c r="AD84" s="44">
        <f>IF(INVOER!A43=0,10000,INVOER!A43)</f>
        <v>1.3049999999999999</v>
      </c>
    </row>
    <row r="85" spans="1:30" x14ac:dyDescent="0.2">
      <c r="A85" s="43">
        <f>A84*'Berekening trap 1'!H$58</f>
        <v>0.55034474879499062</v>
      </c>
      <c r="B85" s="6">
        <f t="shared" si="21"/>
        <v>0.53749903335403448</v>
      </c>
      <c r="C85" s="169">
        <f>B85/$B$51</f>
        <v>0.77378523322116799</v>
      </c>
      <c r="D85" s="202">
        <f t="shared" si="22"/>
        <v>0.799976792291612</v>
      </c>
      <c r="E85" s="199">
        <f t="shared" si="19"/>
        <v>0.57385883911944879</v>
      </c>
      <c r="F85" s="43">
        <f t="shared" si="3"/>
        <v>0.79559788958922772</v>
      </c>
      <c r="G85" s="156">
        <f t="shared" si="14"/>
        <v>0.56607372981086712</v>
      </c>
      <c r="H85" s="171">
        <f t="shared" si="23"/>
        <v>0.799976792291612</v>
      </c>
      <c r="I85" s="181">
        <f t="shared" si="20"/>
        <v>0.79559788958922772</v>
      </c>
      <c r="J85" s="395">
        <f>IF(INVOER!$S$36=1,100-H85*100,100-I85*100)</f>
        <v>20.440211041077234</v>
      </c>
      <c r="K85" s="43">
        <f t="shared" si="4"/>
        <v>0</v>
      </c>
      <c r="L85" s="6">
        <f t="shared" si="5"/>
        <v>0.61699999999999999</v>
      </c>
      <c r="M85" s="6">
        <f t="shared" si="6"/>
        <v>0.68600000000000005</v>
      </c>
      <c r="N85" s="6">
        <f t="shared" si="7"/>
        <v>0.99998999999999993</v>
      </c>
      <c r="O85" s="6">
        <f t="shared" si="8"/>
        <v>0.9998999999999999</v>
      </c>
      <c r="P85" s="40">
        <f t="shared" si="9"/>
        <v>21.721162359143253</v>
      </c>
      <c r="Q85" s="6">
        <f t="shared" si="10"/>
        <v>1.0482752293018784</v>
      </c>
      <c r="R85" s="123">
        <f t="shared" si="11"/>
        <v>0.99999916528357946</v>
      </c>
      <c r="S85" s="6">
        <f t="shared" si="12"/>
        <v>99.999916528357943</v>
      </c>
      <c r="T85" s="249">
        <f t="shared" si="15"/>
        <v>5.3921774256782129E-5</v>
      </c>
      <c r="U85" s="245">
        <f>'Berekening trap 1'!H85*$T85</f>
        <v>4.313616800461299E-5</v>
      </c>
      <c r="V85" s="375">
        <f>'Berekening trap 1'!I85*$T85</f>
        <v>4.2900049801602613E-5</v>
      </c>
      <c r="Y85" s="43">
        <f t="shared" si="16"/>
        <v>9</v>
      </c>
      <c r="Z85" s="6">
        <f>IF(INVOER!A44=0,"x",INVOER!A44)</f>
        <v>1.4530000000000001</v>
      </c>
      <c r="AA85" s="6">
        <f>IF(INVOER!B$36&gt;INVOER!B$37,INVOER!B44,100-INVOER!B44)</f>
        <v>99.61</v>
      </c>
      <c r="AB85" s="6">
        <f t="shared" si="17"/>
        <v>9</v>
      </c>
      <c r="AC85" s="6">
        <f t="shared" si="13"/>
        <v>0.99609999999999999</v>
      </c>
      <c r="AD85" s="44">
        <f>IF(INVOER!A44=0,10000,INVOER!A44)</f>
        <v>1.4530000000000001</v>
      </c>
    </row>
    <row r="86" spans="1:30" x14ac:dyDescent="0.2">
      <c r="A86" s="45">
        <f>A85*'Berekening trap 1'!H$58</f>
        <v>0.5772942478110864</v>
      </c>
      <c r="B86" s="46">
        <f t="shared" si="21"/>
        <v>0.56381949830303846</v>
      </c>
      <c r="C86" s="184">
        <f t="shared" si="18"/>
        <v>0.81167625412583244</v>
      </c>
      <c r="D86" s="203">
        <f t="shared" si="22"/>
        <v>0.78092413008956152</v>
      </c>
      <c r="E86" s="168">
        <f t="shared" si="19"/>
        <v>0.56428563401222798</v>
      </c>
      <c r="F86" s="45">
        <f t="shared" si="3"/>
        <v>0.77618922199391893</v>
      </c>
      <c r="G86" s="185">
        <f t="shared" si="14"/>
        <v>0.55640013861206095</v>
      </c>
      <c r="H86" s="172">
        <f t="shared" si="23"/>
        <v>0.78092413008956152</v>
      </c>
      <c r="I86" s="243">
        <f t="shared" si="20"/>
        <v>0.77618922199391893</v>
      </c>
      <c r="J86" s="395">
        <f>IF(INVOER!$S$36=1,100-H86*100,100-I86*100)</f>
        <v>22.381077800608111</v>
      </c>
      <c r="K86" s="45">
        <f t="shared" si="4"/>
        <v>0</v>
      </c>
      <c r="L86" s="46">
        <f t="shared" si="5"/>
        <v>0.61699999999999999</v>
      </c>
      <c r="M86" s="46">
        <f t="shared" si="6"/>
        <v>0.68600000000000005</v>
      </c>
      <c r="N86" s="46">
        <f t="shared" si="7"/>
        <v>0.99998999999999993</v>
      </c>
      <c r="O86" s="46">
        <f t="shared" si="8"/>
        <v>0.9998999999999999</v>
      </c>
      <c r="P86" s="51">
        <f>(LN(LN(N86)/LN(O86)))/LN(L86/M86)</f>
        <v>21.721162359143253</v>
      </c>
      <c r="Q86" s="46">
        <f t="shared" si="10"/>
        <v>1.0482752293018784</v>
      </c>
      <c r="R86" s="175">
        <f t="shared" si="11"/>
        <v>0.99999764211750519</v>
      </c>
      <c r="S86" s="46">
        <f t="shared" si="12"/>
        <v>99.999764211750517</v>
      </c>
      <c r="T86" s="250">
        <f t="shared" si="15"/>
        <v>1.5231660742687225E-4</v>
      </c>
      <c r="U86" s="246">
        <f>'Berekening trap 1'!H86*$T86</f>
        <v>1.1894771415302346E-4</v>
      </c>
      <c r="V86" s="376">
        <f>'Berekening trap 1'!I86*$T86</f>
        <v>1.1822650901541715E-4</v>
      </c>
      <c r="Y86" s="43">
        <f t="shared" si="16"/>
        <v>10</v>
      </c>
      <c r="Z86" s="6">
        <f>IF(INVOER!A45=0,"x",INVOER!A45)</f>
        <v>1.617</v>
      </c>
      <c r="AA86" s="6">
        <f>IF(INVOER!B$36&gt;INVOER!B$37,INVOER!B45,100-INVOER!B45)</f>
        <v>99.51</v>
      </c>
      <c r="AB86" s="6">
        <f t="shared" si="17"/>
        <v>10</v>
      </c>
      <c r="AC86" s="6">
        <f t="shared" si="13"/>
        <v>0.9951000000000001</v>
      </c>
      <c r="AD86" s="44">
        <f>IF(INVOER!A45=0,10000,INVOER!A45)</f>
        <v>1.617</v>
      </c>
    </row>
    <row r="87" spans="1:30" x14ac:dyDescent="0.2">
      <c r="A87" s="43">
        <f>A86*'Berekening trap 1'!H$58</f>
        <v>0.60556342053863077</v>
      </c>
      <c r="B87" s="6">
        <f t="shared" si="21"/>
        <v>0.59142883417485859</v>
      </c>
      <c r="C87" s="169">
        <f t="shared" si="18"/>
        <v>0.85142273750710817</v>
      </c>
      <c r="D87" s="202">
        <f t="shared" si="22"/>
        <v>0.7620890440382776</v>
      </c>
      <c r="E87" s="199">
        <f t="shared" si="19"/>
        <v>0.5545354141389478</v>
      </c>
      <c r="F87" s="43">
        <f t="shared" si="3"/>
        <v>0.75701364005008642</v>
      </c>
      <c r="G87" s="156">
        <f t="shared" si="14"/>
        <v>0.54655182515245238</v>
      </c>
      <c r="H87" s="171">
        <f t="shared" si="23"/>
        <v>0.7620890440382776</v>
      </c>
      <c r="I87" s="181">
        <f t="shared" si="20"/>
        <v>0.75701364005008642</v>
      </c>
      <c r="J87" s="393">
        <f>IF(INVOER!$S$36=1,100-H87*100,100-I87*100)</f>
        <v>24.298635994991358</v>
      </c>
      <c r="K87" s="41">
        <f t="shared" si="4"/>
        <v>0</v>
      </c>
      <c r="L87" s="5">
        <f>IF(K87=0,VLOOKUP(1,Y$77:AA$146,2),VLOOKUP(K87,Y$76:Z$145,2))</f>
        <v>0.61699999999999999</v>
      </c>
      <c r="M87" s="5">
        <f t="shared" si="6"/>
        <v>0.68600000000000005</v>
      </c>
      <c r="N87" s="5">
        <f t="shared" si="7"/>
        <v>0.99998999999999993</v>
      </c>
      <c r="O87" s="5">
        <f t="shared" si="8"/>
        <v>0.9998999999999999</v>
      </c>
      <c r="P87" s="39">
        <f t="shared" si="9"/>
        <v>21.721162359143253</v>
      </c>
      <c r="Q87" s="5">
        <f t="shared" si="10"/>
        <v>1.0482752293018784</v>
      </c>
      <c r="R87" s="247">
        <f t="shared" si="11"/>
        <v>0.99999333953185032</v>
      </c>
      <c r="S87" s="5">
        <f t="shared" si="12"/>
        <v>99.99933395318503</v>
      </c>
      <c r="T87" s="251">
        <f t="shared" si="15"/>
        <v>4.3025856548695174E-4</v>
      </c>
      <c r="U87" s="245">
        <f>'Berekening trap 1'!H87*$T87</f>
        <v>3.2789533886123169E-4</v>
      </c>
      <c r="V87" s="375">
        <f>'Berekening trap 1'!I87*$T87</f>
        <v>3.2571160282200581E-4</v>
      </c>
      <c r="Y87" s="43">
        <f t="shared" si="16"/>
        <v>11</v>
      </c>
      <c r="Z87" s="6">
        <f>IF(INVOER!A46=0,"x",INVOER!A46)</f>
        <v>1.8</v>
      </c>
      <c r="AA87" s="6">
        <f>IF(INVOER!B$36&gt;INVOER!B$37,INVOER!B46,100-INVOER!B46)</f>
        <v>99.4</v>
      </c>
      <c r="AB87" s="6">
        <f t="shared" si="17"/>
        <v>11</v>
      </c>
      <c r="AC87" s="6">
        <f t="shared" si="13"/>
        <v>0.99400000000000011</v>
      </c>
      <c r="AD87" s="44">
        <f>IF(INVOER!A46=0,10000,INVOER!A46)</f>
        <v>1.8</v>
      </c>
    </row>
    <row r="88" spans="1:30" x14ac:dyDescent="0.2">
      <c r="A88" s="43">
        <f>A87*'Berekening trap 1'!H$58</f>
        <v>0.63521688928112741</v>
      </c>
      <c r="B88" s="6">
        <f t="shared" si="21"/>
        <v>0.62039015490987914</v>
      </c>
      <c r="C88" s="169">
        <f t="shared" si="18"/>
        <v>0.89311554238435942</v>
      </c>
      <c r="D88" s="202">
        <f>IF(C88-$K$35&gt;0,EXP(-(((C88-$K$35)/$K$37)^$K$39)),1)</f>
        <v>0.74342511211689077</v>
      </c>
      <c r="E88" s="199">
        <f t="shared" si="19"/>
        <v>0.54461169961891309</v>
      </c>
      <c r="F88" s="43">
        <f t="shared" si="3"/>
        <v>0.73802380071641271</v>
      </c>
      <c r="G88" s="156">
        <f t="shared" si="14"/>
        <v>0.53653264442945314</v>
      </c>
      <c r="H88" s="171">
        <f t="shared" si="23"/>
        <v>0.74342511211689077</v>
      </c>
      <c r="I88" s="181">
        <f t="shared" si="20"/>
        <v>0.73802380071641271</v>
      </c>
      <c r="J88" s="395">
        <f>IF(INVOER!$S$36=1,100-H88*100,100-I88*100)</f>
        <v>26.197619928358733</v>
      </c>
      <c r="K88" s="43">
        <f t="shared" si="4"/>
        <v>1</v>
      </c>
      <c r="L88" s="6">
        <f t="shared" si="5"/>
        <v>0.61699999999999999</v>
      </c>
      <c r="M88" s="6">
        <f t="shared" si="6"/>
        <v>0.68600000000000005</v>
      </c>
      <c r="N88" s="6">
        <f t="shared" si="7"/>
        <v>0.99998999999999993</v>
      </c>
      <c r="O88" s="6">
        <f t="shared" si="8"/>
        <v>0.9998999999999999</v>
      </c>
      <c r="P88" s="40">
        <f t="shared" si="9"/>
        <v>21.721162359143253</v>
      </c>
      <c r="Q88" s="6">
        <f t="shared" si="10"/>
        <v>1.0482752293018784</v>
      </c>
      <c r="R88" s="123">
        <f t="shared" si="11"/>
        <v>0.99998118580466888</v>
      </c>
      <c r="S88" s="6">
        <f t="shared" si="12"/>
        <v>99.998118580466894</v>
      </c>
      <c r="T88" s="249">
        <f t="shared" si="15"/>
        <v>1.2153727181440921E-3</v>
      </c>
      <c r="U88" s="245">
        <f>'Berekening trap 1'!H88*$T88</f>
        <v>9.0353859925008191E-4</v>
      </c>
      <c r="V88" s="375">
        <f>'Berekening trap 1'!I88*$T88</f>
        <v>8.9697399273174026E-4</v>
      </c>
      <c r="Y88" s="43">
        <f t="shared" si="16"/>
        <v>12</v>
      </c>
      <c r="Z88" s="6">
        <f>IF(INVOER!A47=0,"x",INVOER!A47)</f>
        <v>2.0030000000000001</v>
      </c>
      <c r="AA88" s="6">
        <f>IF(INVOER!B$36&gt;INVOER!B$37,INVOER!B47,100-INVOER!B47)</f>
        <v>99.27</v>
      </c>
      <c r="AB88" s="6">
        <f t="shared" si="17"/>
        <v>12</v>
      </c>
      <c r="AC88" s="6">
        <f t="shared" si="13"/>
        <v>0.99269999999999992</v>
      </c>
      <c r="AD88" s="44">
        <f>IF(INVOER!A47=0,10000,INVOER!A47)</f>
        <v>2.0030000000000001</v>
      </c>
    </row>
    <row r="89" spans="1:30" x14ac:dyDescent="0.2">
      <c r="A89" s="43">
        <f>A88*'Berekening trap 1'!H$58</f>
        <v>0.6663224407925602</v>
      </c>
      <c r="B89" s="6">
        <f t="shared" si="21"/>
        <v>0.65076966503684375</v>
      </c>
      <c r="C89" s="169">
        <f t="shared" si="18"/>
        <v>0.93684997699729511</v>
      </c>
      <c r="D89" s="202">
        <f>IF(C89-$K$35&gt;0,EXP(-(((C89-$K$35)/$K$37)^$K$39)),1)</f>
        <v>0.7248974214838193</v>
      </c>
      <c r="E89" s="199">
        <f t="shared" si="19"/>
        <v>0.53451850035863024</v>
      </c>
      <c r="F89" s="43">
        <f t="shared" si="3"/>
        <v>0.71918417589477845</v>
      </c>
      <c r="G89" s="156">
        <f t="shared" si="14"/>
        <v>0.52634695401529519</v>
      </c>
      <c r="H89" s="171">
        <f t="shared" si="23"/>
        <v>0.7248974214838193</v>
      </c>
      <c r="I89" s="181">
        <f t="shared" si="20"/>
        <v>0.71918417589477845</v>
      </c>
      <c r="J89" s="395">
        <f>IF(INVOER!$S$36=1,100-H89*100,100-I89*100)</f>
        <v>28.081582410522159</v>
      </c>
      <c r="K89" s="43">
        <f t="shared" si="4"/>
        <v>1</v>
      </c>
      <c r="L89" s="6">
        <f t="shared" si="5"/>
        <v>0.61699999999999999</v>
      </c>
      <c r="M89" s="6">
        <f t="shared" si="6"/>
        <v>0.68600000000000005</v>
      </c>
      <c r="N89" s="6">
        <f t="shared" si="7"/>
        <v>0.99998999999999993</v>
      </c>
      <c r="O89" s="6">
        <f t="shared" si="8"/>
        <v>0.9998999999999999</v>
      </c>
      <c r="P89" s="40">
        <f t="shared" si="9"/>
        <v>21.721162359143253</v>
      </c>
      <c r="Q89" s="6">
        <f t="shared" si="10"/>
        <v>1.0482752293018784</v>
      </c>
      <c r="R89" s="123">
        <f t="shared" si="11"/>
        <v>0.99994685508393266</v>
      </c>
      <c r="S89" s="6">
        <f t="shared" si="12"/>
        <v>99.99468550839326</v>
      </c>
      <c r="T89" s="249">
        <f t="shared" si="15"/>
        <v>3.4330720736219789E-3</v>
      </c>
      <c r="U89" s="245">
        <f>'Berekening trap 1'!H89*$T89</f>
        <v>2.4886250939366813E-3</v>
      </c>
      <c r="V89" s="375">
        <f>'Berekening trap 1'!I89*$T89</f>
        <v>2.4690111100552012E-3</v>
      </c>
      <c r="Y89" s="43">
        <f t="shared" si="16"/>
        <v>13</v>
      </c>
      <c r="Z89" s="6">
        <f>IF(INVOER!A48=0,"x",INVOER!A48)</f>
        <v>2.23</v>
      </c>
      <c r="AA89" s="6">
        <f>IF(INVOER!B$36&gt;INVOER!B$37,INVOER!B48,100-INVOER!B48)</f>
        <v>99.12</v>
      </c>
      <c r="AB89" s="6">
        <f t="shared" si="17"/>
        <v>13</v>
      </c>
      <c r="AC89" s="6">
        <f t="shared" si="13"/>
        <v>0.99120000000000008</v>
      </c>
      <c r="AD89" s="44">
        <f>IF(INVOER!A48=0,10000,INVOER!A48)</f>
        <v>2.23</v>
      </c>
    </row>
    <row r="90" spans="1:30" x14ac:dyDescent="0.2">
      <c r="A90" s="43">
        <f>A89*'Berekening trap 1'!H$58</f>
        <v>0.69895118123545452</v>
      </c>
      <c r="B90" s="6">
        <f t="shared" si="21"/>
        <v>0.68263681101400731</v>
      </c>
      <c r="C90" s="169">
        <f t="shared" si="18"/>
        <v>0.98272601667714843</v>
      </c>
      <c r="D90" s="202">
        <f t="shared" ref="D90:D153" si="24">IF(C90-$K$35&gt;0,EXP(-(((C90-$K$35)/$K$37)^$K$39)),1)</f>
        <v>0.70647967663669453</v>
      </c>
      <c r="E90" s="199">
        <f t="shared" si="19"/>
        <v>0.52426033369621516</v>
      </c>
      <c r="F90" s="43">
        <f t="shared" si="3"/>
        <v>0.70046808252678749</v>
      </c>
      <c r="G90" s="156">
        <f t="shared" si="14"/>
        <v>0.51599963110911884</v>
      </c>
      <c r="H90" s="171">
        <f t="shared" si="23"/>
        <v>0.70647967663669453</v>
      </c>
      <c r="I90" s="181">
        <f t="shared" si="20"/>
        <v>0.70046808252678749</v>
      </c>
      <c r="J90" s="395">
        <f>IF(INVOER!$S$36=1,100-H90*100,100-I90*100)</f>
        <v>29.953191747321256</v>
      </c>
      <c r="K90" s="43">
        <f t="shared" si="4"/>
        <v>2</v>
      </c>
      <c r="L90" s="6">
        <f t="shared" si="5"/>
        <v>0.68600000000000005</v>
      </c>
      <c r="M90" s="6">
        <f t="shared" si="6"/>
        <v>0.748</v>
      </c>
      <c r="N90" s="6">
        <f t="shared" si="7"/>
        <v>0.9998999999999999</v>
      </c>
      <c r="O90" s="6">
        <f t="shared" si="8"/>
        <v>0.99980000000000002</v>
      </c>
      <c r="P90" s="40">
        <f t="shared" si="9"/>
        <v>8.0114924102372083</v>
      </c>
      <c r="Q90" s="6">
        <f t="shared" si="10"/>
        <v>2.165729238933765</v>
      </c>
      <c r="R90" s="123">
        <f t="shared" si="11"/>
        <v>0.99988383597295694</v>
      </c>
      <c r="S90" s="6">
        <f t="shared" si="12"/>
        <v>99.988383597295694</v>
      </c>
      <c r="T90" s="249">
        <f t="shared" si="15"/>
        <v>6.30191109757261E-3</v>
      </c>
      <c r="U90" s="245">
        <f>'Berekening trap 1'!H90*$T90</f>
        <v>4.4521721144062942E-3</v>
      </c>
      <c r="V90" s="375">
        <f>'Berekening trap 1'!I90*$T90</f>
        <v>4.4142875827709689E-3</v>
      </c>
      <c r="Y90" s="43">
        <f t="shared" si="16"/>
        <v>14</v>
      </c>
      <c r="Z90" s="6">
        <f>IF(INVOER!A49=0,"x",INVOER!A49)</f>
        <v>2.4820000000000002</v>
      </c>
      <c r="AA90" s="6">
        <f>IF(INVOER!B$36&gt;INVOER!B$37,INVOER!B49,100-INVOER!B49)</f>
        <v>98.92</v>
      </c>
      <c r="AB90" s="6">
        <f t="shared" si="17"/>
        <v>14</v>
      </c>
      <c r="AC90" s="6">
        <f t="shared" si="13"/>
        <v>0.98919999999999997</v>
      </c>
      <c r="AD90" s="44">
        <f>IF(INVOER!A49=0,10000,INVOER!A49)</f>
        <v>2.4820000000000002</v>
      </c>
    </row>
    <row r="91" spans="1:30" x14ac:dyDescent="0.2">
      <c r="A91" s="45">
        <f>A90*'Berekening trap 1'!H$58</f>
        <v>0.73317769872698524</v>
      </c>
      <c r="B91" s="46">
        <f t="shared" si="21"/>
        <v>0.71606443998121994</v>
      </c>
      <c r="C91" s="184">
        <f t="shared" si="18"/>
        <v>1.0308485323866572</v>
      </c>
      <c r="D91" s="203">
        <f t="shared" si="24"/>
        <v>0.68815224186248014</v>
      </c>
      <c r="E91" s="168">
        <f t="shared" si="19"/>
        <v>0.51384224119024668</v>
      </c>
      <c r="F91" s="45">
        <f t="shared" si="3"/>
        <v>0.68185567130913005</v>
      </c>
      <c r="G91" s="185">
        <f t="shared" si="14"/>
        <v>0.50549608860219408</v>
      </c>
      <c r="H91" s="172">
        <f t="shared" si="23"/>
        <v>0.68815224186248014</v>
      </c>
      <c r="I91" s="243">
        <f t="shared" si="20"/>
        <v>0.68185567130913005</v>
      </c>
      <c r="J91" s="394">
        <f>IF(INVOER!$S$36=1,100-H91*100,100-I91*100)</f>
        <v>31.814432869087</v>
      </c>
      <c r="K91" s="45">
        <f t="shared" si="4"/>
        <v>2</v>
      </c>
      <c r="L91" s="46">
        <f t="shared" si="5"/>
        <v>0.68600000000000005</v>
      </c>
      <c r="M91" s="46">
        <f t="shared" si="6"/>
        <v>0.748</v>
      </c>
      <c r="N91" s="46">
        <f t="shared" si="7"/>
        <v>0.9998999999999999</v>
      </c>
      <c r="O91" s="46">
        <f t="shared" si="8"/>
        <v>0.99980000000000002</v>
      </c>
      <c r="P91" s="51">
        <f t="shared" si="9"/>
        <v>8.0114924102372083</v>
      </c>
      <c r="Q91" s="46">
        <f t="shared" si="10"/>
        <v>2.165729238933765</v>
      </c>
      <c r="R91" s="175">
        <f t="shared" si="11"/>
        <v>0.99982962819567889</v>
      </c>
      <c r="S91" s="46">
        <f t="shared" si="12"/>
        <v>99.982962819567888</v>
      </c>
      <c r="T91" s="250">
        <f t="shared" si="15"/>
        <v>5.4207777278048042E-3</v>
      </c>
      <c r="U91" s="246">
        <f>'Berekening trap 1'!H91*$T91</f>
        <v>3.7303203460270773E-3</v>
      </c>
      <c r="V91" s="376">
        <f>'Berekening trap 1'!I91*$T91</f>
        <v>3.6961880366099256E-3</v>
      </c>
      <c r="Y91" s="43">
        <f t="shared" si="16"/>
        <v>15</v>
      </c>
      <c r="Z91" s="6">
        <f>IF(INVOER!A50=0,"x",INVOER!A50)</f>
        <v>2.762</v>
      </c>
      <c r="AA91" s="6">
        <f>IF(INVOER!B$36&gt;INVOER!B$37,INVOER!B50,100-INVOER!B50)</f>
        <v>98.74</v>
      </c>
      <c r="AB91" s="6">
        <f t="shared" si="17"/>
        <v>15</v>
      </c>
      <c r="AC91" s="6">
        <f t="shared" si="13"/>
        <v>0.98739999999999994</v>
      </c>
      <c r="AD91" s="44">
        <f>IF(INVOER!A50=0,10000,INVOER!A50)</f>
        <v>2.762</v>
      </c>
    </row>
    <row r="92" spans="1:30" x14ac:dyDescent="0.2">
      <c r="A92" s="43">
        <f>A91*'Berekening trap 1'!H$58</f>
        <v>0.76908023384470758</v>
      </c>
      <c r="B92" s="6">
        <f t="shared" si="21"/>
        <v>0.75112896628584647</v>
      </c>
      <c r="C92" s="169">
        <f t="shared" si="18"/>
        <v>1.0813275304512806</v>
      </c>
      <c r="D92" s="202">
        <f t="shared" si="24"/>
        <v>0.66990077313773211</v>
      </c>
      <c r="E92" s="199">
        <f t="shared" si="19"/>
        <v>0.50326980436635471</v>
      </c>
      <c r="F92" s="43">
        <f t="shared" si="3"/>
        <v>0.66333252019234501</v>
      </c>
      <c r="G92" s="156">
        <f t="shared" si="14"/>
        <v>0.4948422899605055</v>
      </c>
      <c r="H92" s="171">
        <f t="shared" si="23"/>
        <v>0.66990077313773211</v>
      </c>
      <c r="I92" s="181">
        <f t="shared" si="20"/>
        <v>0.66333252019234501</v>
      </c>
      <c r="J92" s="395">
        <f>IF(INVOER!$S$36=1,100-H92*100,100-I92*100)</f>
        <v>33.666747980765493</v>
      </c>
      <c r="K92" s="41">
        <f t="shared" si="4"/>
        <v>3</v>
      </c>
      <c r="L92" s="5">
        <f t="shared" si="5"/>
        <v>0.748</v>
      </c>
      <c r="M92" s="5">
        <f t="shared" si="6"/>
        <v>0.85</v>
      </c>
      <c r="N92" s="5">
        <f t="shared" si="7"/>
        <v>0.99980000000000002</v>
      </c>
      <c r="O92" s="5">
        <f t="shared" si="8"/>
        <v>0.99939999999999996</v>
      </c>
      <c r="P92" s="39">
        <f t="shared" si="9"/>
        <v>8.5956612297908883</v>
      </c>
      <c r="Q92" s="5">
        <f t="shared" si="10"/>
        <v>2.0147744792869484</v>
      </c>
      <c r="R92" s="247">
        <f t="shared" si="11"/>
        <v>0.99974603822590824</v>
      </c>
      <c r="S92" s="5">
        <f t="shared" si="12"/>
        <v>99.974603822590822</v>
      </c>
      <c r="T92" s="251">
        <f t="shared" si="15"/>
        <v>8.3589969770647699E-3</v>
      </c>
      <c r="U92" s="245">
        <f>'Berekening trap 1'!H92*$T92</f>
        <v>5.5996985375916545E-3</v>
      </c>
      <c r="V92" s="375">
        <f>'Berekening trap 1'!I92*$T92</f>
        <v>5.5447945310765677E-3</v>
      </c>
      <c r="Y92" s="43">
        <f t="shared" si="16"/>
        <v>16</v>
      </c>
      <c r="Z92" s="6">
        <f>IF(INVOER!A51=0,"x",INVOER!A51)</f>
        <v>3.0750000000000002</v>
      </c>
      <c r="AA92" s="6">
        <f>IF(INVOER!B$36&gt;INVOER!B$37,INVOER!B51,100-INVOER!B51)</f>
        <v>98.51</v>
      </c>
      <c r="AB92" s="6">
        <f t="shared" si="17"/>
        <v>16</v>
      </c>
      <c r="AC92" s="6">
        <f t="shared" si="13"/>
        <v>0.98510000000000009</v>
      </c>
      <c r="AD92" s="44">
        <f>IF(INVOER!A51=0,10000,INVOER!A51)</f>
        <v>3.0750000000000002</v>
      </c>
    </row>
    <row r="93" spans="1:30" x14ac:dyDescent="0.2">
      <c r="A93" s="43">
        <f>A92*'Berekening trap 1'!H$58</f>
        <v>0.80674085848167931</v>
      </c>
      <c r="B93" s="6">
        <f t="shared" si="21"/>
        <v>0.78791054616319345</v>
      </c>
      <c r="C93" s="169">
        <f t="shared" si="18"/>
        <v>1.1342784040296698</v>
      </c>
      <c r="D93" s="202">
        <f t="shared" si="24"/>
        <v>0.65171523557760769</v>
      </c>
      <c r="E93" s="199">
        <f t="shared" si="19"/>
        <v>0.49254915922200038</v>
      </c>
      <c r="F93" s="43">
        <f t="shared" si="3"/>
        <v>0.64488862342575681</v>
      </c>
      <c r="G93" s="156">
        <f t="shared" si="14"/>
        <v>0.48404476271633717</v>
      </c>
      <c r="H93" s="171">
        <f t="shared" si="23"/>
        <v>0.65171523557760769</v>
      </c>
      <c r="I93" s="181">
        <f t="shared" si="20"/>
        <v>0.64488862342575681</v>
      </c>
      <c r="J93" s="395">
        <f>IF(INVOER!$S$36=1,100-H93*100,100-I93*100)</f>
        <v>35.511137657424314</v>
      </c>
      <c r="K93" s="43">
        <f t="shared" si="4"/>
        <v>3</v>
      </c>
      <c r="L93" s="6">
        <f t="shared" si="5"/>
        <v>0.748</v>
      </c>
      <c r="M93" s="6">
        <f t="shared" si="6"/>
        <v>0.85</v>
      </c>
      <c r="N93" s="6">
        <f t="shared" si="7"/>
        <v>0.99980000000000002</v>
      </c>
      <c r="O93" s="6">
        <f t="shared" si="8"/>
        <v>0.99939999999999996</v>
      </c>
      <c r="P93" s="40">
        <f t="shared" si="9"/>
        <v>8.5956612297908883</v>
      </c>
      <c r="Q93" s="6">
        <f t="shared" si="10"/>
        <v>2.0147744792869484</v>
      </c>
      <c r="R93" s="123">
        <f t="shared" si="11"/>
        <v>0.99961699282696237</v>
      </c>
      <c r="S93" s="6">
        <f t="shared" si="12"/>
        <v>99.96169928269623</v>
      </c>
      <c r="T93" s="249">
        <f t="shared" si="15"/>
        <v>1.2904539894587064E-2</v>
      </c>
      <c r="U93" s="245">
        <f>'Berekening trap 1'!H93*$T93</f>
        <v>8.4100852574214447E-3</v>
      </c>
      <c r="V93" s="375">
        <f>'Berekening trap 1'!I93*$T93</f>
        <v>8.3219909685630124E-3</v>
      </c>
      <c r="Y93" s="43">
        <f t="shared" si="16"/>
        <v>17</v>
      </c>
      <c r="Z93" s="6">
        <f>IF(INVOER!A52=0,"x",INVOER!A52)</f>
        <v>3.4220000000000002</v>
      </c>
      <c r="AA93" s="6">
        <f>IF(INVOER!B$36&gt;INVOER!B$37,INVOER!B52,100-INVOER!B52)</f>
        <v>98.24</v>
      </c>
      <c r="AB93" s="6">
        <f t="shared" si="17"/>
        <v>17</v>
      </c>
      <c r="AC93" s="6">
        <f t="shared" si="13"/>
        <v>0.98239999999999994</v>
      </c>
      <c r="AD93" s="44">
        <f>IF(INVOER!A52=0,10000,INVOER!A52)</f>
        <v>3.4220000000000002</v>
      </c>
    </row>
    <row r="94" spans="1:30" x14ac:dyDescent="0.2">
      <c r="A94" s="43">
        <f>A93*'Berekening trap 1'!H$58</f>
        <v>0.84624566345983143</v>
      </c>
      <c r="B94" s="6">
        <f t="shared" si="21"/>
        <v>0.82649326097075537</v>
      </c>
      <c r="C94" s="169">
        <f t="shared" si="18"/>
        <v>1.1898221968982436</v>
      </c>
      <c r="D94" s="202">
        <f t="shared" si="24"/>
        <v>0.63358918072105985</v>
      </c>
      <c r="E94" s="199">
        <f t="shared" si="19"/>
        <v>0.48168700927743896</v>
      </c>
      <c r="F94" s="43">
        <f t="shared" si="3"/>
        <v>0.6265176471367655</v>
      </c>
      <c r="G94" s="156">
        <f t="shared" si="14"/>
        <v>0.47311061034840879</v>
      </c>
      <c r="H94" s="171">
        <f t="shared" si="23"/>
        <v>0.63358918072105985</v>
      </c>
      <c r="I94" s="181">
        <f t="shared" si="20"/>
        <v>0.6265176471367655</v>
      </c>
      <c r="J94" s="395">
        <f>IF(INVOER!$S$36=1,100-H94*100,100-I94*100)</f>
        <v>37.348235286323451</v>
      </c>
      <c r="K94" s="43">
        <f t="shared" si="4"/>
        <v>3</v>
      </c>
      <c r="L94" s="6">
        <f t="shared" si="5"/>
        <v>0.748</v>
      </c>
      <c r="M94" s="6">
        <f t="shared" si="6"/>
        <v>0.85</v>
      </c>
      <c r="N94" s="6">
        <f t="shared" si="7"/>
        <v>0.99980000000000002</v>
      </c>
      <c r="O94" s="6">
        <f t="shared" si="8"/>
        <v>0.99939999999999996</v>
      </c>
      <c r="P94" s="40">
        <f t="shared" si="9"/>
        <v>8.5956612297908883</v>
      </c>
      <c r="Q94" s="6">
        <f t="shared" si="10"/>
        <v>2.0147744792869484</v>
      </c>
      <c r="R94" s="123">
        <f t="shared" si="11"/>
        <v>0.99942239463445937</v>
      </c>
      <c r="S94" s="6">
        <f t="shared" si="12"/>
        <v>99.942239463445929</v>
      </c>
      <c r="T94" s="249">
        <f t="shared" si="15"/>
        <v>1.9459819250300381E-2</v>
      </c>
      <c r="U94" s="245">
        <f>'Berekening trap 1'!H94*$T94</f>
        <v>1.2329530935777728E-2</v>
      </c>
      <c r="V94" s="375">
        <f>'Berekening trap 1'!I94*$T94</f>
        <v>1.219192017040493E-2</v>
      </c>
      <c r="Y94" s="43">
        <f t="shared" si="16"/>
        <v>18</v>
      </c>
      <c r="Z94" s="6">
        <f>IF(INVOER!A53=0,"x",INVOER!A53)</f>
        <v>3.8</v>
      </c>
      <c r="AA94" s="6">
        <f>IF(INVOER!B$36&gt;INVOER!B$37,INVOER!B53,100-INVOER!B53)</f>
        <v>97.95</v>
      </c>
      <c r="AB94" s="6">
        <f t="shared" si="17"/>
        <v>18</v>
      </c>
      <c r="AC94" s="6">
        <f t="shared" si="13"/>
        <v>0.97950000000000004</v>
      </c>
      <c r="AD94" s="44">
        <f>IF(INVOER!A53=0,10000,INVOER!A53)</f>
        <v>3.8</v>
      </c>
    </row>
    <row r="95" spans="1:30" x14ac:dyDescent="0.2">
      <c r="A95" s="43">
        <f>A94*'Berekening trap 1'!H$58</f>
        <v>0.88768495533046476</v>
      </c>
      <c r="B95" s="6">
        <f t="shared" si="21"/>
        <v>0.86696530939514815</v>
      </c>
      <c r="C95" s="169">
        <f t="shared" si="18"/>
        <v>1.2480858801528698</v>
      </c>
      <c r="D95" s="202">
        <f t="shared" si="24"/>
        <v>0.61551920332416599</v>
      </c>
      <c r="E95" s="199">
        <f t="shared" si="19"/>
        <v>0.47069063694896796</v>
      </c>
      <c r="F95" s="43">
        <f t="shared" si="3"/>
        <v>0.60821636900324227</v>
      </c>
      <c r="G95" s="156">
        <f t="shared" si="14"/>
        <v>0.46204752231876522</v>
      </c>
      <c r="H95" s="171">
        <f t="shared" si="23"/>
        <v>0.61551920332416599</v>
      </c>
      <c r="I95" s="181">
        <f t="shared" si="20"/>
        <v>0.60821636900324227</v>
      </c>
      <c r="J95" s="395">
        <f>IF(INVOER!$S$36=1,100-H95*100,100-I95*100)</f>
        <v>39.178363099675771</v>
      </c>
      <c r="K95" s="43">
        <f t="shared" si="4"/>
        <v>4</v>
      </c>
      <c r="L95" s="6">
        <f t="shared" si="5"/>
        <v>0.85</v>
      </c>
      <c r="M95" s="6">
        <f t="shared" si="6"/>
        <v>0.94699999999999995</v>
      </c>
      <c r="N95" s="6">
        <f t="shared" si="7"/>
        <v>0.99939999999999996</v>
      </c>
      <c r="O95" s="6">
        <f t="shared" si="8"/>
        <v>0.99900000000000011</v>
      </c>
      <c r="P95" s="40">
        <f t="shared" si="9"/>
        <v>4.7289726291587746</v>
      </c>
      <c r="Q95" s="6">
        <f t="shared" si="10"/>
        <v>4.0802925628004658</v>
      </c>
      <c r="R95" s="123">
        <f t="shared" si="11"/>
        <v>0.99926342816460922</v>
      </c>
      <c r="S95" s="6">
        <f t="shared" si="12"/>
        <v>99.926342816460917</v>
      </c>
      <c r="T95" s="249">
        <f t="shared" si="15"/>
        <v>1.589664698501414E-2</v>
      </c>
      <c r="U95" s="245">
        <f>'Berekening trap 1'!H95*$T95</f>
        <v>9.7846914877414079E-3</v>
      </c>
      <c r="V95" s="375">
        <f>'Berekening trap 1'!I95*$T95</f>
        <v>9.6686009085516396E-3</v>
      </c>
      <c r="Y95" s="43">
        <f t="shared" si="16"/>
        <v>19</v>
      </c>
      <c r="Z95" s="6">
        <f>IF(INVOER!A54=0,"x",INVOER!A54)</f>
        <v>4.2389999999999999</v>
      </c>
      <c r="AA95" s="6">
        <f>IF(INVOER!B$36&gt;INVOER!B$37,INVOER!B54,100-INVOER!B54)</f>
        <v>97.62</v>
      </c>
      <c r="AB95" s="6">
        <f t="shared" si="17"/>
        <v>19</v>
      </c>
      <c r="AC95" s="6">
        <f t="shared" si="13"/>
        <v>0.97620000000000007</v>
      </c>
      <c r="AD95" s="44">
        <f>IF(INVOER!A54=0,10000,INVOER!A54)</f>
        <v>4.2389999999999999</v>
      </c>
    </row>
    <row r="96" spans="1:30" x14ac:dyDescent="0.2">
      <c r="A96" s="45">
        <f>A95*'Berekening trap 1'!H$58</f>
        <v>0.93115346281175049</v>
      </c>
      <c r="B96" s="46">
        <f t="shared" si="21"/>
        <v>0.90941920907110763</v>
      </c>
      <c r="C96" s="184">
        <f t="shared" si="18"/>
        <v>1.3092026424601853</v>
      </c>
      <c r="D96" s="203">
        <f t="shared" si="24"/>
        <v>0.59750452471303495</v>
      </c>
      <c r="E96" s="168">
        <f t="shared" si="19"/>
        <v>0.45956791300948013</v>
      </c>
      <c r="F96" s="45">
        <f t="shared" si="3"/>
        <v>0.58998424767549928</v>
      </c>
      <c r="G96" s="185">
        <f t="shared" si="14"/>
        <v>0.45086378202426453</v>
      </c>
      <c r="H96" s="172">
        <f t="shared" si="23"/>
        <v>0.59750452471303495</v>
      </c>
      <c r="I96" s="243">
        <f t="shared" si="20"/>
        <v>0.58998424767549928</v>
      </c>
      <c r="J96" s="395">
        <f>IF(INVOER!$S$36=1,100-H96*100,100-I96*100)</f>
        <v>41.001575232450072</v>
      </c>
      <c r="K96" s="45">
        <f t="shared" si="4"/>
        <v>4</v>
      </c>
      <c r="L96" s="46">
        <f t="shared" si="5"/>
        <v>0.85</v>
      </c>
      <c r="M96" s="46">
        <f t="shared" si="6"/>
        <v>0.94699999999999995</v>
      </c>
      <c r="N96" s="46">
        <f t="shared" si="7"/>
        <v>0.99939999999999996</v>
      </c>
      <c r="O96" s="46">
        <f t="shared" si="8"/>
        <v>0.99900000000000011</v>
      </c>
      <c r="P96" s="51">
        <f t="shared" si="9"/>
        <v>4.7289726291587746</v>
      </c>
      <c r="Q96" s="46">
        <f t="shared" si="10"/>
        <v>4.0802925628004658</v>
      </c>
      <c r="R96" s="175">
        <f t="shared" si="11"/>
        <v>0.99907666486448532</v>
      </c>
      <c r="S96" s="46">
        <f t="shared" si="12"/>
        <v>99.907666486448534</v>
      </c>
      <c r="T96" s="250">
        <f t="shared" si="15"/>
        <v>1.8676330012390441E-2</v>
      </c>
      <c r="U96" s="246">
        <f>'Berekening trap 1'!H96*$T96</f>
        <v>1.1159191687437141E-2</v>
      </c>
      <c r="V96" s="376">
        <f>'Berekening trap 1'!I96*$T96</f>
        <v>1.1018740511699522E-2</v>
      </c>
      <c r="Y96" s="43">
        <f t="shared" si="16"/>
        <v>20</v>
      </c>
      <c r="Z96" s="6">
        <f>IF(INVOER!A55=0,"x",INVOER!A55)</f>
        <v>4.7160000000000002</v>
      </c>
      <c r="AA96" s="6">
        <f>IF(INVOER!B$36&gt;INVOER!B$37,INVOER!B55,100-INVOER!B55)</f>
        <v>97.25</v>
      </c>
      <c r="AB96" s="6">
        <f t="shared" si="17"/>
        <v>20</v>
      </c>
      <c r="AC96" s="6">
        <f t="shared" si="13"/>
        <v>0.97250000000000003</v>
      </c>
      <c r="AD96" s="44">
        <f>IF(INVOER!A55=0,10000,INVOER!A55)</f>
        <v>4.7160000000000002</v>
      </c>
    </row>
    <row r="97" spans="1:30" x14ac:dyDescent="0.2">
      <c r="A97" s="43">
        <f>A96*'Berekening trap 1'!H$58</f>
        <v>0.97675055333514393</v>
      </c>
      <c r="B97" s="6">
        <f t="shared" si="21"/>
        <v>0.95395200807344716</v>
      </c>
      <c r="C97" s="169">
        <f t="shared" si="18"/>
        <v>1.3733121945220579</v>
      </c>
      <c r="D97" s="202">
        <f t="shared" si="24"/>
        <v>0.57954666682508194</v>
      </c>
      <c r="E97" s="199">
        <f t="shared" si="19"/>
        <v>0.4483273038913233</v>
      </c>
      <c r="F97" s="43">
        <f t="shared" si="3"/>
        <v>0.57182308513168856</v>
      </c>
      <c r="G97" s="156">
        <f t="shared" si="14"/>
        <v>0.43956827241141327</v>
      </c>
      <c r="H97" s="171">
        <f t="shared" si="23"/>
        <v>0.57954666682508194</v>
      </c>
      <c r="I97" s="181">
        <f t="shared" si="20"/>
        <v>0.57182308513168856</v>
      </c>
      <c r="J97" s="393">
        <f>IF(INVOER!$S$36=1,100-H97*100,100-I97*100)</f>
        <v>42.817691486831144</v>
      </c>
      <c r="K97" s="41">
        <f t="shared" si="4"/>
        <v>5</v>
      </c>
      <c r="L97" s="5">
        <f t="shared" si="5"/>
        <v>0.94699999999999995</v>
      </c>
      <c r="M97" s="5">
        <f t="shared" si="6"/>
        <v>1.054</v>
      </c>
      <c r="N97" s="5">
        <f t="shared" si="7"/>
        <v>0.99900000000000011</v>
      </c>
      <c r="O97" s="5">
        <f t="shared" si="8"/>
        <v>0.99840000000000007</v>
      </c>
      <c r="P97" s="39">
        <f t="shared" si="9"/>
        <v>4.3933670953613806</v>
      </c>
      <c r="Q97" s="5">
        <f t="shared" si="10"/>
        <v>4.5619244847167115</v>
      </c>
      <c r="R97" s="247">
        <f t="shared" si="11"/>
        <v>0.99885452003054476</v>
      </c>
      <c r="S97" s="5">
        <f t="shared" si="12"/>
        <v>99.885452003054482</v>
      </c>
      <c r="T97" s="251">
        <f t="shared" si="15"/>
        <v>2.2214483394056295E-2</v>
      </c>
      <c r="U97" s="245">
        <f>'Berekening trap 1'!H97*$T97</f>
        <v>1.2874329806266458E-2</v>
      </c>
      <c r="V97" s="375">
        <f>'Berekening trap 1'!I97*$T97</f>
        <v>1.2702754428995934E-2</v>
      </c>
      <c r="Y97" s="43">
        <f t="shared" si="16"/>
        <v>21</v>
      </c>
      <c r="Z97" s="6">
        <f>IF(INVOER!A56=0,"x",INVOER!A56)</f>
        <v>5.2519999999999998</v>
      </c>
      <c r="AA97" s="6">
        <f>IF(INVOER!B$36&gt;INVOER!B$37,INVOER!B56,100-INVOER!B56)</f>
        <v>96.85</v>
      </c>
      <c r="AB97" s="6">
        <f t="shared" si="17"/>
        <v>21</v>
      </c>
      <c r="AC97" s="6">
        <f t="shared" si="13"/>
        <v>0.96849999999999992</v>
      </c>
      <c r="AD97" s="44">
        <f>IF(INVOER!A56=0,10000,INVOER!A56)</f>
        <v>5.2519999999999998</v>
      </c>
    </row>
    <row r="98" spans="1:30" x14ac:dyDescent="0.2">
      <c r="A98" s="43">
        <f>A97*'Berekening trap 1'!H$58</f>
        <v>1.0245804601957289</v>
      </c>
      <c r="B98" s="6">
        <f t="shared" ref="B98:B138" si="25">(A97+A98)/2</f>
        <v>1.0006655067654364</v>
      </c>
      <c r="C98" s="169">
        <f t="shared" si="18"/>
        <v>1.4405610884491828</v>
      </c>
      <c r="D98" s="202">
        <f t="shared" si="24"/>
        <v>0.56164919203423169</v>
      </c>
      <c r="E98" s="199">
        <f t="shared" ref="E98:E138" si="26">IF(C98-$K$36&gt;0,EXP(-(((C98-$K$36)/$K$38)^$K$40)),1)</f>
        <v>0.43697787657780179</v>
      </c>
      <c r="F98" s="43">
        <f t="shared" ref="F98:F138" si="27">D98^($B$54*$B$63)</f>
        <v>0.55373675640800246</v>
      </c>
      <c r="G98" s="156">
        <f t="shared" ref="G98:G138" si="28">E98^($B$54*$B$63)</f>
        <v>0.42817047899576699</v>
      </c>
      <c r="H98" s="171">
        <f t="shared" ref="H98:H138" si="29">IF(C98&lt;$K$41,D98,E98)</f>
        <v>0.56164919203423169</v>
      </c>
      <c r="I98" s="181">
        <f t="shared" ref="I98:I138" si="30">IF(C98&lt;$K$41,F98,G98)</f>
        <v>0.55373675640800246</v>
      </c>
      <c r="J98" s="395">
        <f>IF(INVOER!$S$36=1,100-H98*100,100-I98*100)</f>
        <v>44.626324359199756</v>
      </c>
      <c r="K98" s="43">
        <f t="shared" si="4"/>
        <v>5</v>
      </c>
      <c r="L98" s="6">
        <f t="shared" si="5"/>
        <v>0.94699999999999995</v>
      </c>
      <c r="M98" s="6">
        <f t="shared" si="6"/>
        <v>1.054</v>
      </c>
      <c r="N98" s="6">
        <f t="shared" si="7"/>
        <v>0.99900000000000011</v>
      </c>
      <c r="O98" s="6">
        <f t="shared" si="8"/>
        <v>0.99840000000000007</v>
      </c>
      <c r="P98" s="40">
        <f t="shared" ref="P98:P138" si="31">(LN(LN(N98)/LN(O98)))/LN(L98/M98)</f>
        <v>4.3933670953613806</v>
      </c>
      <c r="Q98" s="6">
        <f t="shared" ref="Q98:Q138" si="32">L98/((-LN(N98))^(1/P98))</f>
        <v>4.5619244847167115</v>
      </c>
      <c r="R98" s="123">
        <f t="shared" si="11"/>
        <v>0.99858698685372205</v>
      </c>
      <c r="S98" s="6">
        <f t="shared" si="12"/>
        <v>99.858698685372204</v>
      </c>
      <c r="T98" s="249">
        <f t="shared" si="15"/>
        <v>2.6753317682270961E-2</v>
      </c>
      <c r="U98" s="245">
        <f>'Berekening trap 1'!H98*$T98</f>
        <v>1.502597926048261E-2</v>
      </c>
      <c r="V98" s="375">
        <f>'Berekening trap 1'!I98*$T98</f>
        <v>1.481429535653358E-2</v>
      </c>
      <c r="Y98" s="43">
        <f t="shared" si="16"/>
        <v>22</v>
      </c>
      <c r="Z98" s="6">
        <f>IF(INVOER!A57=0,"x",INVOER!A57)</f>
        <v>5.8449999999999998</v>
      </c>
      <c r="AA98" s="6">
        <f>IF(INVOER!B$36&gt;INVOER!B$37,INVOER!B57,100-INVOER!B57)</f>
        <v>96.39</v>
      </c>
      <c r="AB98" s="6">
        <f t="shared" si="17"/>
        <v>22</v>
      </c>
      <c r="AC98" s="6">
        <f t="shared" si="13"/>
        <v>0.96389999999999998</v>
      </c>
      <c r="AD98" s="44">
        <f>IF(INVOER!A57=0,10000,INVOER!A57)</f>
        <v>5.8449999999999998</v>
      </c>
    </row>
    <row r="99" spans="1:30" x14ac:dyDescent="0.2">
      <c r="A99" s="43">
        <f>A98*'Berekening trap 1'!H$58</f>
        <v>1.0747525208257496</v>
      </c>
      <c r="B99" s="6">
        <f t="shared" si="25"/>
        <v>1.0496664905107393</v>
      </c>
      <c r="C99" s="169">
        <f t="shared" si="18"/>
        <v>1.5111030527738918</v>
      </c>
      <c r="D99" s="202">
        <f t="shared" si="24"/>
        <v>0.5438174910824074</v>
      </c>
      <c r="E99" s="199">
        <f t="shared" si="26"/>
        <v>0.4255293008226374</v>
      </c>
      <c r="F99" s="43">
        <f t="shared" si="27"/>
        <v>0.53573098856501367</v>
      </c>
      <c r="G99" s="156">
        <f t="shared" si="28"/>
        <v>0.41668049002147389</v>
      </c>
      <c r="H99" s="171">
        <f t="shared" si="29"/>
        <v>0.5438174910824074</v>
      </c>
      <c r="I99" s="181">
        <f t="shared" si="30"/>
        <v>0.53573098856501367</v>
      </c>
      <c r="J99" s="395">
        <f>IF(INVOER!$S$36=1,100-H99*100,100-I99*100)</f>
        <v>46.426901143498633</v>
      </c>
      <c r="K99" s="43">
        <f t="shared" si="4"/>
        <v>6</v>
      </c>
      <c r="L99" s="6">
        <f t="shared" si="5"/>
        <v>1.054</v>
      </c>
      <c r="M99" s="6">
        <f t="shared" si="6"/>
        <v>1.1779999999999999</v>
      </c>
      <c r="N99" s="6">
        <f t="shared" si="7"/>
        <v>0.99840000000000007</v>
      </c>
      <c r="O99" s="6">
        <f t="shared" si="8"/>
        <v>0.99769999999999992</v>
      </c>
      <c r="P99" s="40">
        <f t="shared" si="31"/>
        <v>3.2659383162002582</v>
      </c>
      <c r="Q99" s="6">
        <f t="shared" si="32"/>
        <v>7.5649605922282088</v>
      </c>
      <c r="R99" s="123">
        <f t="shared" si="11"/>
        <v>0.9982948890628569</v>
      </c>
      <c r="S99" s="6">
        <f t="shared" si="12"/>
        <v>99.82948890628569</v>
      </c>
      <c r="T99" s="249">
        <f t="shared" si="15"/>
        <v>2.9209779086514231E-2</v>
      </c>
      <c r="U99" s="245">
        <f>'Berekening trap 1'!H99*$T99</f>
        <v>1.5884788777899544E-2</v>
      </c>
      <c r="V99" s="375">
        <f>'Berekening trap 1'!I99*$T99</f>
        <v>1.5648583825783931E-2</v>
      </c>
      <c r="Y99" s="43">
        <f t="shared" si="16"/>
        <v>23</v>
      </c>
      <c r="Z99" s="6">
        <f>IF(INVOER!A58=0,"x",INVOER!A58)</f>
        <v>6.5049999999999999</v>
      </c>
      <c r="AA99" s="6">
        <f>IF(INVOER!B$36&gt;INVOER!B$37,INVOER!B58,100-INVOER!B58)</f>
        <v>95.89</v>
      </c>
      <c r="AB99" s="6">
        <f t="shared" si="17"/>
        <v>23</v>
      </c>
      <c r="AC99" s="6">
        <f t="shared" si="13"/>
        <v>0.95889999999999997</v>
      </c>
      <c r="AD99" s="44">
        <f>IF(INVOER!A58=0,10000,INVOER!A58)</f>
        <v>6.5049999999999999</v>
      </c>
    </row>
    <row r="100" spans="1:30" x14ac:dyDescent="0.2">
      <c r="A100" s="43">
        <f>A99*'Berekening trap 1'!H$58</f>
        <v>1.1273814267360145</v>
      </c>
      <c r="B100" s="6">
        <f t="shared" si="25"/>
        <v>1.101066973780882</v>
      </c>
      <c r="C100" s="169">
        <f t="shared" si="18"/>
        <v>1.5850993438680023</v>
      </c>
      <c r="D100" s="202">
        <f t="shared" si="24"/>
        <v>0.52605860631348145</v>
      </c>
      <c r="E100" s="199">
        <f t="shared" si="26"/>
        <v>0.41399184843168391</v>
      </c>
      <c r="F100" s="43">
        <f t="shared" si="27"/>
        <v>0.51781317575707697</v>
      </c>
      <c r="G100" s="156">
        <f t="shared" si="28"/>
        <v>0.40510899349313584</v>
      </c>
      <c r="H100" s="171">
        <f t="shared" si="29"/>
        <v>0.52605860631348145</v>
      </c>
      <c r="I100" s="181">
        <f t="shared" si="30"/>
        <v>0.51781317575707697</v>
      </c>
      <c r="J100" s="395">
        <f>IF(INVOER!$S$36=1,100-H100*100,100-I100*100)</f>
        <v>48.218682424292304</v>
      </c>
      <c r="K100" s="43">
        <f t="shared" si="4"/>
        <v>6</v>
      </c>
      <c r="L100" s="6">
        <f t="shared" si="5"/>
        <v>1.054</v>
      </c>
      <c r="M100" s="6">
        <f t="shared" si="6"/>
        <v>1.1779999999999999</v>
      </c>
      <c r="N100" s="6">
        <f t="shared" si="7"/>
        <v>0.99840000000000007</v>
      </c>
      <c r="O100" s="6">
        <f t="shared" si="8"/>
        <v>0.99769999999999992</v>
      </c>
      <c r="P100" s="40">
        <f t="shared" si="31"/>
        <v>3.2659383162002582</v>
      </c>
      <c r="Q100" s="6">
        <f t="shared" si="32"/>
        <v>7.5649605922282088</v>
      </c>
      <c r="R100" s="123">
        <f t="shared" si="11"/>
        <v>0.99800703915599831</v>
      </c>
      <c r="S100" s="6">
        <f t="shared" si="12"/>
        <v>99.800703915599826</v>
      </c>
      <c r="T100" s="249">
        <f t="shared" si="15"/>
        <v>2.8784990685859491E-2</v>
      </c>
      <c r="U100" s="245">
        <f>'Berekening trap 1'!H100*$T100</f>
        <v>1.5142592082949788E-2</v>
      </c>
      <c r="V100" s="375">
        <f>'Berekening trap 1'!I100*$T100</f>
        <v>1.4905247441182785E-2</v>
      </c>
      <c r="Y100" s="43">
        <f t="shared" si="16"/>
        <v>24</v>
      </c>
      <c r="Z100" s="6">
        <f>IF(INVOER!A59=0,"x",INVOER!A59)</f>
        <v>7.2409999999999997</v>
      </c>
      <c r="AA100" s="6">
        <f>IF(INVOER!B$36&gt;INVOER!B$37,INVOER!B59,100-INVOER!B59)</f>
        <v>95.33</v>
      </c>
      <c r="AB100" s="6">
        <f t="shared" si="17"/>
        <v>24</v>
      </c>
      <c r="AC100" s="6">
        <f t="shared" si="13"/>
        <v>0.95330000000000004</v>
      </c>
      <c r="AD100" s="44">
        <f>IF(INVOER!A59=0,10000,INVOER!A59)</f>
        <v>7.2409999999999997</v>
      </c>
    </row>
    <row r="101" spans="1:30" x14ac:dyDescent="0.2">
      <c r="A101" s="45">
        <f>A100*'Berekening trap 1'!H$58</f>
        <v>1.1825874856965308</v>
      </c>
      <c r="B101" s="46">
        <f t="shared" si="25"/>
        <v>1.1549844562162725</v>
      </c>
      <c r="C101" s="184">
        <f t="shared" si="18"/>
        <v>1.662719114569035</v>
      </c>
      <c r="D101" s="203">
        <f t="shared" si="24"/>
        <v>0.50838108076293531</v>
      </c>
      <c r="E101" s="168">
        <f t="shared" si="26"/>
        <v>0.40237638933850978</v>
      </c>
      <c r="F101" s="45">
        <f t="shared" si="27"/>
        <v>0.49999222072102534</v>
      </c>
      <c r="G101" s="185">
        <f t="shared" si="28"/>
        <v>0.39346727081137517</v>
      </c>
      <c r="H101" s="172">
        <f t="shared" si="29"/>
        <v>0.50838108076293531</v>
      </c>
      <c r="I101" s="243">
        <f t="shared" si="30"/>
        <v>0.49999222072102534</v>
      </c>
      <c r="J101" s="394">
        <f>IF(INVOER!$S$36=1,100-H101*100,100-I101*100)</f>
        <v>50.000777927897467</v>
      </c>
      <c r="K101" s="45">
        <f t="shared" si="4"/>
        <v>7</v>
      </c>
      <c r="L101" s="46">
        <f t="shared" si="5"/>
        <v>1.1779999999999999</v>
      </c>
      <c r="M101" s="46">
        <f t="shared" si="6"/>
        <v>1.3049999999999999</v>
      </c>
      <c r="N101" s="46">
        <f t="shared" si="7"/>
        <v>0.99769999999999992</v>
      </c>
      <c r="O101" s="46">
        <f t="shared" si="8"/>
        <v>0.997</v>
      </c>
      <c r="P101" s="51">
        <f t="shared" si="31"/>
        <v>2.5985647900269888</v>
      </c>
      <c r="Q101" s="46">
        <f t="shared" si="32"/>
        <v>12.196449163508632</v>
      </c>
      <c r="R101" s="175">
        <f t="shared" si="11"/>
        <v>0.99767667957908768</v>
      </c>
      <c r="S101" s="46">
        <f t="shared" si="12"/>
        <v>99.76766795790877</v>
      </c>
      <c r="T101" s="250">
        <f t="shared" si="15"/>
        <v>3.3035957691063267E-2</v>
      </c>
      <c r="U101" s="246">
        <f>'Berekening trap 1'!H101*$T101</f>
        <v>1.6794855875021348E-2</v>
      </c>
      <c r="V101" s="376">
        <f>'Berekening trap 1'!I101*$T101</f>
        <v>1.6517721849600559E-2</v>
      </c>
      <c r="Y101" s="43">
        <f t="shared" si="16"/>
        <v>25</v>
      </c>
      <c r="Z101" s="6">
        <f>IF(INVOER!A60=0,"x",INVOER!A60)</f>
        <v>8.0589999999999993</v>
      </c>
      <c r="AA101" s="6">
        <f>IF(INVOER!B$36&gt;INVOER!B$37,INVOER!B60,100-INVOER!B60)</f>
        <v>94.7</v>
      </c>
      <c r="AB101" s="6">
        <f t="shared" si="17"/>
        <v>25</v>
      </c>
      <c r="AC101" s="6">
        <f t="shared" si="13"/>
        <v>0.94700000000000006</v>
      </c>
      <c r="AD101" s="44">
        <f>IF(INVOER!A60=0,10000,INVOER!A60)</f>
        <v>8.0589999999999993</v>
      </c>
    </row>
    <row r="102" spans="1:30" x14ac:dyDescent="0.2">
      <c r="A102" s="43">
        <f>A101*'Berekening trap 1'!H$58</f>
        <v>1.2404968967557026</v>
      </c>
      <c r="B102" s="6">
        <f t="shared" si="25"/>
        <v>1.2115421912261168</v>
      </c>
      <c r="C102" s="169">
        <f t="shared" si="18"/>
        <v>1.7441398008574653</v>
      </c>
      <c r="D102" s="202">
        <f t="shared" si="24"/>
        <v>0.49079482601467761</v>
      </c>
      <c r="E102" s="199">
        <f t="shared" si="26"/>
        <v>0.39069438420549835</v>
      </c>
      <c r="F102" s="43">
        <f t="shared" si="27"/>
        <v>0.48227839542483275</v>
      </c>
      <c r="G102" s="156">
        <f t="shared" si="28"/>
        <v>0.38176718674569321</v>
      </c>
      <c r="H102" s="171">
        <f t="shared" si="29"/>
        <v>0.49079482601467761</v>
      </c>
      <c r="I102" s="181">
        <f t="shared" si="30"/>
        <v>0.48227839542483275</v>
      </c>
      <c r="J102" s="395">
        <f>IF(INVOER!$S$36=1,100-H102*100,100-I102*100)</f>
        <v>51.772160457516726</v>
      </c>
      <c r="K102" s="41">
        <f t="shared" si="4"/>
        <v>7</v>
      </c>
      <c r="L102" s="5">
        <f t="shared" si="5"/>
        <v>1.1779999999999999</v>
      </c>
      <c r="M102" s="5">
        <f t="shared" si="6"/>
        <v>1.3049999999999999</v>
      </c>
      <c r="N102" s="5">
        <f t="shared" si="7"/>
        <v>0.99769999999999992</v>
      </c>
      <c r="O102" s="5">
        <f t="shared" si="8"/>
        <v>0.997</v>
      </c>
      <c r="P102" s="39">
        <f t="shared" si="31"/>
        <v>2.5985647900269888</v>
      </c>
      <c r="Q102" s="5">
        <f t="shared" si="32"/>
        <v>12.196449163508632</v>
      </c>
      <c r="R102" s="247">
        <f t="shared" si="11"/>
        <v>0.99736976364714569</v>
      </c>
      <c r="S102" s="5">
        <f t="shared" si="12"/>
        <v>99.736976364714565</v>
      </c>
      <c r="T102" s="251">
        <f t="shared" si="15"/>
        <v>3.0691593194198674E-2</v>
      </c>
      <c r="U102" s="245">
        <f>'Berekening trap 1'!H102*$T102</f>
        <v>1.5063275141860002E-2</v>
      </c>
      <c r="V102" s="375">
        <f>'Berekening trap 1'!I102*$T102</f>
        <v>1.4801892318729854E-2</v>
      </c>
      <c r="Y102" s="43">
        <f t="shared" si="16"/>
        <v>26</v>
      </c>
      <c r="Z102" s="6">
        <f>IF(INVOER!A61=0,"x",INVOER!A61)</f>
        <v>8.9700000000000006</v>
      </c>
      <c r="AA102" s="6">
        <f>IF(INVOER!B$36&gt;INVOER!B$37,INVOER!B61,100-INVOER!B61)</f>
        <v>94</v>
      </c>
      <c r="AB102" s="6">
        <f t="shared" si="17"/>
        <v>26</v>
      </c>
      <c r="AC102" s="6">
        <f t="shared" si="13"/>
        <v>0.94</v>
      </c>
      <c r="AD102" s="44">
        <f>IF(INVOER!A61=0,10000,INVOER!A61)</f>
        <v>8.9700000000000006</v>
      </c>
    </row>
    <row r="103" spans="1:30" x14ac:dyDescent="0.2">
      <c r="A103" s="43">
        <f>A102*'Berekening trap 1'!H$58</f>
        <v>1.3012420387267782</v>
      </c>
      <c r="B103" s="6">
        <f t="shared" si="25"/>
        <v>1.2708694677412404</v>
      </c>
      <c r="C103" s="169">
        <f t="shared" si="18"/>
        <v>1.8295475274689368</v>
      </c>
      <c r="D103" s="202">
        <f t="shared" si="24"/>
        <v>0.47331100342440502</v>
      </c>
      <c r="E103" s="199">
        <f t="shared" si="26"/>
        <v>0.37895787328526642</v>
      </c>
      <c r="F103" s="43">
        <f t="shared" si="27"/>
        <v>0.46468321535373153</v>
      </c>
      <c r="G103" s="156">
        <f t="shared" si="28"/>
        <v>0.37002117548381519</v>
      </c>
      <c r="H103" s="171">
        <f t="shared" si="29"/>
        <v>0.47331100342440502</v>
      </c>
      <c r="I103" s="181">
        <f t="shared" si="30"/>
        <v>0.46468321535373153</v>
      </c>
      <c r="J103" s="395">
        <f>IF(INVOER!$S$36=1,100-H103*100,100-I103*100)</f>
        <v>53.53167846462685</v>
      </c>
      <c r="K103" s="43">
        <f t="shared" si="4"/>
        <v>7</v>
      </c>
      <c r="L103" s="6">
        <f t="shared" si="5"/>
        <v>1.1779999999999999</v>
      </c>
      <c r="M103" s="6">
        <f t="shared" si="6"/>
        <v>1.3049999999999999</v>
      </c>
      <c r="N103" s="6">
        <f t="shared" si="7"/>
        <v>0.99769999999999992</v>
      </c>
      <c r="O103" s="6">
        <f t="shared" si="8"/>
        <v>0.997</v>
      </c>
      <c r="P103" s="40">
        <f t="shared" si="31"/>
        <v>2.5985647900269888</v>
      </c>
      <c r="Q103" s="6">
        <f t="shared" si="32"/>
        <v>12.196449163508632</v>
      </c>
      <c r="R103" s="123">
        <f t="shared" si="11"/>
        <v>0.99702236395980193</v>
      </c>
      <c r="S103" s="6">
        <f t="shared" si="12"/>
        <v>99.702236395980194</v>
      </c>
      <c r="T103" s="249">
        <f t="shared" si="15"/>
        <v>3.4739968734376347E-2</v>
      </c>
      <c r="U103" s="245">
        <f>'Berekening trap 1'!H103*$T103</f>
        <v>1.6442809460600127E-2</v>
      </c>
      <c r="V103" s="375">
        <f>'Berekening trap 1'!I103*$T103</f>
        <v>1.6143080372778104E-2</v>
      </c>
      <c r="Y103" s="43">
        <f t="shared" si="16"/>
        <v>27</v>
      </c>
      <c r="Z103" s="6">
        <f>IF(INVOER!A62=0,"x",INVOER!A62)</f>
        <v>9.9</v>
      </c>
      <c r="AA103" s="6">
        <f>IF(INVOER!B$36&gt;INVOER!B$37,INVOER!B62,100-INVOER!B62)</f>
        <v>93.2</v>
      </c>
      <c r="AB103" s="6">
        <f t="shared" si="17"/>
        <v>27</v>
      </c>
      <c r="AC103" s="6">
        <f t="shared" si="13"/>
        <v>0.93200000000000005</v>
      </c>
      <c r="AD103" s="44">
        <f>IF(INVOER!A62=0,10000,INVOER!A62)</f>
        <v>9.9</v>
      </c>
    </row>
    <row r="104" spans="1:30" x14ac:dyDescent="0.2">
      <c r="A104" s="43">
        <f>A103*'Berekening trap 1'!H$58</f>
        <v>1.3649617728010155</v>
      </c>
      <c r="B104" s="6">
        <f t="shared" si="25"/>
        <v>1.3331019057638969</v>
      </c>
      <c r="C104" s="169">
        <f t="shared" si="18"/>
        <v>1.9191375333686593</v>
      </c>
      <c r="D104" s="202">
        <f t="shared" si="24"/>
        <v>0.45594191453965283</v>
      </c>
      <c r="E104" s="199">
        <f t="shared" si="26"/>
        <v>0.36717946128386086</v>
      </c>
      <c r="F104" s="43">
        <f t="shared" si="27"/>
        <v>0.44721932317910029</v>
      </c>
      <c r="G104" s="156">
        <f t="shared" si="28"/>
        <v>0.3582422225061167</v>
      </c>
      <c r="H104" s="171">
        <f t="shared" si="29"/>
        <v>0.45594191453965283</v>
      </c>
      <c r="I104" s="181">
        <f t="shared" si="30"/>
        <v>0.44721932317910029</v>
      </c>
      <c r="J104" s="395">
        <f>IF(INVOER!$S$36=1,100-H104*100,100-I104*100)</f>
        <v>55.278067682089969</v>
      </c>
      <c r="K104" s="43">
        <f t="shared" si="4"/>
        <v>8</v>
      </c>
      <c r="L104" s="6">
        <f t="shared" si="5"/>
        <v>1.3049999999999999</v>
      </c>
      <c r="M104" s="6">
        <f t="shared" si="6"/>
        <v>1.4530000000000001</v>
      </c>
      <c r="N104" s="6">
        <f t="shared" si="7"/>
        <v>0.997</v>
      </c>
      <c r="O104" s="6">
        <f t="shared" si="8"/>
        <v>0.99609999999999999</v>
      </c>
      <c r="P104" s="40">
        <f t="shared" si="31"/>
        <v>2.4464494135385557</v>
      </c>
      <c r="Q104" s="6">
        <f t="shared" si="32"/>
        <v>14.01473267798267</v>
      </c>
      <c r="R104" s="123">
        <f t="shared" si="11"/>
        <v>0.99665207534824107</v>
      </c>
      <c r="S104" s="6">
        <f t="shared" si="12"/>
        <v>99.665207534824106</v>
      </c>
      <c r="T104" s="249">
        <f t="shared" si="15"/>
        <v>3.7028861156085391E-2</v>
      </c>
      <c r="U104" s="245">
        <f>'Berekening trap 1'!H104*$T104</f>
        <v>1.6883009848728557E-2</v>
      </c>
      <c r="V104" s="375">
        <f>'Berekening trap 1'!I104*$T104</f>
        <v>1.6560022224317385E-2</v>
      </c>
      <c r="Y104" s="43">
        <f t="shared" si="16"/>
        <v>28</v>
      </c>
      <c r="Z104" s="6">
        <f>IF(INVOER!A63=0,"x",INVOER!A63)</f>
        <v>11.11</v>
      </c>
      <c r="AA104" s="6">
        <f>IF(INVOER!B$36&gt;INVOER!B$37,INVOER!B63,100-INVOER!B63)</f>
        <v>92.3</v>
      </c>
      <c r="AB104" s="6">
        <f t="shared" si="17"/>
        <v>28</v>
      </c>
      <c r="AC104" s="6">
        <f>AA104/100</f>
        <v>0.92299999999999993</v>
      </c>
      <c r="AD104" s="44">
        <f>IF(INVOER!A63=0,10000,INVOER!A63)</f>
        <v>11.11</v>
      </c>
    </row>
    <row r="105" spans="1:30" x14ac:dyDescent="0.2">
      <c r="A105" s="43">
        <f>A104*'Berekening trap 1'!H$58</f>
        <v>1.4318017599793289</v>
      </c>
      <c r="B105" s="6">
        <f t="shared" si="25"/>
        <v>1.3983817663901723</v>
      </c>
      <c r="C105" s="169">
        <f t="shared" si="18"/>
        <v>2.013114618060599</v>
      </c>
      <c r="D105" s="202">
        <f t="shared" si="24"/>
        <v>0.438700897461275</v>
      </c>
      <c r="E105" s="199">
        <f t="shared" si="26"/>
        <v>0.35537229797777953</v>
      </c>
      <c r="F105" s="43">
        <f t="shared" si="27"/>
        <v>0.42990037849899226</v>
      </c>
      <c r="G105" s="156">
        <f t="shared" si="28"/>
        <v>0.34644384204735135</v>
      </c>
      <c r="H105" s="171">
        <f t="shared" si="29"/>
        <v>0.438700897461275</v>
      </c>
      <c r="I105" s="181">
        <f t="shared" si="30"/>
        <v>0.42990037849899226</v>
      </c>
      <c r="J105" s="395">
        <f>IF(INVOER!$S$36=1,100-H105*100,100-I105*100)</f>
        <v>57.009962150100776</v>
      </c>
      <c r="K105" s="43">
        <f t="shared" si="4"/>
        <v>8</v>
      </c>
      <c r="L105" s="6">
        <f t="shared" si="5"/>
        <v>1.3049999999999999</v>
      </c>
      <c r="M105" s="6">
        <f t="shared" si="6"/>
        <v>1.4530000000000001</v>
      </c>
      <c r="N105" s="6">
        <f t="shared" si="7"/>
        <v>0.997</v>
      </c>
      <c r="O105" s="6">
        <f t="shared" si="8"/>
        <v>0.99609999999999999</v>
      </c>
      <c r="P105" s="40">
        <f t="shared" si="31"/>
        <v>2.4464494135385557</v>
      </c>
      <c r="Q105" s="6">
        <f t="shared" si="32"/>
        <v>14.01473267798267</v>
      </c>
      <c r="R105" s="123">
        <f t="shared" si="11"/>
        <v>0.99623747367443549</v>
      </c>
      <c r="S105" s="6">
        <f t="shared" si="12"/>
        <v>99.623747367443542</v>
      </c>
      <c r="T105" s="249">
        <f t="shared" si="15"/>
        <v>4.1460167380558133E-2</v>
      </c>
      <c r="U105" s="245">
        <f>'Berekening trap 1'!H105*$T105</f>
        <v>1.8188612638745532E-2</v>
      </c>
      <c r="V105" s="375">
        <f>'Berekening trap 1'!I105*$T105</f>
        <v>1.7823741649533514E-2</v>
      </c>
      <c r="Y105" s="43">
        <f t="shared" si="16"/>
        <v>29</v>
      </c>
      <c r="Z105" s="6">
        <f>IF(INVOER!A64=0,"x",INVOER!A64)</f>
        <v>12.38</v>
      </c>
      <c r="AA105" s="6">
        <f>IF(INVOER!B$36&gt;INVOER!B$37,INVOER!B64,100-INVOER!B64)</f>
        <v>91.289999999999992</v>
      </c>
      <c r="AB105" s="6">
        <f t="shared" si="17"/>
        <v>29</v>
      </c>
      <c r="AC105" s="6">
        <f t="shared" si="13"/>
        <v>0.91289999999999993</v>
      </c>
      <c r="AD105" s="44">
        <f>IF(INVOER!A64=0,10000,INVOER!A64)</f>
        <v>12.38</v>
      </c>
    </row>
    <row r="106" spans="1:30" x14ac:dyDescent="0.2">
      <c r="A106" s="45">
        <f>A105*'Berekening trap 1'!H$58</f>
        <v>1.5019147940480539</v>
      </c>
      <c r="B106" s="46">
        <f t="shared" si="25"/>
        <v>1.4668582770136913</v>
      </c>
      <c r="C106" s="184">
        <f t="shared" si="18"/>
        <v>2.1116936097517174</v>
      </c>
      <c r="D106" s="203">
        <f t="shared" si="24"/>
        <v>0.42160222658453206</v>
      </c>
      <c r="E106" s="168">
        <f t="shared" si="26"/>
        <v>0.34355005435177727</v>
      </c>
      <c r="F106" s="45">
        <f t="shared" si="27"/>
        <v>0.41274095105591224</v>
      </c>
      <c r="G106" s="185">
        <f t="shared" si="28"/>
        <v>0.33464004992613239</v>
      </c>
      <c r="H106" s="172">
        <f t="shared" si="29"/>
        <v>0.42160222658453206</v>
      </c>
      <c r="I106" s="243">
        <f t="shared" si="30"/>
        <v>0.41274095105591224</v>
      </c>
      <c r="J106" s="395">
        <f>IF(INVOER!$S$36=1,100-H106*100,100-I106*100)</f>
        <v>58.725904894408778</v>
      </c>
      <c r="K106" s="45">
        <f t="shared" si="4"/>
        <v>9</v>
      </c>
      <c r="L106" s="46">
        <f t="shared" si="5"/>
        <v>1.4530000000000001</v>
      </c>
      <c r="M106" s="46">
        <f t="shared" si="6"/>
        <v>1.617</v>
      </c>
      <c r="N106" s="46">
        <f t="shared" si="7"/>
        <v>0.99609999999999999</v>
      </c>
      <c r="O106" s="46">
        <f t="shared" si="8"/>
        <v>0.9951000000000001</v>
      </c>
      <c r="P106" s="51">
        <f t="shared" si="31"/>
        <v>2.139104125196289</v>
      </c>
      <c r="Q106" s="46">
        <f t="shared" si="32"/>
        <v>19.409361678190653</v>
      </c>
      <c r="R106" s="175">
        <f t="shared" si="11"/>
        <v>0.99581435871728463</v>
      </c>
      <c r="S106" s="46">
        <f t="shared" si="12"/>
        <v>99.581435871728459</v>
      </c>
      <c r="T106" s="250">
        <f t="shared" si="15"/>
        <v>4.2311495715086078E-2</v>
      </c>
      <c r="U106" s="246">
        <f>'Berekening trap 1'!H106*$T106</f>
        <v>1.7838620803602177E-2</v>
      </c>
      <c r="V106" s="376">
        <f>'Berekening trap 1'!I106*$T106</f>
        <v>1.7463686982042783E-2</v>
      </c>
      <c r="Y106" s="43">
        <f t="shared" si="16"/>
        <v>30</v>
      </c>
      <c r="Z106" s="6">
        <f>IF(INVOER!A65=0,"x",INVOER!A65)</f>
        <v>13.76</v>
      </c>
      <c r="AA106" s="6">
        <f>IF(INVOER!B$36&gt;INVOER!B$37,INVOER!B65,100-INVOER!B65)</f>
        <v>90.16</v>
      </c>
      <c r="AB106" s="6">
        <f t="shared" si="17"/>
        <v>30</v>
      </c>
      <c r="AC106" s="6">
        <f t="shared" si="13"/>
        <v>0.90159999999999996</v>
      </c>
      <c r="AD106" s="44">
        <f>IF(INVOER!A65=0,10000,INVOER!A65)</f>
        <v>13.76</v>
      </c>
    </row>
    <row r="107" spans="1:30" x14ac:dyDescent="0.2">
      <c r="A107" s="43">
        <f>A106*'Berekening trap 1'!H$58</f>
        <v>1.5754611508600009</v>
      </c>
      <c r="B107" s="6">
        <f t="shared" si="25"/>
        <v>1.5386879724540274</v>
      </c>
      <c r="C107" s="169">
        <f t="shared" si="18"/>
        <v>2.2150998564414608</v>
      </c>
      <c r="D107" s="202">
        <f t="shared" si="24"/>
        <v>0.40466101369535845</v>
      </c>
      <c r="E107" s="199">
        <f t="shared" si="26"/>
        <v>0.33172689404405842</v>
      </c>
      <c r="F107" s="43">
        <f t="shared" si="27"/>
        <v>0.39575641539415463</v>
      </c>
      <c r="G107" s="156">
        <f t="shared" si="28"/>
        <v>0.32284533154585787</v>
      </c>
      <c r="H107" s="171">
        <f t="shared" si="29"/>
        <v>0.40466101369535845</v>
      </c>
      <c r="I107" s="181">
        <f t="shared" si="30"/>
        <v>0.39575641539415463</v>
      </c>
      <c r="J107" s="393">
        <f>IF(INVOER!$S$36=1,100-H107*100,100-I107*100)</f>
        <v>60.424358460584536</v>
      </c>
      <c r="K107" s="41">
        <f t="shared" si="4"/>
        <v>9</v>
      </c>
      <c r="L107" s="5">
        <f t="shared" si="5"/>
        <v>1.4530000000000001</v>
      </c>
      <c r="M107" s="5">
        <f t="shared" si="6"/>
        <v>1.617</v>
      </c>
      <c r="N107" s="5">
        <f t="shared" si="7"/>
        <v>0.99609999999999999</v>
      </c>
      <c r="O107" s="5">
        <f t="shared" si="8"/>
        <v>0.9951000000000001</v>
      </c>
      <c r="P107" s="39">
        <f t="shared" si="31"/>
        <v>2.139104125196289</v>
      </c>
      <c r="Q107" s="5">
        <f t="shared" si="32"/>
        <v>19.409361678190653</v>
      </c>
      <c r="R107" s="247">
        <f t="shared" si="11"/>
        <v>0.99536470959966383</v>
      </c>
      <c r="S107" s="5">
        <f t="shared" si="12"/>
        <v>99.53647095996638</v>
      </c>
      <c r="T107" s="251">
        <f t="shared" si="15"/>
        <v>4.496491176207984E-2</v>
      </c>
      <c r="U107" s="245">
        <f>'Berekening trap 1'!H107*$T107</f>
        <v>1.8195546774365575E-2</v>
      </c>
      <c r="V107" s="375">
        <f>'Berekening trap 1'!I107*$T107</f>
        <v>1.7795152297475178E-2</v>
      </c>
      <c r="Y107" s="43">
        <f t="shared" si="16"/>
        <v>31</v>
      </c>
      <c r="Z107" s="6">
        <f>IF(INVOER!A66=0,"x",INVOER!A66)</f>
        <v>15.32</v>
      </c>
      <c r="AA107" s="6">
        <f>IF(INVOER!B$36&gt;INVOER!B$37,INVOER!B66,100-INVOER!B66)</f>
        <v>88.92</v>
      </c>
      <c r="AB107" s="6">
        <f t="shared" si="17"/>
        <v>31</v>
      </c>
      <c r="AC107" s="6">
        <f t="shared" si="13"/>
        <v>0.88919999999999999</v>
      </c>
      <c r="AD107" s="44">
        <f>IF(INVOER!A66=0,10000,INVOER!A66)</f>
        <v>15.32</v>
      </c>
    </row>
    <row r="108" spans="1:30" x14ac:dyDescent="0.2">
      <c r="A108" s="43">
        <f>A107*'Berekening trap 1'!H$58</f>
        <v>1.6526089547192409</v>
      </c>
      <c r="B108" s="6">
        <f t="shared" si="25"/>
        <v>1.614035052789621</v>
      </c>
      <c r="C108" s="169">
        <f t="shared" si="18"/>
        <v>2.3235697410591123</v>
      </c>
      <c r="D108" s="202">
        <f t="shared" si="24"/>
        <v>0.38789310882402556</v>
      </c>
      <c r="E108" s="199">
        <f t="shared" si="26"/>
        <v>0.31991743991021099</v>
      </c>
      <c r="F108" s="43">
        <f t="shared" si="27"/>
        <v>0.37896284536210778</v>
      </c>
      <c r="G108" s="156">
        <f t="shared" si="28"/>
        <v>0.31107460489936484</v>
      </c>
      <c r="H108" s="171">
        <f t="shared" si="29"/>
        <v>0.38789310882402556</v>
      </c>
      <c r="I108" s="181">
        <f t="shared" si="30"/>
        <v>0.37896284536210778</v>
      </c>
      <c r="J108" s="395">
        <f>IF(INVOER!$S$36=1,100-H108*100,100-I108*100)</f>
        <v>62.103715463789221</v>
      </c>
      <c r="K108" s="43">
        <f t="shared" ref="K108:K139" si="33">VLOOKUP(A108,Z$76:AB$146,3)</f>
        <v>10</v>
      </c>
      <c r="L108" s="6">
        <f t="shared" ref="L108:L139" si="34">IF(K108=0,VLOOKUP(1,Y$77:AA$146,2),VLOOKUP(K108,Y$76:Z$145,2))</f>
        <v>1.617</v>
      </c>
      <c r="M108" s="6">
        <f t="shared" ref="M108:M139" si="35">IF(K108=0,VLOOKUP(2,Y$77:AA$145,2),VLOOKUP(K108+1,Y$77:Z$145,2))</f>
        <v>1.8</v>
      </c>
      <c r="N108" s="6">
        <f t="shared" ref="N108:N139" si="36">(VLOOKUP(L108,Z$76:AA$146,2))/100</f>
        <v>0.9951000000000001</v>
      </c>
      <c r="O108" s="6">
        <f t="shared" ref="O108:O139" si="37">(VLOOKUP(M108,Z$76:AA$145,2))/100</f>
        <v>0.99400000000000011</v>
      </c>
      <c r="P108" s="40">
        <f t="shared" si="31"/>
        <v>1.8941240388088889</v>
      </c>
      <c r="Q108" s="6">
        <f t="shared" si="32"/>
        <v>26.767308409037224</v>
      </c>
      <c r="R108" s="123">
        <f t="shared" ref="R108:R139" si="38">EXP(-((A108/Q108)^P108))</f>
        <v>0.99489412995434889</v>
      </c>
      <c r="S108" s="6">
        <f t="shared" si="12"/>
        <v>99.48941299543489</v>
      </c>
      <c r="T108" s="249">
        <f t="shared" si="15"/>
        <v>4.7057964531493912E-2</v>
      </c>
      <c r="U108" s="245">
        <f>'Berekening trap 1'!H108*$T108</f>
        <v>1.8253460157051902E-2</v>
      </c>
      <c r="V108" s="375">
        <f>'Berekening trap 1'!I108*$T108</f>
        <v>1.783322013580408E-2</v>
      </c>
      <c r="Y108" s="43">
        <f t="shared" si="16"/>
        <v>32</v>
      </c>
      <c r="Z108" s="6">
        <f>IF(INVOER!A67=0,"x",INVOER!A67)</f>
        <v>17.5</v>
      </c>
      <c r="AA108" s="6">
        <f>IF(INVOER!B$36&gt;INVOER!B$37,INVOER!B67,100-INVOER!B67)</f>
        <v>87.59</v>
      </c>
      <c r="AB108" s="6">
        <f t="shared" si="17"/>
        <v>32</v>
      </c>
      <c r="AC108" s="6">
        <f t="shared" si="13"/>
        <v>0.87590000000000001</v>
      </c>
      <c r="AD108" s="44">
        <f>IF(INVOER!A67=0,10000,INVOER!A67)</f>
        <v>17.5</v>
      </c>
    </row>
    <row r="109" spans="1:30" x14ac:dyDescent="0.2">
      <c r="A109" s="43">
        <f>A108*'Berekening trap 1'!H$58</f>
        <v>1.7335345627071672</v>
      </c>
      <c r="B109" s="6">
        <f t="shared" si="25"/>
        <v>1.693071758713204</v>
      </c>
      <c r="C109" s="169">
        <f t="shared" si="18"/>
        <v>2.4373512218265949</v>
      </c>
      <c r="D109" s="202">
        <f t="shared" si="24"/>
        <v>0.37131499960625403</v>
      </c>
      <c r="E109" s="199">
        <f t="shared" si="26"/>
        <v>0.30813673554743681</v>
      </c>
      <c r="F109" s="43">
        <f t="shared" si="27"/>
        <v>0.36237690722711147</v>
      </c>
      <c r="G109" s="156">
        <f t="shared" si="28"/>
        <v>0.29934317844386177</v>
      </c>
      <c r="H109" s="171">
        <f t="shared" si="29"/>
        <v>0.37131499960625403</v>
      </c>
      <c r="I109" s="181">
        <f t="shared" si="30"/>
        <v>0.36237690722711147</v>
      </c>
      <c r="J109" s="395">
        <f>IF(INVOER!$S$36=1,100-H109*100,100-I109*100)</f>
        <v>63.76230927728885</v>
      </c>
      <c r="K109" s="43">
        <f t="shared" si="33"/>
        <v>10</v>
      </c>
      <c r="L109" s="6">
        <f t="shared" si="34"/>
        <v>1.617</v>
      </c>
      <c r="M109" s="6">
        <f t="shared" si="35"/>
        <v>1.8</v>
      </c>
      <c r="N109" s="6">
        <f t="shared" si="36"/>
        <v>0.9951000000000001</v>
      </c>
      <c r="O109" s="6">
        <f t="shared" si="37"/>
        <v>0.99400000000000011</v>
      </c>
      <c r="P109" s="40">
        <f t="shared" si="31"/>
        <v>1.8941240388088889</v>
      </c>
      <c r="Q109" s="6">
        <f t="shared" si="32"/>
        <v>26.767308409037224</v>
      </c>
      <c r="R109" s="123">
        <f t="shared" si="38"/>
        <v>0.99441155392252623</v>
      </c>
      <c r="S109" s="6">
        <f t="shared" si="12"/>
        <v>99.441155392252625</v>
      </c>
      <c r="T109" s="249">
        <f t="shared" si="15"/>
        <v>4.8257603182266795E-2</v>
      </c>
      <c r="U109" s="245">
        <f>'Berekening trap 1'!H109*$T109</f>
        <v>1.7918771906622159E-2</v>
      </c>
      <c r="V109" s="375">
        <f>'Berekening trap 1'!I109*$T109</f>
        <v>1.7487440991383052E-2</v>
      </c>
      <c r="Y109" s="43">
        <f t="shared" si="16"/>
        <v>33</v>
      </c>
      <c r="Z109" s="6">
        <f>IF(INVOER!A68=0,"x",INVOER!A68)</f>
        <v>18.97</v>
      </c>
      <c r="AA109" s="6">
        <f>IF(INVOER!B$36&gt;INVOER!B$37,INVOER!B68,100-INVOER!B68)</f>
        <v>86.18</v>
      </c>
      <c r="AB109" s="6">
        <f t="shared" si="17"/>
        <v>33</v>
      </c>
      <c r="AC109" s="6">
        <f t="shared" si="13"/>
        <v>0.86180000000000012</v>
      </c>
      <c r="AD109" s="44">
        <f>IF(INVOER!A68=0,10000,INVOER!A68)</f>
        <v>18.97</v>
      </c>
    </row>
    <row r="110" spans="1:30" x14ac:dyDescent="0.2">
      <c r="A110" s="43">
        <f>A109*'Berekening trap 1'!H$58</f>
        <v>1.8184229678283863</v>
      </c>
      <c r="B110" s="6">
        <f t="shared" si="25"/>
        <v>1.7759787652677768</v>
      </c>
      <c r="C110" s="169">
        <f t="shared" si="18"/>
        <v>2.556704399081974</v>
      </c>
      <c r="D110" s="202">
        <f t="shared" si="24"/>
        <v>0.3549437081936353</v>
      </c>
      <c r="E110" s="199">
        <f t="shared" si="26"/>
        <v>0.29640020165659453</v>
      </c>
      <c r="F110" s="43">
        <f t="shared" si="27"/>
        <v>0.34601575047500654</v>
      </c>
      <c r="G110" s="156">
        <f t="shared" si="28"/>
        <v>0.28766670375290326</v>
      </c>
      <c r="H110" s="171">
        <f t="shared" si="29"/>
        <v>0.3549437081936353</v>
      </c>
      <c r="I110" s="181">
        <f t="shared" si="30"/>
        <v>0.34601575047500654</v>
      </c>
      <c r="J110" s="395">
        <f>IF(INVOER!$S$36=1,100-H110*100,100-I110*100)</f>
        <v>65.39842495249934</v>
      </c>
      <c r="K110" s="43">
        <f t="shared" si="33"/>
        <v>11</v>
      </c>
      <c r="L110" s="6">
        <f t="shared" si="34"/>
        <v>1.8</v>
      </c>
      <c r="M110" s="6">
        <f t="shared" si="35"/>
        <v>2.0030000000000001</v>
      </c>
      <c r="N110" s="6">
        <f t="shared" si="36"/>
        <v>0.99400000000000011</v>
      </c>
      <c r="O110" s="6">
        <f t="shared" si="37"/>
        <v>0.99269999999999992</v>
      </c>
      <c r="P110" s="40">
        <f t="shared" si="31"/>
        <v>1.8413777160028491</v>
      </c>
      <c r="Q110" s="6">
        <f t="shared" si="32"/>
        <v>28.919194730659754</v>
      </c>
      <c r="R110" s="123">
        <f t="shared" si="38"/>
        <v>0.99388678239439154</v>
      </c>
      <c r="S110" s="6">
        <f t="shared" si="12"/>
        <v>99.388678239439159</v>
      </c>
      <c r="T110" s="249">
        <f t="shared" si="15"/>
        <v>5.2477152813468209E-2</v>
      </c>
      <c r="U110" s="245">
        <f>'Berekening trap 1'!H110*$T110</f>
        <v>1.8626435215056466E-2</v>
      </c>
      <c r="V110" s="375">
        <f>'Berekening trap 1'!I110*$T110</f>
        <v>1.8157921413543804E-2</v>
      </c>
      <c r="Y110" s="43">
        <f t="shared" si="16"/>
        <v>34</v>
      </c>
      <c r="Z110" s="6">
        <f>IF(INVOER!A69=0,"x",INVOER!A69)</f>
        <v>21.21</v>
      </c>
      <c r="AA110" s="6">
        <f>IF(INVOER!B$36&gt;INVOER!B$37,INVOER!B69,100-INVOER!B69)</f>
        <v>84.68</v>
      </c>
      <c r="AB110" s="6">
        <f t="shared" si="17"/>
        <v>34</v>
      </c>
      <c r="AC110" s="6">
        <f t="shared" si="13"/>
        <v>0.84680000000000011</v>
      </c>
      <c r="AD110" s="44">
        <f>IF(INVOER!A69=0,10000,INVOER!A69)</f>
        <v>21.21</v>
      </c>
    </row>
    <row r="111" spans="1:30" x14ac:dyDescent="0.2">
      <c r="A111" s="45">
        <f>A110*'Berekening trap 1'!H$58</f>
        <v>1.907468221898017</v>
      </c>
      <c r="B111" s="46">
        <f t="shared" si="25"/>
        <v>1.8629455948632017</v>
      </c>
      <c r="C111" s="184">
        <f t="shared" si="18"/>
        <v>2.6819021098593945</v>
      </c>
      <c r="D111" s="203">
        <f t="shared" si="24"/>
        <v>0.33879668500737659</v>
      </c>
      <c r="E111" s="168">
        <f t="shared" si="26"/>
        <v>0.28472358716153584</v>
      </c>
      <c r="F111" s="45">
        <f t="shared" si="27"/>
        <v>0.32989689563012664</v>
      </c>
      <c r="G111" s="185">
        <f t="shared" si="28"/>
        <v>0.27606112289850399</v>
      </c>
      <c r="H111" s="172">
        <f t="shared" si="29"/>
        <v>0.33879668500737659</v>
      </c>
      <c r="I111" s="243">
        <f t="shared" si="30"/>
        <v>0.32989689563012664</v>
      </c>
      <c r="J111" s="394">
        <f>IF(INVOER!$S$36=1,100-H111*100,100-I111*100)</f>
        <v>67.010310436987339</v>
      </c>
      <c r="K111" s="45">
        <f t="shared" si="33"/>
        <v>11</v>
      </c>
      <c r="L111" s="46">
        <f t="shared" si="34"/>
        <v>1.8</v>
      </c>
      <c r="M111" s="46">
        <f t="shared" si="35"/>
        <v>2.0030000000000001</v>
      </c>
      <c r="N111" s="46">
        <f t="shared" si="36"/>
        <v>0.99400000000000011</v>
      </c>
      <c r="O111" s="46">
        <f t="shared" si="37"/>
        <v>0.99269999999999992</v>
      </c>
      <c r="P111" s="51">
        <f t="shared" si="31"/>
        <v>1.8413777160028491</v>
      </c>
      <c r="Q111" s="46">
        <f t="shared" si="32"/>
        <v>28.919194730659754</v>
      </c>
      <c r="R111" s="175">
        <f t="shared" si="38"/>
        <v>0.9933261125013213</v>
      </c>
      <c r="S111" s="46">
        <f t="shared" si="12"/>
        <v>99.332611250132132</v>
      </c>
      <c r="T111" s="250">
        <f t="shared" si="15"/>
        <v>5.6066989307024251E-2</v>
      </c>
      <c r="U111" s="246">
        <f>'Berekening trap 1'!H111*$T111</f>
        <v>1.8995310115563848E-2</v>
      </c>
      <c r="V111" s="376">
        <f>'Berekening trap 1'!I111*$T111</f>
        <v>1.8496325719714806E-2</v>
      </c>
      <c r="Y111" s="43">
        <f t="shared" si="16"/>
        <v>35</v>
      </c>
      <c r="Z111" s="6">
        <f>IF(INVOER!A70=0,"x",INVOER!A70)</f>
        <v>23.51</v>
      </c>
      <c r="AA111" s="6">
        <f>IF(INVOER!B$36&gt;INVOER!B$37,INVOER!B70,100-INVOER!B70)</f>
        <v>83.14</v>
      </c>
      <c r="AB111" s="6">
        <f t="shared" si="17"/>
        <v>35</v>
      </c>
      <c r="AC111" s="6">
        <f t="shared" si="13"/>
        <v>0.83140000000000003</v>
      </c>
      <c r="AD111" s="44">
        <f>IF(INVOER!A70=0,10000,INVOER!A70)</f>
        <v>23.51</v>
      </c>
    </row>
    <row r="112" spans="1:30" x14ac:dyDescent="0.2">
      <c r="A112" s="43">
        <f>A111*'Berekening trap 1'!H$58</f>
        <v>2.0008738791371008</v>
      </c>
      <c r="B112" s="6">
        <f t="shared" si="25"/>
        <v>1.9541710505175589</v>
      </c>
      <c r="C112" s="169">
        <f t="shared" si="18"/>
        <v>2.8132305515846454</v>
      </c>
      <c r="D112" s="202">
        <f t="shared" si="24"/>
        <v>0.32289169885370378</v>
      </c>
      <c r="E112" s="199">
        <f t="shared" si="26"/>
        <v>0.27312291505334485</v>
      </c>
      <c r="F112" s="43">
        <f t="shared" si="27"/>
        <v>0.31403811866615899</v>
      </c>
      <c r="G112" s="156">
        <f t="shared" si="28"/>
        <v>0.26454261056906853</v>
      </c>
      <c r="H112" s="171">
        <f t="shared" si="29"/>
        <v>0.32289169885370378</v>
      </c>
      <c r="I112" s="181">
        <f t="shared" si="30"/>
        <v>0.31403811866615899</v>
      </c>
      <c r="J112" s="395">
        <f>IF(INVOER!$S$36=1,100-H112*100,100-I112*100)</f>
        <v>68.596188133384103</v>
      </c>
      <c r="K112" s="41">
        <f t="shared" si="33"/>
        <v>11</v>
      </c>
      <c r="L112" s="5">
        <f t="shared" si="34"/>
        <v>1.8</v>
      </c>
      <c r="M112" s="5">
        <f t="shared" si="35"/>
        <v>2.0030000000000001</v>
      </c>
      <c r="N112" s="5">
        <f t="shared" si="36"/>
        <v>0.99400000000000011</v>
      </c>
      <c r="O112" s="5">
        <f t="shared" si="37"/>
        <v>0.99269999999999992</v>
      </c>
      <c r="P112" s="39">
        <f t="shared" si="31"/>
        <v>1.8413777160028491</v>
      </c>
      <c r="Q112" s="5">
        <f t="shared" si="32"/>
        <v>28.919194730659754</v>
      </c>
      <c r="R112" s="247">
        <f t="shared" si="38"/>
        <v>0.99271420986341041</v>
      </c>
      <c r="S112" s="5">
        <f t="shared" si="12"/>
        <v>99.271420986341042</v>
      </c>
      <c r="T112" s="251">
        <f t="shared" si="15"/>
        <v>6.1190263791088828E-2</v>
      </c>
      <c r="U112" s="245">
        <f>'Berekening trap 1'!H112*$T112</f>
        <v>1.9757828228810947E-2</v>
      </c>
      <c r="V112" s="375">
        <f>'Berekening trap 1'!I112*$T112</f>
        <v>1.9216075321639527E-2</v>
      </c>
      <c r="Y112" s="43">
        <f t="shared" si="16"/>
        <v>36</v>
      </c>
      <c r="Z112" s="6">
        <f>IF(INVOER!A71=0,"x",INVOER!A71)</f>
        <v>26.16</v>
      </c>
      <c r="AA112" s="6">
        <f>IF(INVOER!B$36&gt;INVOER!B$37,INVOER!B71,100-INVOER!B71)</f>
        <v>81.52</v>
      </c>
      <c r="AB112" s="6">
        <f t="shared" si="17"/>
        <v>36</v>
      </c>
      <c r="AC112" s="6">
        <f t="shared" si="13"/>
        <v>0.81519999999999992</v>
      </c>
      <c r="AD112" s="44">
        <f>IF(INVOER!A71=0,10000,INVOER!A71)</f>
        <v>26.16</v>
      </c>
    </row>
    <row r="113" spans="1:30" x14ac:dyDescent="0.2">
      <c r="A113" s="43">
        <f>A112*'Berekening trap 1'!H$58</f>
        <v>2.0988534614901684</v>
      </c>
      <c r="B113" s="6">
        <f t="shared" si="25"/>
        <v>2.0498636703136346</v>
      </c>
      <c r="C113" s="169">
        <f t="shared" si="18"/>
        <v>2.9509899363120957</v>
      </c>
      <c r="D113" s="202">
        <f t="shared" si="24"/>
        <v>0.30724672312426993</v>
      </c>
      <c r="E113" s="199">
        <f t="shared" si="26"/>
        <v>0.26161442298148457</v>
      </c>
      <c r="F113" s="43">
        <f t="shared" si="27"/>
        <v>0.29845733179263312</v>
      </c>
      <c r="G113" s="156">
        <f t="shared" si="28"/>
        <v>0.25312751098763908</v>
      </c>
      <c r="H113" s="171">
        <f t="shared" si="29"/>
        <v>0.30724672312426993</v>
      </c>
      <c r="I113" s="181">
        <f t="shared" si="30"/>
        <v>0.29845733179263312</v>
      </c>
      <c r="J113" s="395">
        <f>IF(INVOER!$S$36=1,100-H113*100,100-I113*100)</f>
        <v>70.154266820736694</v>
      </c>
      <c r="K113" s="43">
        <f t="shared" si="33"/>
        <v>12</v>
      </c>
      <c r="L113" s="6">
        <f t="shared" si="34"/>
        <v>2.0030000000000001</v>
      </c>
      <c r="M113" s="6">
        <f t="shared" si="35"/>
        <v>2.23</v>
      </c>
      <c r="N113" s="6">
        <f t="shared" si="36"/>
        <v>0.99269999999999992</v>
      </c>
      <c r="O113" s="6">
        <f t="shared" si="37"/>
        <v>0.99120000000000008</v>
      </c>
      <c r="P113" s="40">
        <f t="shared" si="31"/>
        <v>1.747766915515589</v>
      </c>
      <c r="Q113" s="6">
        <f t="shared" si="32"/>
        <v>33.364879829511516</v>
      </c>
      <c r="R113" s="123">
        <f t="shared" si="38"/>
        <v>0.99208101896752676</v>
      </c>
      <c r="S113" s="6">
        <f t="shared" si="12"/>
        <v>99.20810189675268</v>
      </c>
      <c r="T113" s="249">
        <f t="shared" si="15"/>
        <v>6.3319089588365074E-2</v>
      </c>
      <c r="U113" s="245">
        <f>'Berekening trap 1'!H113*$T113</f>
        <v>1.9454582787237246E-2</v>
      </c>
      <c r="V113" s="375">
        <f>'Berekening trap 1'!I113*$T113</f>
        <v>1.8898046530082136E-2</v>
      </c>
      <c r="Y113" s="43">
        <f t="shared" si="16"/>
        <v>37</v>
      </c>
      <c r="Z113" s="6">
        <f>IF(INVOER!A72=0,"x",INVOER!A72)</f>
        <v>29.12</v>
      </c>
      <c r="AA113" s="6">
        <f>IF(INVOER!B$36&gt;INVOER!B$37,INVOER!B72,100-INVOER!B72)</f>
        <v>79.81</v>
      </c>
      <c r="AB113" s="6">
        <f t="shared" si="17"/>
        <v>37</v>
      </c>
      <c r="AC113" s="6">
        <f t="shared" si="13"/>
        <v>0.79810000000000003</v>
      </c>
      <c r="AD113" s="44">
        <f>IF(INVOER!A72=0,10000,INVOER!A72)</f>
        <v>29.12</v>
      </c>
    </row>
    <row r="114" spans="1:30" x14ac:dyDescent="0.2">
      <c r="A114" s="43">
        <f>A113*'Berekening trap 1'!H$58</f>
        <v>2.2016309467286597</v>
      </c>
      <c r="B114" s="6">
        <f t="shared" si="25"/>
        <v>2.1502422041094142</v>
      </c>
      <c r="C114" s="169">
        <f t="shared" si="18"/>
        <v>3.0954951769985595</v>
      </c>
      <c r="D114" s="202">
        <f t="shared" si="24"/>
        <v>0.29187981799667878</v>
      </c>
      <c r="E114" s="199">
        <f t="shared" si="26"/>
        <v>0.25021449867445816</v>
      </c>
      <c r="F114" s="43">
        <f t="shared" si="27"/>
        <v>0.28317246060183698</v>
      </c>
      <c r="G114" s="156">
        <f t="shared" si="28"/>
        <v>0.24183226975990652</v>
      </c>
      <c r="H114" s="171">
        <f t="shared" si="29"/>
        <v>0.29187981799667878</v>
      </c>
      <c r="I114" s="181">
        <f t="shared" si="30"/>
        <v>0.28317246060183698</v>
      </c>
      <c r="J114" s="395">
        <f>IF(INVOER!$S$36=1,100-H114*100,100-I114*100)</f>
        <v>71.682753939816308</v>
      </c>
      <c r="K114" s="43">
        <f t="shared" si="33"/>
        <v>12</v>
      </c>
      <c r="L114" s="6">
        <f t="shared" si="34"/>
        <v>2.0030000000000001</v>
      </c>
      <c r="M114" s="6">
        <f t="shared" si="35"/>
        <v>2.23</v>
      </c>
      <c r="N114" s="6">
        <f t="shared" si="36"/>
        <v>0.99269999999999992</v>
      </c>
      <c r="O114" s="6">
        <f t="shared" si="37"/>
        <v>0.99120000000000008</v>
      </c>
      <c r="P114" s="40">
        <f t="shared" si="31"/>
        <v>1.747766915515589</v>
      </c>
      <c r="Q114" s="6">
        <f t="shared" si="32"/>
        <v>33.364879829511516</v>
      </c>
      <c r="R114" s="123">
        <f t="shared" si="38"/>
        <v>0.99139388983753285</v>
      </c>
      <c r="S114" s="6">
        <f t="shared" si="12"/>
        <v>99.139388983753278</v>
      </c>
      <c r="T114" s="249">
        <f t="shared" si="15"/>
        <v>6.8712912999391307E-2</v>
      </c>
      <c r="U114" s="245">
        <f>'Berekening trap 1'!H114*$T114</f>
        <v>2.0055912540283959E-2</v>
      </c>
      <c r="V114" s="375">
        <f>'Berekening trap 1'!I114*$T114</f>
        <v>1.9457604649157589E-2</v>
      </c>
      <c r="Y114" s="43">
        <f t="shared" si="16"/>
        <v>38</v>
      </c>
      <c r="Z114" s="6">
        <f>IF(INVOER!A73=0,"x",INVOER!A73)</f>
        <v>32.14</v>
      </c>
      <c r="AA114" s="6">
        <f>IF(INVOER!B$36&gt;INVOER!B$37,INVOER!B73,100-INVOER!B73)</f>
        <v>77.960000000000008</v>
      </c>
      <c r="AB114" s="6">
        <f t="shared" si="17"/>
        <v>38</v>
      </c>
      <c r="AC114" s="6">
        <f t="shared" si="13"/>
        <v>0.77960000000000007</v>
      </c>
      <c r="AD114" s="44">
        <f>IF(INVOER!A73=0,10000,INVOER!A73)</f>
        <v>32.14</v>
      </c>
    </row>
    <row r="115" spans="1:30" x14ac:dyDescent="0.2">
      <c r="A115" s="43">
        <f>A114*'Berekening trap 1'!H$58</f>
        <v>2.309441280455987</v>
      </c>
      <c r="B115" s="6">
        <f t="shared" si="25"/>
        <v>2.2555361135923233</v>
      </c>
      <c r="C115" s="169">
        <f t="shared" si="18"/>
        <v>3.2470766073828932</v>
      </c>
      <c r="D115" s="202">
        <f t="shared" si="24"/>
        <v>0.27680900873292558</v>
      </c>
      <c r="E115" s="199">
        <f t="shared" si="26"/>
        <v>0.23893961033927405</v>
      </c>
      <c r="F115" s="43">
        <f t="shared" si="27"/>
        <v>0.26820131775082312</v>
      </c>
      <c r="G115" s="156">
        <f t="shared" si="28"/>
        <v>0.23067336085224704</v>
      </c>
      <c r="H115" s="171">
        <f t="shared" si="29"/>
        <v>0.27680900873292558</v>
      </c>
      <c r="I115" s="181">
        <f t="shared" si="30"/>
        <v>0.26820131775082312</v>
      </c>
      <c r="J115" s="395">
        <f>IF(INVOER!$S$36=1,100-H115*100,100-I115*100)</f>
        <v>73.179868224917684</v>
      </c>
      <c r="K115" s="43">
        <f t="shared" si="33"/>
        <v>13</v>
      </c>
      <c r="L115" s="6">
        <f t="shared" si="34"/>
        <v>2.23</v>
      </c>
      <c r="M115" s="6">
        <f t="shared" si="35"/>
        <v>2.4820000000000002</v>
      </c>
      <c r="N115" s="6">
        <f t="shared" si="36"/>
        <v>0.99120000000000008</v>
      </c>
      <c r="O115" s="6">
        <f t="shared" si="37"/>
        <v>0.98919999999999997</v>
      </c>
      <c r="P115" s="40">
        <f t="shared" si="31"/>
        <v>1.9222556580475947</v>
      </c>
      <c r="Q115" s="6">
        <f t="shared" si="32"/>
        <v>26.09953577563666</v>
      </c>
      <c r="R115" s="123">
        <f t="shared" si="38"/>
        <v>0.99059039195788079</v>
      </c>
      <c r="S115" s="6">
        <f t="shared" si="12"/>
        <v>99.059039195788074</v>
      </c>
      <c r="T115" s="249">
        <f t="shared" si="15"/>
        <v>8.0349787965205977E-2</v>
      </c>
      <c r="U115" s="245">
        <f>'Berekening trap 1'!H115*$T115</f>
        <v>2.2241545158549418E-2</v>
      </c>
      <c r="V115" s="375">
        <f>'Berekening trap 1'!I115*$T115</f>
        <v>2.1549919013267471E-2</v>
      </c>
      <c r="Y115" s="43">
        <f t="shared" si="16"/>
        <v>39</v>
      </c>
      <c r="Z115" s="6">
        <f>IF(INVOER!A74=0,"x",INVOER!A74)</f>
        <v>37.07</v>
      </c>
      <c r="AA115" s="6">
        <f>IF(INVOER!B$36&gt;INVOER!B$37,INVOER!B74,100-INVOER!B74)</f>
        <v>75.930000000000007</v>
      </c>
      <c r="AB115" s="6">
        <f t="shared" si="17"/>
        <v>39</v>
      </c>
      <c r="AC115" s="6">
        <f t="shared" si="13"/>
        <v>0.75930000000000009</v>
      </c>
      <c r="AD115" s="44">
        <f>IF(INVOER!A74=0,10000,INVOER!A74)</f>
        <v>37.07</v>
      </c>
    </row>
    <row r="116" spans="1:30" x14ac:dyDescent="0.2">
      <c r="A116" s="45">
        <f>A115*'Berekening trap 1'!H$58</f>
        <v>2.4225309131846604</v>
      </c>
      <c r="B116" s="46">
        <f t="shared" si="25"/>
        <v>2.3659860968203237</v>
      </c>
      <c r="C116" s="184">
        <f t="shared" si="18"/>
        <v>3.406080737116945</v>
      </c>
      <c r="D116" s="203">
        <f t="shared" si="24"/>
        <v>0.26205216034991136</v>
      </c>
      <c r="E116" s="168">
        <f t="shared" si="26"/>
        <v>0.2278062322614465</v>
      </c>
      <c r="F116" s="45">
        <f t="shared" si="27"/>
        <v>0.25356147353545272</v>
      </c>
      <c r="G116" s="185">
        <f t="shared" si="28"/>
        <v>0.21966720897631384</v>
      </c>
      <c r="H116" s="172">
        <f t="shared" si="29"/>
        <v>0.26205216034991136</v>
      </c>
      <c r="I116" s="243">
        <f t="shared" si="30"/>
        <v>0.25356147353545272</v>
      </c>
      <c r="J116" s="395">
        <f>IF(INVOER!$S$36=1,100-H116*100,100-I116*100)</f>
        <v>74.643852646454732</v>
      </c>
      <c r="K116" s="45">
        <f t="shared" si="33"/>
        <v>13</v>
      </c>
      <c r="L116" s="46">
        <f t="shared" si="34"/>
        <v>2.23</v>
      </c>
      <c r="M116" s="46">
        <f t="shared" si="35"/>
        <v>2.4820000000000002</v>
      </c>
      <c r="N116" s="46">
        <f t="shared" si="36"/>
        <v>0.99120000000000008</v>
      </c>
      <c r="O116" s="46">
        <f t="shared" si="37"/>
        <v>0.98919999999999997</v>
      </c>
      <c r="P116" s="51">
        <f t="shared" si="31"/>
        <v>1.9222556580475947</v>
      </c>
      <c r="Q116" s="46">
        <f t="shared" si="32"/>
        <v>26.09953577563666</v>
      </c>
      <c r="R116" s="175">
        <f t="shared" si="38"/>
        <v>0.98968937704961335</v>
      </c>
      <c r="S116" s="46">
        <f t="shared" si="12"/>
        <v>98.968937704961334</v>
      </c>
      <c r="T116" s="250">
        <f t="shared" si="15"/>
        <v>9.0101490826743902E-2</v>
      </c>
      <c r="U116" s="246">
        <f>'Berekening trap 1'!H116*$T116</f>
        <v>2.3611290321895961E-2</v>
      </c>
      <c r="V116" s="376">
        <f>'Berekening trap 1'!I116*$T116</f>
        <v>2.284626678177026E-2</v>
      </c>
      <c r="Y116" s="43">
        <f t="shared" si="16"/>
        <v>40</v>
      </c>
      <c r="Z116" s="6">
        <f>IF(INVOER!A75=0,"x",INVOER!A75)</f>
        <v>40.15</v>
      </c>
      <c r="AA116" s="6">
        <f>IF(INVOER!B$36&gt;INVOER!B$37,INVOER!B75,100-INVOER!B75)</f>
        <v>73.650000000000006</v>
      </c>
      <c r="AB116" s="6">
        <f t="shared" si="17"/>
        <v>40</v>
      </c>
      <c r="AC116" s="6">
        <f t="shared" si="13"/>
        <v>0.73650000000000004</v>
      </c>
      <c r="AD116" s="44">
        <f>IF(INVOER!A75=0,10000,INVOER!A75)</f>
        <v>40.15</v>
      </c>
    </row>
    <row r="117" spans="1:30" x14ac:dyDescent="0.2">
      <c r="A117" s="43">
        <f>A116*'Berekening trap 1'!H$58</f>
        <v>2.541158363713222</v>
      </c>
      <c r="B117" s="6">
        <f t="shared" si="25"/>
        <v>2.4818446384489414</v>
      </c>
      <c r="C117" s="169">
        <f t="shared" si="18"/>
        <v>3.5728710438740454</v>
      </c>
      <c r="D117" s="202">
        <f t="shared" si="24"/>
        <v>0.24762684910772359</v>
      </c>
      <c r="E117" s="199">
        <f t="shared" si="26"/>
        <v>0.2168307659050045</v>
      </c>
      <c r="F117" s="43">
        <f t="shared" si="27"/>
        <v>0.23927012388949614</v>
      </c>
      <c r="G117" s="156">
        <f t="shared" si="28"/>
        <v>0.20883010773783511</v>
      </c>
      <c r="H117" s="171">
        <f t="shared" si="29"/>
        <v>0.24762684910772359</v>
      </c>
      <c r="I117" s="181">
        <f t="shared" si="30"/>
        <v>0.23927012388949614</v>
      </c>
      <c r="J117" s="393">
        <f>IF(INVOER!$S$36=1,100-H117*100,100-I117*100)</f>
        <v>76.072987611050394</v>
      </c>
      <c r="K117" s="41">
        <f t="shared" si="33"/>
        <v>14</v>
      </c>
      <c r="L117" s="5">
        <f t="shared" si="34"/>
        <v>2.4820000000000002</v>
      </c>
      <c r="M117" s="5">
        <f t="shared" si="35"/>
        <v>2.762</v>
      </c>
      <c r="N117" s="5">
        <f t="shared" si="36"/>
        <v>0.98919999999999997</v>
      </c>
      <c r="O117" s="5">
        <f t="shared" si="37"/>
        <v>0.98739999999999994</v>
      </c>
      <c r="P117" s="39">
        <f t="shared" si="31"/>
        <v>1.4506409795097801</v>
      </c>
      <c r="Q117" s="5">
        <f t="shared" si="32"/>
        <v>56.083873314682279</v>
      </c>
      <c r="R117" s="247">
        <f t="shared" si="38"/>
        <v>0.98882668783872496</v>
      </c>
      <c r="S117" s="5">
        <f t="shared" si="12"/>
        <v>98.882668783872489</v>
      </c>
      <c r="T117" s="251">
        <f t="shared" si="15"/>
        <v>8.626892108883899E-2</v>
      </c>
      <c r="U117" s="245">
        <f>'Berekening trap 1'!H117*$T117</f>
        <v>2.1362501105152046E-2</v>
      </c>
      <c r="V117" s="375">
        <f>'Berekening trap 1'!I117*$T117</f>
        <v>2.0641575436739671E-2</v>
      </c>
      <c r="Y117" s="43">
        <f t="shared" si="16"/>
        <v>41</v>
      </c>
      <c r="Z117" s="6">
        <f>IF(INVOER!A76=0,"x",INVOER!A76)</f>
        <v>44.89</v>
      </c>
      <c r="AA117" s="6">
        <f>IF(INVOER!B$36&gt;INVOER!B$37,INVOER!B76,100-INVOER!B76)</f>
        <v>71.06</v>
      </c>
      <c r="AB117" s="6">
        <f t="shared" si="17"/>
        <v>41</v>
      </c>
      <c r="AC117" s="6">
        <f t="shared" si="13"/>
        <v>0.71060000000000001</v>
      </c>
      <c r="AD117" s="44">
        <f>IF(INVOER!A76=0,10000,INVOER!A76)</f>
        <v>44.89</v>
      </c>
    </row>
    <row r="118" spans="1:30" x14ac:dyDescent="0.2">
      <c r="A118" s="43">
        <f>A117*'Berekening trap 1'!H$58</f>
        <v>2.6655948100908424</v>
      </c>
      <c r="B118" s="6">
        <f t="shared" si="25"/>
        <v>2.6033765869020322</v>
      </c>
      <c r="C118" s="169">
        <f t="shared" si="18"/>
        <v>3.747828804245787</v>
      </c>
      <c r="D118" s="202">
        <f t="shared" si="24"/>
        <v>0.23355023142864276</v>
      </c>
      <c r="E118" s="199">
        <f t="shared" si="26"/>
        <v>0.2060294568943794</v>
      </c>
      <c r="F118" s="43">
        <f t="shared" si="27"/>
        <v>0.22534395651202271</v>
      </c>
      <c r="G118" s="156">
        <f t="shared" si="28"/>
        <v>0.19817813399246476</v>
      </c>
      <c r="H118" s="171">
        <f t="shared" si="29"/>
        <v>0.23355023142864276</v>
      </c>
      <c r="I118" s="181">
        <f t="shared" si="30"/>
        <v>0.22534395651202271</v>
      </c>
      <c r="J118" s="395">
        <f>IF(INVOER!$S$36=1,100-H118*100,100-I118*100)</f>
        <v>77.465604348797726</v>
      </c>
      <c r="K118" s="43">
        <f t="shared" si="33"/>
        <v>14</v>
      </c>
      <c r="L118" s="6">
        <f t="shared" si="34"/>
        <v>2.4820000000000002</v>
      </c>
      <c r="M118" s="6">
        <f t="shared" si="35"/>
        <v>2.762</v>
      </c>
      <c r="N118" s="6">
        <f t="shared" si="36"/>
        <v>0.98919999999999997</v>
      </c>
      <c r="O118" s="6">
        <f t="shared" si="37"/>
        <v>0.98739999999999994</v>
      </c>
      <c r="P118" s="40">
        <f t="shared" si="31"/>
        <v>1.4506409795097801</v>
      </c>
      <c r="Q118" s="6">
        <f t="shared" si="32"/>
        <v>56.083873314682279</v>
      </c>
      <c r="R118" s="123">
        <f t="shared" si="38"/>
        <v>0.98802912628545192</v>
      </c>
      <c r="S118" s="6">
        <f t="shared" si="12"/>
        <v>98.802912628545187</v>
      </c>
      <c r="T118" s="249">
        <f t="shared" si="15"/>
        <v>7.9756155327304068E-2</v>
      </c>
      <c r="U118" s="245">
        <f>'Berekening trap 1'!H118*$T118</f>
        <v>1.8627068534550643E-2</v>
      </c>
      <c r="V118" s="375">
        <f>'Berekening trap 1'!I118*$T118</f>
        <v>1.7972567597642135E-2</v>
      </c>
      <c r="Y118" s="43">
        <f t="shared" si="16"/>
        <v>42</v>
      </c>
      <c r="Z118" s="6">
        <f>IF(INVOER!A77=0,"x",INVOER!A77)</f>
        <v>49.74</v>
      </c>
      <c r="AA118" s="6">
        <f>IF(INVOER!B$36&gt;INVOER!B$37,INVOER!B77,100-INVOER!B77)</f>
        <v>68.2</v>
      </c>
      <c r="AB118" s="6">
        <f t="shared" si="17"/>
        <v>42</v>
      </c>
      <c r="AC118" s="6">
        <f t="shared" si="13"/>
        <v>0.68200000000000005</v>
      </c>
      <c r="AD118" s="44">
        <f>IF(INVOER!A77=0,10000,INVOER!A77)</f>
        <v>49.74</v>
      </c>
    </row>
    <row r="119" spans="1:30" x14ac:dyDescent="0.2">
      <c r="A119" s="43">
        <f>A118*'Berekening trap 1'!H$58</f>
        <v>2.7961247095205048</v>
      </c>
      <c r="B119" s="6">
        <f t="shared" si="25"/>
        <v>2.7308597598056736</v>
      </c>
      <c r="C119" s="169">
        <f t="shared" si="18"/>
        <v>3.9313539653264851</v>
      </c>
      <c r="D119" s="202">
        <f t="shared" si="24"/>
        <v>0.2198389110225433</v>
      </c>
      <c r="E119" s="199">
        <f t="shared" si="26"/>
        <v>0.19541830834624516</v>
      </c>
      <c r="F119" s="43">
        <f t="shared" si="27"/>
        <v>0.21179901599015849</v>
      </c>
      <c r="G119" s="156">
        <f t="shared" si="28"/>
        <v>0.18772705893980646</v>
      </c>
      <c r="H119" s="171">
        <f t="shared" si="29"/>
        <v>0.2198389110225433</v>
      </c>
      <c r="I119" s="181">
        <f t="shared" si="30"/>
        <v>0.21179901599015849</v>
      </c>
      <c r="J119" s="395">
        <f>IF(INVOER!$S$36=1,100-H119*100,100-I119*100)</f>
        <v>78.820098400984151</v>
      </c>
      <c r="K119" s="43">
        <f t="shared" si="33"/>
        <v>15</v>
      </c>
      <c r="L119" s="6">
        <f t="shared" si="34"/>
        <v>2.762</v>
      </c>
      <c r="M119" s="6">
        <f t="shared" si="35"/>
        <v>3.0750000000000002</v>
      </c>
      <c r="N119" s="6">
        <f t="shared" si="36"/>
        <v>0.98739999999999994</v>
      </c>
      <c r="O119" s="6">
        <f t="shared" si="37"/>
        <v>0.98510000000000009</v>
      </c>
      <c r="P119" s="40">
        <f t="shared" si="31"/>
        <v>1.5726873164211328</v>
      </c>
      <c r="Q119" s="6">
        <f t="shared" si="32"/>
        <v>44.397887315353216</v>
      </c>
      <c r="R119" s="123">
        <f t="shared" si="38"/>
        <v>0.98715589356235645</v>
      </c>
      <c r="S119" s="6">
        <f t="shared" si="12"/>
        <v>98.71558935623564</v>
      </c>
      <c r="T119" s="249">
        <f t="shared" si="15"/>
        <v>8.7323272309547395E-2</v>
      </c>
      <c r="U119" s="245">
        <f>'Berekening trap 1'!H119*$T119</f>
        <v>1.9197053091455907E-2</v>
      </c>
      <c r="V119" s="375">
        <f>'Berekening trap 1'!I119*$T119</f>
        <v>1.8494983148202793E-2</v>
      </c>
      <c r="Y119" s="43">
        <f t="shared" si="16"/>
        <v>43</v>
      </c>
      <c r="Z119" s="6">
        <f>IF(INVOER!A78=0,"x",INVOER!A78)</f>
        <v>55.36</v>
      </c>
      <c r="AA119" s="6">
        <f>IF(INVOER!B$36&gt;INVOER!B$37,INVOER!B78,100-INVOER!B78)</f>
        <v>64.72</v>
      </c>
      <c r="AB119" s="6">
        <f t="shared" si="17"/>
        <v>43</v>
      </c>
      <c r="AC119" s="6">
        <f t="shared" si="13"/>
        <v>0.6472</v>
      </c>
      <c r="AD119" s="44">
        <f>IF(INVOER!A78=0,10000,INVOER!A78)</f>
        <v>55.36</v>
      </c>
    </row>
    <row r="120" spans="1:30" x14ac:dyDescent="0.2">
      <c r="A120" s="43">
        <f>A119*'Berekening trap 1'!H$58</f>
        <v>2.933046448617854</v>
      </c>
      <c r="B120" s="6">
        <f t="shared" si="25"/>
        <v>2.8645855790691792</v>
      </c>
      <c r="C120" s="169">
        <f t="shared" si="18"/>
        <v>4.1238660589777263</v>
      </c>
      <c r="D120" s="202">
        <f t="shared" si="24"/>
        <v>0.20650880515147521</v>
      </c>
      <c r="E120" s="199">
        <f t="shared" si="26"/>
        <v>0.18501299110834699</v>
      </c>
      <c r="F120" s="43">
        <f t="shared" si="27"/>
        <v>0.1986505689405236</v>
      </c>
      <c r="G120" s="156">
        <f t="shared" si="28"/>
        <v>0.17749225657687975</v>
      </c>
      <c r="H120" s="171">
        <f t="shared" si="29"/>
        <v>0.20650880515147521</v>
      </c>
      <c r="I120" s="181">
        <f t="shared" si="30"/>
        <v>0.1986505689405236</v>
      </c>
      <c r="J120" s="395">
        <f>IF(INVOER!$S$36=1,100-H120*100,100-I120*100)</f>
        <v>80.134943105947642</v>
      </c>
      <c r="K120" s="43">
        <f t="shared" si="33"/>
        <v>15</v>
      </c>
      <c r="L120" s="6">
        <f t="shared" si="34"/>
        <v>2.762</v>
      </c>
      <c r="M120" s="6">
        <f t="shared" si="35"/>
        <v>3.0750000000000002</v>
      </c>
      <c r="N120" s="6">
        <f t="shared" si="36"/>
        <v>0.98739999999999994</v>
      </c>
      <c r="O120" s="6">
        <f t="shared" si="37"/>
        <v>0.98510000000000009</v>
      </c>
      <c r="P120" s="40">
        <f t="shared" si="31"/>
        <v>1.5726873164211328</v>
      </c>
      <c r="Q120" s="6">
        <f t="shared" si="32"/>
        <v>44.397887315353216</v>
      </c>
      <c r="R120" s="123">
        <f t="shared" si="38"/>
        <v>0.98615994035347054</v>
      </c>
      <c r="S120" s="6">
        <f t="shared" si="12"/>
        <v>98.615994035347057</v>
      </c>
      <c r="T120" s="249">
        <f t="shared" si="15"/>
        <v>9.9595320888590244E-2</v>
      </c>
      <c r="U120" s="245">
        <f>'Berekening trap 1'!H120*$T120</f>
        <v>2.0567310715380531E-2</v>
      </c>
      <c r="V120" s="375">
        <f>'Berekening trap 1'!I120*$T120</f>
        <v>1.9784667158332468E-2</v>
      </c>
      <c r="Y120" s="43">
        <f t="shared" si="16"/>
        <v>44</v>
      </c>
      <c r="Z120" s="6">
        <f>IF(INVOER!A79=0,"x",INVOER!A79)</f>
        <v>61.61</v>
      </c>
      <c r="AA120" s="6">
        <f>IF(INVOER!B$36&gt;INVOER!B$37,INVOER!B79,100-INVOER!B79)</f>
        <v>60.87</v>
      </c>
      <c r="AB120" s="6">
        <f t="shared" si="17"/>
        <v>44</v>
      </c>
      <c r="AC120" s="6">
        <f t="shared" si="13"/>
        <v>0.60870000000000002</v>
      </c>
      <c r="AD120" s="44">
        <f>IF(INVOER!A79=0,10000,INVOER!A79)</f>
        <v>61.61</v>
      </c>
    </row>
    <row r="121" spans="1:30" x14ac:dyDescent="0.2">
      <c r="A121" s="45">
        <f>A120*'Berekening trap 1'!H$58</f>
        <v>3.0766730255121759</v>
      </c>
      <c r="B121" s="46">
        <f t="shared" si="25"/>
        <v>3.004859737065015</v>
      </c>
      <c r="C121" s="184">
        <f t="shared" si="18"/>
        <v>4.3258051608629895</v>
      </c>
      <c r="D121" s="203">
        <f t="shared" si="24"/>
        <v>0.19357501111607356</v>
      </c>
      <c r="E121" s="168">
        <f t="shared" si="26"/>
        <v>0.17482875155280095</v>
      </c>
      <c r="F121" s="45">
        <f t="shared" si="27"/>
        <v>0.18591297033938015</v>
      </c>
      <c r="G121" s="185">
        <f t="shared" si="28"/>
        <v>0.16748861022288208</v>
      </c>
      <c r="H121" s="172">
        <f t="shared" si="29"/>
        <v>0.19357501111607356</v>
      </c>
      <c r="I121" s="243">
        <f t="shared" si="30"/>
        <v>0.18591297033938015</v>
      </c>
      <c r="J121" s="394">
        <f>IF(INVOER!$S$36=1,100-H121*100,100-I121*100)</f>
        <v>81.408702966061981</v>
      </c>
      <c r="K121" s="43">
        <f t="shared" si="33"/>
        <v>16</v>
      </c>
      <c r="L121" s="6">
        <f t="shared" si="34"/>
        <v>3.0750000000000002</v>
      </c>
      <c r="M121" s="6">
        <f t="shared" si="35"/>
        <v>3.4220000000000002</v>
      </c>
      <c r="N121" s="6">
        <f t="shared" si="36"/>
        <v>0.98510000000000009</v>
      </c>
      <c r="O121" s="6">
        <f t="shared" si="37"/>
        <v>0.98239999999999994</v>
      </c>
      <c r="P121" s="40">
        <f t="shared" si="31"/>
        <v>1.5703873160637982</v>
      </c>
      <c r="Q121" s="6">
        <f t="shared" si="32"/>
        <v>44.571837823842003</v>
      </c>
      <c r="R121" s="123">
        <f t="shared" si="38"/>
        <v>0.98508736279112186</v>
      </c>
      <c r="S121" s="6">
        <f t="shared" si="12"/>
        <v>98.508736279112185</v>
      </c>
      <c r="T121" s="249">
        <f t="shared" si="15"/>
        <v>0.10725775623486866</v>
      </c>
      <c r="U121" s="246">
        <f>'Berekening trap 1'!H121*$T121</f>
        <v>2.0762421355449808E-2</v>
      </c>
      <c r="V121" s="376">
        <f>'Berekening trap 1'!I121*$T121</f>
        <v>1.9940608053561605E-2</v>
      </c>
      <c r="Y121" s="43">
        <f t="shared" si="16"/>
        <v>45</v>
      </c>
      <c r="Z121" s="6">
        <f>IF(INVOER!A80=0,"x",INVOER!A80)</f>
        <v>68.58</v>
      </c>
      <c r="AA121" s="6">
        <f>IF(INVOER!B$36&gt;INVOER!B$37,INVOER!B80,100-INVOER!B80)</f>
        <v>56.56</v>
      </c>
      <c r="AB121" s="6">
        <f t="shared" si="17"/>
        <v>45</v>
      </c>
      <c r="AC121" s="6">
        <f t="shared" si="13"/>
        <v>0.56559999999999999</v>
      </c>
      <c r="AD121" s="44">
        <f>IF(INVOER!A80=0,10000,INVOER!A80)</f>
        <v>68.58</v>
      </c>
    </row>
    <row r="122" spans="1:30" x14ac:dyDescent="0.2">
      <c r="A122" s="43">
        <f>A121*'Berekening trap 1'!H$58</f>
        <v>3.2273327653487693</v>
      </c>
      <c r="B122" s="6">
        <f t="shared" si="25"/>
        <v>3.1520028954304724</v>
      </c>
      <c r="C122" s="169">
        <f t="shared" si="18"/>
        <v>4.537632896444646</v>
      </c>
      <c r="D122" s="202">
        <f t="shared" si="24"/>
        <v>0.18105167418682191</v>
      </c>
      <c r="E122" s="199">
        <f t="shared" si="26"/>
        <v>0.16488031766178143</v>
      </c>
      <c r="F122" s="43">
        <f t="shared" si="27"/>
        <v>0.17359953234629538</v>
      </c>
      <c r="G122" s="156">
        <f t="shared" si="28"/>
        <v>0.15773041791647552</v>
      </c>
      <c r="H122" s="171">
        <f t="shared" si="29"/>
        <v>0.18105167418682191</v>
      </c>
      <c r="I122" s="181">
        <f t="shared" si="30"/>
        <v>0.17359953234629538</v>
      </c>
      <c r="J122" s="395">
        <f>IF(INVOER!$S$36=1,100-H122*100,100-I122*100)</f>
        <v>82.640046765370457</v>
      </c>
      <c r="K122" s="41">
        <f t="shared" si="33"/>
        <v>16</v>
      </c>
      <c r="L122" s="5">
        <f t="shared" si="34"/>
        <v>3.0750000000000002</v>
      </c>
      <c r="M122" s="5">
        <f t="shared" si="35"/>
        <v>3.4220000000000002</v>
      </c>
      <c r="N122" s="5">
        <f t="shared" si="36"/>
        <v>0.98510000000000009</v>
      </c>
      <c r="O122" s="5">
        <f t="shared" si="37"/>
        <v>0.98239999999999994</v>
      </c>
      <c r="P122" s="39">
        <f t="shared" si="31"/>
        <v>1.5703873160637982</v>
      </c>
      <c r="Q122" s="5">
        <f t="shared" si="32"/>
        <v>44.571837823842003</v>
      </c>
      <c r="R122" s="247">
        <f t="shared" si="38"/>
        <v>0.98393407424682033</v>
      </c>
      <c r="S122" s="5">
        <f t="shared" si="12"/>
        <v>98.393407424682039</v>
      </c>
      <c r="T122" s="251">
        <f t="shared" si="15"/>
        <v>0.11532885443015228</v>
      </c>
      <c r="U122" s="245">
        <f>'Berekening trap 1'!H122*$T122</f>
        <v>2.0880482176627344E-2</v>
      </c>
      <c r="V122" s="375">
        <f>'Berekening trap 1'!I122*$T122</f>
        <v>2.0021035195108412E-2</v>
      </c>
      <c r="Y122" s="43">
        <f t="shared" si="16"/>
        <v>46</v>
      </c>
      <c r="Z122" s="6">
        <f>IF(INVOER!A81=0,"x",INVOER!A81)</f>
        <v>73.33</v>
      </c>
      <c r="AA122" s="6">
        <f>IF(INVOER!B$36&gt;INVOER!B$37,INVOER!B81,100-INVOER!B81)</f>
        <v>51.82</v>
      </c>
      <c r="AB122" s="6">
        <f t="shared" si="17"/>
        <v>46</v>
      </c>
      <c r="AC122" s="6">
        <f t="shared" si="13"/>
        <v>0.51819999999999999</v>
      </c>
      <c r="AD122" s="44">
        <f>IF(INVOER!A81=0,10000,INVOER!A81)</f>
        <v>73.33</v>
      </c>
    </row>
    <row r="123" spans="1:30" x14ac:dyDescent="0.2">
      <c r="A123" s="43">
        <f>A122*'Berekening trap 1'!H$58</f>
        <v>3.3853700708283196</v>
      </c>
      <c r="B123" s="6">
        <f t="shared" si="25"/>
        <v>3.3063514180885445</v>
      </c>
      <c r="C123" s="169">
        <f t="shared" si="18"/>
        <v>4.759833496243032</v>
      </c>
      <c r="D123" s="202">
        <f t="shared" si="24"/>
        <v>0.16895185833136414</v>
      </c>
      <c r="E123" s="199">
        <f t="shared" si="26"/>
        <v>0.15518180423222552</v>
      </c>
      <c r="F123" s="43">
        <f t="shared" si="27"/>
        <v>0.16172239704603153</v>
      </c>
      <c r="G123" s="156">
        <f t="shared" si="28"/>
        <v>0.14823129757312103</v>
      </c>
      <c r="H123" s="171">
        <f t="shared" si="29"/>
        <v>0.16895185833136414</v>
      </c>
      <c r="I123" s="181">
        <f t="shared" si="30"/>
        <v>0.16172239704603153</v>
      </c>
      <c r="J123" s="395">
        <f>IF(INVOER!$S$36=1,100-H123*100,100-I123*100)</f>
        <v>83.827760295396843</v>
      </c>
      <c r="K123" s="43">
        <f t="shared" si="33"/>
        <v>16</v>
      </c>
      <c r="L123" s="6">
        <f t="shared" si="34"/>
        <v>3.0750000000000002</v>
      </c>
      <c r="M123" s="6">
        <f t="shared" si="35"/>
        <v>3.4220000000000002</v>
      </c>
      <c r="N123" s="6">
        <f t="shared" si="36"/>
        <v>0.98510000000000009</v>
      </c>
      <c r="O123" s="6">
        <f t="shared" si="37"/>
        <v>0.98239999999999994</v>
      </c>
      <c r="P123" s="40">
        <f t="shared" si="31"/>
        <v>1.5703873160637982</v>
      </c>
      <c r="Q123" s="6">
        <f t="shared" si="32"/>
        <v>44.571837823842003</v>
      </c>
      <c r="R123" s="123">
        <f t="shared" si="38"/>
        <v>0.982692380719</v>
      </c>
      <c r="S123" s="6">
        <f t="shared" si="12"/>
        <v>98.269238071900006</v>
      </c>
      <c r="T123" s="249">
        <f t="shared" si="15"/>
        <v>0.12416935278203312</v>
      </c>
      <c r="U123" s="245">
        <f>'Berekening trap 1'!H123*$T123</f>
        <v>2.0978642900327235E-2</v>
      </c>
      <c r="V123" s="375">
        <f>'Berekening trap 1'!I123*$T123</f>
        <v>2.0080965371564719E-2</v>
      </c>
      <c r="Y123" s="43">
        <f t="shared" si="16"/>
        <v>47</v>
      </c>
      <c r="Z123" s="6">
        <f>IF(INVOER!A82=0,"x",INVOER!A82)</f>
        <v>84.95</v>
      </c>
      <c r="AA123" s="6">
        <f>IF(INVOER!B$36&gt;INVOER!B$37,INVOER!B82,100-INVOER!B82)</f>
        <v>46.72</v>
      </c>
      <c r="AB123" s="6">
        <f t="shared" si="17"/>
        <v>47</v>
      </c>
      <c r="AC123" s="6">
        <f t="shared" si="13"/>
        <v>0.4672</v>
      </c>
      <c r="AD123" s="44">
        <f>IF(INVOER!A82=0,10000,INVOER!A82)</f>
        <v>84.95</v>
      </c>
    </row>
    <row r="124" spans="1:30" x14ac:dyDescent="0.2">
      <c r="A124" s="43">
        <f>A123*'Berekening trap 1'!H$58</f>
        <v>3.5511462094989792</v>
      </c>
      <c r="B124" s="6">
        <f t="shared" si="25"/>
        <v>3.4682581401636492</v>
      </c>
      <c r="C124" s="169">
        <f t="shared" si="18"/>
        <v>4.9929149027698436</v>
      </c>
      <c r="D124" s="202">
        <f t="shared" si="24"/>
        <v>0.15728742120190076</v>
      </c>
      <c r="E124" s="199">
        <f t="shared" si="26"/>
        <v>0.14574661811123346</v>
      </c>
      <c r="F124" s="43">
        <f t="shared" si="27"/>
        <v>0.15029241463514592</v>
      </c>
      <c r="G124" s="156">
        <f t="shared" si="28"/>
        <v>0.13900409287111393</v>
      </c>
      <c r="H124" s="171">
        <f t="shared" si="29"/>
        <v>0.15728742120190076</v>
      </c>
      <c r="I124" s="181">
        <f t="shared" si="30"/>
        <v>0.15029241463514592</v>
      </c>
      <c r="J124" s="395">
        <f>IF(INVOER!$S$36=1,100-H124*100,100-I124*100)</f>
        <v>84.970758536485405</v>
      </c>
      <c r="K124" s="43">
        <f t="shared" si="33"/>
        <v>17</v>
      </c>
      <c r="L124" s="6">
        <f t="shared" si="34"/>
        <v>3.4220000000000002</v>
      </c>
      <c r="M124" s="6">
        <f t="shared" si="35"/>
        <v>3.8</v>
      </c>
      <c r="N124" s="6">
        <f t="shared" si="36"/>
        <v>0.98239999999999994</v>
      </c>
      <c r="O124" s="6">
        <f t="shared" si="37"/>
        <v>0.97950000000000004</v>
      </c>
      <c r="P124" s="40">
        <f t="shared" si="31"/>
        <v>1.4697980954679561</v>
      </c>
      <c r="Q124" s="6">
        <f t="shared" si="32"/>
        <v>53.131645822868613</v>
      </c>
      <c r="R124" s="123">
        <f t="shared" si="38"/>
        <v>0.98142433050311495</v>
      </c>
      <c r="S124" s="6">
        <f t="shared" si="12"/>
        <v>98.142433050311496</v>
      </c>
      <c r="T124" s="249">
        <f t="shared" si="15"/>
        <v>0.12680502158850526</v>
      </c>
      <c r="U124" s="245">
        <f>'Berekening trap 1'!H124*$T124</f>
        <v>1.9944834841107345E-2</v>
      </c>
      <c r="V124" s="375">
        <f>'Berekening trap 1'!I124*$T124</f>
        <v>1.9057832882398262E-2</v>
      </c>
      <c r="Y124" s="43">
        <f t="shared" si="16"/>
        <v>48</v>
      </c>
      <c r="Z124" s="6">
        <f>IF(INVOER!A83=0,"x",INVOER!A83)</f>
        <v>94.55</v>
      </c>
      <c r="AA124" s="6">
        <f>IF(INVOER!B$36&gt;INVOER!B$37,INVOER!B83,100-INVOER!B83)</f>
        <v>41.35</v>
      </c>
      <c r="AB124" s="6">
        <f t="shared" si="17"/>
        <v>48</v>
      </c>
      <c r="AC124" s="6">
        <f t="shared" si="13"/>
        <v>0.41350000000000003</v>
      </c>
      <c r="AD124" s="44">
        <f>IF(INVOER!A83=0,10000,INVOER!A83)</f>
        <v>94.55</v>
      </c>
    </row>
    <row r="125" spans="1:30" x14ac:dyDescent="0.2">
      <c r="A125" s="43">
        <f>A124*'Berekening trap 1'!H$58</f>
        <v>3.725040139600881</v>
      </c>
      <c r="B125" s="6">
        <f t="shared" si="25"/>
        <v>3.6380931745499301</v>
      </c>
      <c r="C125" s="169">
        <f t="shared" si="18"/>
        <v>5.2374099316663019</v>
      </c>
      <c r="D125" s="202">
        <f t="shared" si="24"/>
        <v>0.14606889494076186</v>
      </c>
      <c r="E125" s="199">
        <f t="shared" si="26"/>
        <v>0.13658736445310868</v>
      </c>
      <c r="F125" s="43">
        <f t="shared" si="27"/>
        <v>0.13931902865985993</v>
      </c>
      <c r="G125" s="156">
        <f t="shared" si="28"/>
        <v>0.13006078090869755</v>
      </c>
      <c r="H125" s="171">
        <f t="shared" si="29"/>
        <v>0.14606889494076186</v>
      </c>
      <c r="I125" s="181">
        <f t="shared" si="30"/>
        <v>0.13931902865985993</v>
      </c>
      <c r="J125" s="395">
        <f>IF(INVOER!$S$36=1,100-H125*100,100-I125*100)</f>
        <v>86.06809713401401</v>
      </c>
      <c r="K125" s="43">
        <f t="shared" si="33"/>
        <v>17</v>
      </c>
      <c r="L125" s="6">
        <f t="shared" si="34"/>
        <v>3.4220000000000002</v>
      </c>
      <c r="M125" s="6">
        <f t="shared" si="35"/>
        <v>3.8</v>
      </c>
      <c r="N125" s="6">
        <f t="shared" si="36"/>
        <v>0.98239999999999994</v>
      </c>
      <c r="O125" s="6">
        <f t="shared" si="37"/>
        <v>0.97950000000000004</v>
      </c>
      <c r="P125" s="40">
        <f t="shared" si="31"/>
        <v>1.4697980954679561</v>
      </c>
      <c r="Q125" s="6">
        <f t="shared" si="32"/>
        <v>53.131645822868613</v>
      </c>
      <c r="R125" s="123">
        <f t="shared" si="38"/>
        <v>0.98008567517373324</v>
      </c>
      <c r="S125" s="6">
        <f t="shared" si="12"/>
        <v>98.008567517373322</v>
      </c>
      <c r="T125" s="249">
        <f t="shared" si="15"/>
        <v>0.13386553293817105</v>
      </c>
      <c r="U125" s="245">
        <f>'Berekening trap 1'!H125*$T125</f>
        <v>1.9553590466934802E-2</v>
      </c>
      <c r="V125" s="375">
        <f>'Berekening trap 1'!I125*$T125</f>
        <v>1.8650016019980474E-2</v>
      </c>
      <c r="Y125" s="43">
        <f t="shared" si="16"/>
        <v>49</v>
      </c>
      <c r="Z125" s="6">
        <f>IF(INVOER!A84=0,"x",INVOER!A84)</f>
        <v>105.2</v>
      </c>
      <c r="AA125" s="6">
        <f>IF(INVOER!B$36&gt;INVOER!B$37,INVOER!B84,100-INVOER!B84)</f>
        <v>35.840000000000003</v>
      </c>
      <c r="AB125" s="6">
        <f t="shared" si="17"/>
        <v>49</v>
      </c>
      <c r="AC125" s="6">
        <f t="shared" si="13"/>
        <v>0.35840000000000005</v>
      </c>
      <c r="AD125" s="44">
        <f>IF(INVOER!A84=0,10000,INVOER!A84)</f>
        <v>105.2</v>
      </c>
    </row>
    <row r="126" spans="1:30" x14ac:dyDescent="0.2">
      <c r="A126" s="45">
        <f>A125*'Berekening trap 1'!H$58</f>
        <v>3.9074493763509288</v>
      </c>
      <c r="B126" s="46">
        <f t="shared" si="25"/>
        <v>3.8162447579759049</v>
      </c>
      <c r="C126" s="184">
        <f t="shared" si="18"/>
        <v>5.4938774897003837</v>
      </c>
      <c r="D126" s="203">
        <f t="shared" si="24"/>
        <v>0.13530537443386614</v>
      </c>
      <c r="E126" s="168">
        <f t="shared" si="26"/>
        <v>0.12771575506016378</v>
      </c>
      <c r="F126" s="45">
        <f t="shared" si="27"/>
        <v>0.12881016996644648</v>
      </c>
      <c r="G126" s="185">
        <f t="shared" si="28"/>
        <v>0.12141238273854217</v>
      </c>
      <c r="H126" s="172">
        <f t="shared" si="29"/>
        <v>0.13530537443386614</v>
      </c>
      <c r="I126" s="243">
        <f t="shared" si="30"/>
        <v>0.12881016996644648</v>
      </c>
      <c r="J126" s="395">
        <f>IF(INVOER!$S$36=1,100-H126*100,100-I126*100)</f>
        <v>87.118983003355353</v>
      </c>
      <c r="K126" s="43">
        <f t="shared" si="33"/>
        <v>18</v>
      </c>
      <c r="L126" s="6">
        <f t="shared" si="34"/>
        <v>3.8</v>
      </c>
      <c r="M126" s="6">
        <f t="shared" si="35"/>
        <v>4.2389999999999999</v>
      </c>
      <c r="N126" s="6">
        <f t="shared" si="36"/>
        <v>0.97950000000000004</v>
      </c>
      <c r="O126" s="6">
        <f t="shared" si="37"/>
        <v>0.97620000000000007</v>
      </c>
      <c r="P126" s="40">
        <f t="shared" si="31"/>
        <v>1.3806534795014791</v>
      </c>
      <c r="Q126" s="6">
        <f t="shared" si="32"/>
        <v>62.996908153964625</v>
      </c>
      <c r="R126" s="123">
        <f t="shared" si="38"/>
        <v>0.97870403429827524</v>
      </c>
      <c r="S126" s="6">
        <f t="shared" si="12"/>
        <v>97.870403429827519</v>
      </c>
      <c r="T126" s="249">
        <f t="shared" si="15"/>
        <v>0.13816408754580012</v>
      </c>
      <c r="U126" s="246">
        <f>'Berekening trap 1'!H126*$T126</f>
        <v>1.8694343598697948E-2</v>
      </c>
      <c r="V126" s="376">
        <f>'Berekening trap 1'!I126*$T126</f>
        <v>1.7796939600033503E-2</v>
      </c>
      <c r="Y126" s="43">
        <f t="shared" si="16"/>
        <v>50</v>
      </c>
      <c r="Z126" s="6">
        <f>IF(INVOER!A85=0,"x",INVOER!A85)</f>
        <v>117.1</v>
      </c>
      <c r="AA126" s="6">
        <f>IF(INVOER!B$36&gt;INVOER!B$37,INVOER!B85,100-INVOER!B85)</f>
        <v>30.290000000000006</v>
      </c>
      <c r="AB126" s="6">
        <f t="shared" si="17"/>
        <v>50</v>
      </c>
      <c r="AC126" s="6">
        <f t="shared" si="13"/>
        <v>0.30290000000000006</v>
      </c>
      <c r="AD126" s="44">
        <f>IF(INVOER!A85=0,10000,INVOER!A85)</f>
        <v>117.1</v>
      </c>
    </row>
    <row r="127" spans="1:30" x14ac:dyDescent="0.2">
      <c r="A127" s="43">
        <f>A126*'Berekening trap 1'!H$58</f>
        <v>4.0987909006481651</v>
      </c>
      <c r="B127" s="6">
        <f t="shared" si="25"/>
        <v>4.003120138499547</v>
      </c>
      <c r="C127" s="169">
        <f t="shared" si="18"/>
        <v>5.7629038524074137</v>
      </c>
      <c r="D127" s="202">
        <f t="shared" si="24"/>
        <v>0.12500441468717927</v>
      </c>
      <c r="E127" s="199">
        <f t="shared" si="26"/>
        <v>0.11914251993006632</v>
      </c>
      <c r="F127" s="43">
        <f t="shared" si="27"/>
        <v>0.11877216105095691</v>
      </c>
      <c r="G127" s="156">
        <f t="shared" si="28"/>
        <v>0.11306887793745679</v>
      </c>
      <c r="H127" s="171">
        <f t="shared" si="29"/>
        <v>0.12500441468717927</v>
      </c>
      <c r="I127" s="181">
        <f t="shared" si="30"/>
        <v>0.11877216105095691</v>
      </c>
      <c r="J127" s="393">
        <f>IF(INVOER!$S$36=1,100-H127*100,100-I127*100)</f>
        <v>88.122783894904302</v>
      </c>
      <c r="K127" s="41">
        <f t="shared" si="33"/>
        <v>18</v>
      </c>
      <c r="L127" s="5">
        <f t="shared" si="34"/>
        <v>3.8</v>
      </c>
      <c r="M127" s="5">
        <f t="shared" si="35"/>
        <v>4.2389999999999999</v>
      </c>
      <c r="N127" s="5">
        <f t="shared" si="36"/>
        <v>0.97950000000000004</v>
      </c>
      <c r="O127" s="5">
        <f t="shared" si="37"/>
        <v>0.97620000000000007</v>
      </c>
      <c r="P127" s="39">
        <f t="shared" si="31"/>
        <v>1.3806534795014791</v>
      </c>
      <c r="Q127" s="5">
        <f t="shared" si="32"/>
        <v>62.996908153964625</v>
      </c>
      <c r="R127" s="247">
        <f t="shared" si="38"/>
        <v>0.97726760114048294</v>
      </c>
      <c r="S127" s="5">
        <f t="shared" si="12"/>
        <v>97.72676011404829</v>
      </c>
      <c r="T127" s="251">
        <f t="shared" si="15"/>
        <v>0.1436433157792294</v>
      </c>
      <c r="U127" s="245">
        <f>'Berekening trap 1'!H127*$T127</f>
        <v>1.7956048612708234E-2</v>
      </c>
      <c r="V127" s="375">
        <f>'Berekening trap 1'!I127*$T127</f>
        <v>1.7060827035624095E-2</v>
      </c>
      <c r="Y127" s="43">
        <f t="shared" si="16"/>
        <v>51</v>
      </c>
      <c r="Z127" s="6">
        <f>IF(INVOER!A86=0,"x",INVOER!A86)</f>
        <v>200</v>
      </c>
      <c r="AA127" s="6">
        <f>IF(INVOER!B$36&gt;INVOER!B$37,INVOER!B86,100-INVOER!B86)</f>
        <v>0</v>
      </c>
      <c r="AB127" s="6">
        <f t="shared" si="17"/>
        <v>51</v>
      </c>
      <c r="AC127" s="6">
        <f t="shared" si="13"/>
        <v>0</v>
      </c>
      <c r="AD127" s="44">
        <f>IF(INVOER!A86=0,10000,INVOER!A86)</f>
        <v>200</v>
      </c>
    </row>
    <row r="128" spans="1:30" x14ac:dyDescent="0.2">
      <c r="A128" s="43">
        <f>A127*'Berekening trap 1'!H$58</f>
        <v>4.2995021122769828</v>
      </c>
      <c r="B128" s="6">
        <f t="shared" si="25"/>
        <v>4.1991465064625739</v>
      </c>
      <c r="C128" s="169">
        <f t="shared" si="18"/>
        <v>6.045104004294684</v>
      </c>
      <c r="D128" s="202">
        <f t="shared" si="24"/>
        <v>0.11517193901672623</v>
      </c>
      <c r="E128" s="199">
        <f t="shared" si="26"/>
        <v>0.11087732318009866</v>
      </c>
      <c r="F128" s="43">
        <f t="shared" si="27"/>
        <v>0.10920963248795448</v>
      </c>
      <c r="G128" s="156">
        <f t="shared" si="28"/>
        <v>0.10503912440590606</v>
      </c>
      <c r="H128" s="171">
        <f t="shared" si="29"/>
        <v>0.11517193901672623</v>
      </c>
      <c r="I128" s="181">
        <f t="shared" si="30"/>
        <v>0.10920963248795448</v>
      </c>
      <c r="J128" s="395">
        <f>IF(INVOER!$S$36=1,100-H128*100,100-I128*100)</f>
        <v>89.079036751204555</v>
      </c>
      <c r="K128" s="43">
        <f t="shared" si="33"/>
        <v>19</v>
      </c>
      <c r="L128" s="6">
        <f t="shared" si="34"/>
        <v>4.2389999999999999</v>
      </c>
      <c r="M128" s="6">
        <f t="shared" si="35"/>
        <v>4.7160000000000002</v>
      </c>
      <c r="N128" s="6">
        <f t="shared" si="36"/>
        <v>0.97620000000000007</v>
      </c>
      <c r="O128" s="6">
        <f t="shared" si="37"/>
        <v>0.97250000000000003</v>
      </c>
      <c r="P128" s="40">
        <f t="shared" si="31"/>
        <v>1.3728404361623689</v>
      </c>
      <c r="Q128" s="6">
        <f t="shared" si="32"/>
        <v>63.971949051567634</v>
      </c>
      <c r="R128" s="123">
        <f t="shared" si="38"/>
        <v>0.97573813944780241</v>
      </c>
      <c r="S128" s="6">
        <f t="shared" si="12"/>
        <v>97.573813944780241</v>
      </c>
      <c r="T128" s="249">
        <f t="shared" si="15"/>
        <v>0.15294616926805338</v>
      </c>
      <c r="U128" s="245">
        <f>'Berekening trap 1'!H128*$T128</f>
        <v>1.7615106879782131E-2</v>
      </c>
      <c r="V128" s="375">
        <f>'Berekening trap 1'!I128*$T128</f>
        <v>1.6703194936204587E-2</v>
      </c>
      <c r="Y128" s="43">
        <f t="shared" si="16"/>
        <v>52</v>
      </c>
      <c r="Z128" s="6" t="str">
        <f>IF(INVOER!A87=0,"x",INVOER!A87)</f>
        <v>x</v>
      </c>
      <c r="AA128" s="6">
        <f>IF(INVOER!B$36&gt;INVOER!B$37,INVOER!B87,100-INVOER!B87)</f>
        <v>100</v>
      </c>
      <c r="AB128" s="6">
        <f t="shared" si="17"/>
        <v>52</v>
      </c>
      <c r="AC128" s="6">
        <f t="shared" si="13"/>
        <v>1</v>
      </c>
      <c r="AD128" s="44">
        <f>IF(INVOER!A87=0,10000,INVOER!A87)</f>
        <v>10000</v>
      </c>
    </row>
    <row r="129" spans="1:30" x14ac:dyDescent="0.2">
      <c r="A129" s="43">
        <f>A128*'Berekening trap 1'!H$58</f>
        <v>4.5100418297871663</v>
      </c>
      <c r="B129" s="6">
        <f t="shared" si="25"/>
        <v>4.4047719710320745</v>
      </c>
      <c r="C129" s="169">
        <f t="shared" si="18"/>
        <v>6.3411230446737221</v>
      </c>
      <c r="D129" s="202">
        <f t="shared" si="24"/>
        <v>0.1058121597246533</v>
      </c>
      <c r="E129" s="199">
        <f t="shared" si="26"/>
        <v>0.10292868455068682</v>
      </c>
      <c r="F129" s="43">
        <f t="shared" si="27"/>
        <v>0.1001254530747457</v>
      </c>
      <c r="G129" s="156">
        <f t="shared" si="28"/>
        <v>9.7330784611179111E-2</v>
      </c>
      <c r="H129" s="171">
        <f t="shared" si="29"/>
        <v>0.1058121597246533</v>
      </c>
      <c r="I129" s="181">
        <f t="shared" si="30"/>
        <v>0.1001254530747457</v>
      </c>
      <c r="J129" s="395">
        <f>IF(INVOER!$S$36=1,100-H129*100,100-I129*100)</f>
        <v>89.987454692525432</v>
      </c>
      <c r="K129" s="43">
        <f t="shared" si="33"/>
        <v>19</v>
      </c>
      <c r="L129" s="6">
        <f t="shared" si="34"/>
        <v>4.2389999999999999</v>
      </c>
      <c r="M129" s="6">
        <f t="shared" si="35"/>
        <v>4.7160000000000002</v>
      </c>
      <c r="N129" s="6">
        <f t="shared" si="36"/>
        <v>0.97620000000000007</v>
      </c>
      <c r="O129" s="6">
        <f t="shared" si="37"/>
        <v>0.97250000000000003</v>
      </c>
      <c r="P129" s="40">
        <f t="shared" si="31"/>
        <v>1.3728404361623689</v>
      </c>
      <c r="Q129" s="6">
        <f t="shared" si="32"/>
        <v>63.971949051567634</v>
      </c>
      <c r="R129" s="123">
        <f t="shared" si="38"/>
        <v>0.97411385850811461</v>
      </c>
      <c r="S129" s="6">
        <f t="shared" si="12"/>
        <v>97.411385850811456</v>
      </c>
      <c r="T129" s="249">
        <f t="shared" si="15"/>
        <v>0.16242809396878055</v>
      </c>
      <c r="U129" s="245">
        <f>'Berekening trap 1'!H129*$T129</f>
        <v>1.7186867422795602E-2</v>
      </c>
      <c r="V129" s="375">
        <f>'Berekening trap 1'!I129*$T129</f>
        <v>1.6263186500691522E-2</v>
      </c>
      <c r="Y129" s="43">
        <f t="shared" si="16"/>
        <v>53</v>
      </c>
      <c r="Z129" s="6" t="str">
        <f>IF(INVOER!A88=0,"x",INVOER!A88)</f>
        <v>x</v>
      </c>
      <c r="AA129" s="6">
        <f>IF(INVOER!B$36&gt;INVOER!B$37,INVOER!B88,100-INVOER!B88)</f>
        <v>100</v>
      </c>
      <c r="AB129" s="6">
        <f t="shared" si="17"/>
        <v>53</v>
      </c>
      <c r="AC129" s="6">
        <f t="shared" si="13"/>
        <v>1</v>
      </c>
      <c r="AD129" s="44">
        <f>IF(INVOER!A88=0,10000,INVOER!A88)</f>
        <v>10000</v>
      </c>
    </row>
    <row r="130" spans="1:30" x14ac:dyDescent="0.2">
      <c r="A130" s="43">
        <f>A129*'Berekening trap 1'!H$58</f>
        <v>4.7308913393364547</v>
      </c>
      <c r="B130" s="6">
        <f t="shared" si="25"/>
        <v>4.6204665845618109</v>
      </c>
      <c r="C130" s="169">
        <f t="shared" si="18"/>
        <v>6.6516376623339255</v>
      </c>
      <c r="D130" s="202">
        <f t="shared" si="24"/>
        <v>9.6927512879019254E-2</v>
      </c>
      <c r="E130" s="199">
        <f t="shared" si="26"/>
        <v>9.530390770438267E-2</v>
      </c>
      <c r="F130" s="43">
        <f t="shared" si="27"/>
        <v>9.1520675245512509E-2</v>
      </c>
      <c r="G130" s="156">
        <f t="shared" si="28"/>
        <v>8.9950259487446227E-2</v>
      </c>
      <c r="H130" s="171">
        <f t="shared" si="29"/>
        <v>9.6927512879019254E-2</v>
      </c>
      <c r="I130" s="181">
        <f t="shared" si="30"/>
        <v>9.1520675245512509E-2</v>
      </c>
      <c r="J130" s="395">
        <f>IF(INVOER!$S$36=1,100-H130*100,100-I130*100)</f>
        <v>90.847932475448744</v>
      </c>
      <c r="K130" s="43">
        <f t="shared" si="33"/>
        <v>20</v>
      </c>
      <c r="L130" s="6">
        <f t="shared" si="34"/>
        <v>4.7160000000000002</v>
      </c>
      <c r="M130" s="6">
        <f t="shared" si="35"/>
        <v>5.2519999999999998</v>
      </c>
      <c r="N130" s="6">
        <f t="shared" si="36"/>
        <v>0.97250000000000003</v>
      </c>
      <c r="O130" s="6">
        <f t="shared" si="37"/>
        <v>0.96849999999999992</v>
      </c>
      <c r="P130" s="40">
        <f t="shared" si="31"/>
        <v>1.2805819504071856</v>
      </c>
      <c r="Q130" s="6">
        <f t="shared" si="32"/>
        <v>77.192224698616684</v>
      </c>
      <c r="R130" s="123">
        <f t="shared" si="38"/>
        <v>0.9723903020602882</v>
      </c>
      <c r="S130" s="6">
        <f t="shared" si="12"/>
        <v>97.239030206028815</v>
      </c>
      <c r="T130" s="249">
        <f t="shared" si="15"/>
        <v>0.1723556447826402</v>
      </c>
      <c r="U130" s="245">
        <f>'Berekening trap 1'!H130*$T130</f>
        <v>1.6706003979441025E-2</v>
      </c>
      <c r="V130" s="375">
        <f>'Berekening trap 1'!I130*$T130</f>
        <v>1.5774104992882926E-2</v>
      </c>
      <c r="Y130" s="43">
        <f t="shared" si="16"/>
        <v>54</v>
      </c>
      <c r="Z130" s="6" t="str">
        <f>IF(INVOER!A89=0,"x",INVOER!A89)</f>
        <v>x</v>
      </c>
      <c r="AA130" s="6">
        <f>IF(INVOER!B$36&gt;INVOER!B$37,INVOER!B89,100-INVOER!B89)</f>
        <v>100</v>
      </c>
      <c r="AB130" s="6">
        <f t="shared" si="17"/>
        <v>54</v>
      </c>
      <c r="AC130" s="6">
        <f t="shared" si="13"/>
        <v>1</v>
      </c>
      <c r="AD130" s="44">
        <f>IF(INVOER!A89=0,10000,INVOER!A89)</f>
        <v>10000</v>
      </c>
    </row>
    <row r="131" spans="1:30" x14ac:dyDescent="0.2">
      <c r="A131" s="45">
        <f>A130*'Berekening trap 1'!H$58</f>
        <v>4.962555494893242</v>
      </c>
      <c r="B131" s="46">
        <f t="shared" si="25"/>
        <v>4.8467234171148483</v>
      </c>
      <c r="C131" s="184">
        <f t="shared" si="18"/>
        <v>6.9773576824285826</v>
      </c>
      <c r="D131" s="203">
        <f t="shared" si="24"/>
        <v>8.8518608720749264E-2</v>
      </c>
      <c r="E131" s="168">
        <f t="shared" si="26"/>
        <v>8.8009016529763645E-2</v>
      </c>
      <c r="F131" s="45">
        <f t="shared" si="27"/>
        <v>8.3394497186564442E-2</v>
      </c>
      <c r="G131" s="185">
        <f t="shared" si="28"/>
        <v>8.2902631183179504E-2</v>
      </c>
      <c r="H131" s="172">
        <f t="shared" si="29"/>
        <v>8.8518608720749264E-2</v>
      </c>
      <c r="I131" s="243">
        <f t="shared" si="30"/>
        <v>8.3394497186564442E-2</v>
      </c>
      <c r="J131" s="394">
        <f>IF(INVOER!$S$36=1,100-H131*100,100-I131*100)</f>
        <v>91.660550281343561</v>
      </c>
      <c r="K131" s="43">
        <f t="shared" si="33"/>
        <v>20</v>
      </c>
      <c r="L131" s="6">
        <f t="shared" si="34"/>
        <v>4.7160000000000002</v>
      </c>
      <c r="M131" s="6">
        <f t="shared" si="35"/>
        <v>5.2519999999999998</v>
      </c>
      <c r="N131" s="6">
        <f t="shared" si="36"/>
        <v>0.97250000000000003</v>
      </c>
      <c r="O131" s="6">
        <f t="shared" si="37"/>
        <v>0.96849999999999992</v>
      </c>
      <c r="P131" s="40">
        <f t="shared" si="31"/>
        <v>1.2805819504071856</v>
      </c>
      <c r="Q131" s="6">
        <f t="shared" si="32"/>
        <v>77.192224698616684</v>
      </c>
      <c r="R131" s="123">
        <f t="shared" si="38"/>
        <v>0.97067300080056085</v>
      </c>
      <c r="S131" s="6">
        <f t="shared" si="12"/>
        <v>97.067300080056086</v>
      </c>
      <c r="T131" s="249">
        <f t="shared" si="15"/>
        <v>0.17173012597273551</v>
      </c>
      <c r="U131" s="246">
        <f>'Berekening trap 1'!H131*$T131</f>
        <v>1.5201311826545556E-2</v>
      </c>
      <c r="V131" s="376">
        <f>'Berekening trap 1'!I131*$T131</f>
        <v>1.4321347507281649E-2</v>
      </c>
      <c r="Y131" s="43">
        <f t="shared" si="16"/>
        <v>55</v>
      </c>
      <c r="Z131" s="6" t="str">
        <f>IF(INVOER!A90=0,"x",INVOER!A90)</f>
        <v>x</v>
      </c>
      <c r="AA131" s="6">
        <f>IF(INVOER!B$36&gt;INVOER!B$37,INVOER!B90,100-INVOER!B90)</f>
        <v>100</v>
      </c>
      <c r="AB131" s="6">
        <f t="shared" si="17"/>
        <v>55</v>
      </c>
      <c r="AC131" s="6">
        <f t="shared" si="13"/>
        <v>1</v>
      </c>
      <c r="AD131" s="44">
        <f>IF(INVOER!A90=0,10000,INVOER!A90)</f>
        <v>10000</v>
      </c>
    </row>
    <row r="132" spans="1:30" x14ac:dyDescent="0.2">
      <c r="A132" s="43">
        <f>A131*'Berekening trap 1'!H$58</f>
        <v>5.2055638723144373</v>
      </c>
      <c r="B132" s="6">
        <f t="shared" si="25"/>
        <v>5.0840596836038401</v>
      </c>
      <c r="C132" s="169">
        <f t="shared" si="18"/>
        <v>7.3190276891094372</v>
      </c>
      <c r="D132" s="202">
        <f t="shared" si="24"/>
        <v>8.0584199085479105E-2</v>
      </c>
      <c r="E132" s="199">
        <f t="shared" si="26"/>
        <v>8.1048700630218615E-2</v>
      </c>
      <c r="F132" s="43">
        <f t="shared" si="27"/>
        <v>7.5744242918240973E-2</v>
      </c>
      <c r="G132" s="156">
        <f t="shared" si="28"/>
        <v>7.6191615799486953E-2</v>
      </c>
      <c r="H132" s="171">
        <f t="shared" si="29"/>
        <v>8.0584199085479105E-2</v>
      </c>
      <c r="I132" s="181">
        <f t="shared" si="30"/>
        <v>7.5744242918240973E-2</v>
      </c>
      <c r="J132" s="395">
        <f>IF(INVOER!$S$36=1,100-H132*100,100-I132*100)</f>
        <v>92.425575708175899</v>
      </c>
      <c r="K132" s="41">
        <f t="shared" si="33"/>
        <v>20</v>
      </c>
      <c r="L132" s="5">
        <f t="shared" si="34"/>
        <v>4.7160000000000002</v>
      </c>
      <c r="M132" s="5">
        <f t="shared" si="35"/>
        <v>5.2519999999999998</v>
      </c>
      <c r="N132" s="5">
        <f t="shared" si="36"/>
        <v>0.97250000000000003</v>
      </c>
      <c r="O132" s="5">
        <f t="shared" si="37"/>
        <v>0.96849999999999992</v>
      </c>
      <c r="P132" s="39">
        <f t="shared" si="31"/>
        <v>1.2805819504071856</v>
      </c>
      <c r="Q132" s="5">
        <f t="shared" si="32"/>
        <v>77.192224698616684</v>
      </c>
      <c r="R132" s="247">
        <f t="shared" si="38"/>
        <v>0.96885060564260617</v>
      </c>
      <c r="S132" s="5">
        <f t="shared" si="12"/>
        <v>96.885060564260613</v>
      </c>
      <c r="T132" s="251">
        <f>IF(M132="x",0,(R131-R132)*100)</f>
        <v>0.18223951579546815</v>
      </c>
      <c r="U132" s="245">
        <f>'Berekening trap 1'!H132*$T132</f>
        <v>1.468562542210332E-2</v>
      </c>
      <c r="V132" s="375">
        <f>'Berekening trap 1'!I132*$T132</f>
        <v>1.3803594153714552E-2</v>
      </c>
      <c r="Y132" s="43">
        <f t="shared" si="16"/>
        <v>56</v>
      </c>
      <c r="Z132" s="6" t="str">
        <f>IF(INVOER!A91=0,"x",INVOER!A91)</f>
        <v>x</v>
      </c>
      <c r="AA132" s="6">
        <f>IF(INVOER!B$36&gt;INVOER!B$37,INVOER!B91,100-INVOER!B91)</f>
        <v>100</v>
      </c>
      <c r="AB132" s="6">
        <f t="shared" si="17"/>
        <v>56</v>
      </c>
      <c r="AC132" s="6">
        <f t="shared" si="13"/>
        <v>1</v>
      </c>
      <c r="AD132" s="44">
        <f>IF(INVOER!A91=0,10000,INVOER!A91)</f>
        <v>10000</v>
      </c>
    </row>
    <row r="133" spans="1:30" x14ac:dyDescent="0.2">
      <c r="A133" s="43">
        <f>A132*'Berekening trap 1'!H$58</f>
        <v>5.4604719799366652</v>
      </c>
      <c r="B133" s="6">
        <f t="shared" si="25"/>
        <v>5.3330179261255513</v>
      </c>
      <c r="C133" s="169">
        <f t="shared" si="18"/>
        <v>7.6774287276190414</v>
      </c>
      <c r="D133" s="202">
        <f t="shared" si="24"/>
        <v>7.3121163049755467E-2</v>
      </c>
      <c r="E133" s="199">
        <f t="shared" si="26"/>
        <v>7.4426271123427104E-2</v>
      </c>
      <c r="F133" s="43">
        <f t="shared" si="27"/>
        <v>6.8565361400455313E-2</v>
      </c>
      <c r="G133" s="156">
        <f t="shared" si="28"/>
        <v>6.981952719020515E-2</v>
      </c>
      <c r="H133" s="171">
        <f t="shared" si="29"/>
        <v>7.3121163049755467E-2</v>
      </c>
      <c r="I133" s="181">
        <f t="shared" si="30"/>
        <v>6.8565361400455313E-2</v>
      </c>
      <c r="J133" s="395">
        <f>IF(INVOER!$S$36=1,100-H133*100,100-I133*100)</f>
        <v>93.143463859954466</v>
      </c>
      <c r="K133" s="43">
        <f t="shared" si="33"/>
        <v>21</v>
      </c>
      <c r="L133" s="6">
        <f t="shared" si="34"/>
        <v>5.2519999999999998</v>
      </c>
      <c r="M133" s="6">
        <f t="shared" si="35"/>
        <v>5.8449999999999998</v>
      </c>
      <c r="N133" s="6">
        <f t="shared" si="36"/>
        <v>0.96849999999999992</v>
      </c>
      <c r="O133" s="6">
        <f t="shared" si="37"/>
        <v>0.96389999999999998</v>
      </c>
      <c r="P133" s="40">
        <f t="shared" si="31"/>
        <v>1.2962722194327394</v>
      </c>
      <c r="Q133" s="6">
        <f t="shared" si="32"/>
        <v>74.721401050245404</v>
      </c>
      <c r="R133" s="123">
        <f t="shared" si="38"/>
        <v>0.96689703392719106</v>
      </c>
      <c r="S133" s="6">
        <f t="shared" si="12"/>
        <v>96.68970339271911</v>
      </c>
      <c r="T133" s="249">
        <f t="shared" si="15"/>
        <v>0.19535717154151033</v>
      </c>
      <c r="U133" s="245">
        <f>'Berekening trap 1'!H133*$T133</f>
        <v>1.4284743593225825E-2</v>
      </c>
      <c r="V133" s="375">
        <f>'Berekening trap 1'!I133*$T133</f>
        <v>1.33947350689144E-2</v>
      </c>
      <c r="Y133" s="43">
        <f t="shared" si="16"/>
        <v>57</v>
      </c>
      <c r="Z133" s="6" t="str">
        <f>IF(INVOER!A92=0,"x",INVOER!A92)</f>
        <v>x</v>
      </c>
      <c r="AA133" s="6">
        <f>IF(INVOER!B$36&gt;INVOER!B$37,INVOER!B92,100-INVOER!B92)</f>
        <v>100</v>
      </c>
      <c r="AB133" s="6">
        <f t="shared" si="17"/>
        <v>57</v>
      </c>
      <c r="AC133" s="6">
        <f t="shared" si="13"/>
        <v>1</v>
      </c>
      <c r="AD133" s="44">
        <f>IF(INVOER!A92=0,10000,INVOER!A92)</f>
        <v>10000</v>
      </c>
    </row>
    <row r="134" spans="1:30" x14ac:dyDescent="0.2">
      <c r="A134" s="43">
        <f>A133*'Berekening trap 1'!H$58</f>
        <v>5.727862528448175</v>
      </c>
      <c r="B134" s="6">
        <f t="shared" si="25"/>
        <v>5.5941672541924206</v>
      </c>
      <c r="C134" s="169">
        <f t="shared" si="18"/>
        <v>8.0533800897318617</v>
      </c>
      <c r="D134" s="202">
        <f t="shared" si="24"/>
        <v>6.612451179018862E-2</v>
      </c>
      <c r="E134" s="199">
        <f t="shared" si="26"/>
        <v>6.8143627797005626E-2</v>
      </c>
      <c r="F134" s="43">
        <f t="shared" si="27"/>
        <v>6.1851445468301319E-2</v>
      </c>
      <c r="G134" s="156">
        <f t="shared" si="28"/>
        <v>6.3787252794967927E-2</v>
      </c>
      <c r="H134" s="171">
        <f t="shared" si="29"/>
        <v>6.8143627797005626E-2</v>
      </c>
      <c r="I134" s="181">
        <f t="shared" si="30"/>
        <v>6.3787252794967927E-2</v>
      </c>
      <c r="J134" s="395">
        <f>IF(INVOER!$S$36=1,100-H134*100,100-I134*100)</f>
        <v>93.621274720503209</v>
      </c>
      <c r="K134" s="43">
        <f t="shared" si="33"/>
        <v>21</v>
      </c>
      <c r="L134" s="6">
        <f t="shared" si="34"/>
        <v>5.2519999999999998</v>
      </c>
      <c r="M134" s="6">
        <f t="shared" si="35"/>
        <v>5.8449999999999998</v>
      </c>
      <c r="N134" s="6">
        <f t="shared" si="36"/>
        <v>0.96849999999999992</v>
      </c>
      <c r="O134" s="6">
        <f t="shared" si="37"/>
        <v>0.96389999999999998</v>
      </c>
      <c r="P134" s="40">
        <f t="shared" si="31"/>
        <v>1.2962722194327394</v>
      </c>
      <c r="Q134" s="6">
        <f t="shared" si="32"/>
        <v>74.721401050245404</v>
      </c>
      <c r="R134" s="123">
        <f t="shared" si="38"/>
        <v>0.96481836584481728</v>
      </c>
      <c r="S134" s="6">
        <f t="shared" si="12"/>
        <v>96.481836584481727</v>
      </c>
      <c r="T134" s="249">
        <f t="shared" si="15"/>
        <v>0.20786680823737802</v>
      </c>
      <c r="U134" s="245">
        <f>'Berekening trap 1'!H134*$T134</f>
        <v>1.4164798411879431E-2</v>
      </c>
      <c r="V134" s="375">
        <f>'Berekening trap 1'!I134*$T134</f>
        <v>1.3259252644720753E-2</v>
      </c>
      <c r="Y134" s="43">
        <f t="shared" si="16"/>
        <v>58</v>
      </c>
      <c r="Z134" s="6" t="str">
        <f>IF(INVOER!A93=0,"x",INVOER!A93)</f>
        <v>x</v>
      </c>
      <c r="AA134" s="6">
        <f>IF(INVOER!B$36&gt;INVOER!B$37,INVOER!B93,100-INVOER!B93)</f>
        <v>100</v>
      </c>
      <c r="AB134" s="6">
        <f t="shared" si="17"/>
        <v>58</v>
      </c>
      <c r="AC134" s="6">
        <f t="shared" si="13"/>
        <v>1</v>
      </c>
      <c r="AD134" s="44">
        <f>IF(INVOER!A93=0,10000,INVOER!A93)</f>
        <v>10000</v>
      </c>
    </row>
    <row r="135" spans="1:30" x14ac:dyDescent="0.2">
      <c r="A135" s="43">
        <f>A134*'Berekening trap 1'!H$58</f>
        <v>6.0083467629443374</v>
      </c>
      <c r="B135" s="6">
        <f t="shared" si="25"/>
        <v>5.8681046456962562</v>
      </c>
      <c r="C135" s="169">
        <f t="shared" si="18"/>
        <v>8.4477411866255494</v>
      </c>
      <c r="D135" s="202">
        <f t="shared" si="24"/>
        <v>5.9587413381888749E-2</v>
      </c>
      <c r="E135" s="199">
        <f t="shared" si="26"/>
        <v>6.2201238558313159E-2</v>
      </c>
      <c r="F135" s="43">
        <f t="shared" si="27"/>
        <v>5.5594271113738179E-2</v>
      </c>
      <c r="G135" s="156">
        <f t="shared" si="28"/>
        <v>5.8094242349372022E-2</v>
      </c>
      <c r="H135" s="171">
        <f t="shared" si="29"/>
        <v>6.2201238558313159E-2</v>
      </c>
      <c r="I135" s="181">
        <f t="shared" si="30"/>
        <v>5.8094242349372022E-2</v>
      </c>
      <c r="J135" s="395">
        <f>IF(INVOER!$S$36=1,100-H135*100,100-I135*100)</f>
        <v>94.190575765062803</v>
      </c>
      <c r="K135" s="43">
        <f t="shared" si="33"/>
        <v>22</v>
      </c>
      <c r="L135" s="6">
        <f t="shared" si="34"/>
        <v>5.8449999999999998</v>
      </c>
      <c r="M135" s="6">
        <f t="shared" si="35"/>
        <v>6.5049999999999999</v>
      </c>
      <c r="N135" s="6">
        <f t="shared" si="36"/>
        <v>0.96389999999999998</v>
      </c>
      <c r="O135" s="6">
        <f t="shared" si="37"/>
        <v>0.95889999999999997</v>
      </c>
      <c r="P135" s="40">
        <f t="shared" si="31"/>
        <v>1.2366142183339455</v>
      </c>
      <c r="Q135" s="6">
        <f t="shared" si="32"/>
        <v>84.49551311672198</v>
      </c>
      <c r="R135" s="123">
        <f t="shared" si="38"/>
        <v>0.96267197939392513</v>
      </c>
      <c r="S135" s="6">
        <f t="shared" si="12"/>
        <v>96.267197939392517</v>
      </c>
      <c r="T135" s="249">
        <f t="shared" si="15"/>
        <v>0.21463864508921571</v>
      </c>
      <c r="U135" s="245">
        <f>'Berekening trap 1'!H135*$T135</f>
        <v>1.3350789567027418E-2</v>
      </c>
      <c r="V135" s="375">
        <f>'Berekening trap 1'!I135*$T135</f>
        <v>1.2469269465353747E-2</v>
      </c>
      <c r="Y135" s="43">
        <f t="shared" si="16"/>
        <v>59</v>
      </c>
      <c r="Z135" s="6" t="str">
        <f>IF(INVOER!A94=0,"x",INVOER!A94)</f>
        <v>x</v>
      </c>
      <c r="AA135" s="6">
        <f>IF(INVOER!B$36&gt;INVOER!B$37,INVOER!B94,100-INVOER!B94)</f>
        <v>100</v>
      </c>
      <c r="AB135" s="6">
        <f t="shared" si="17"/>
        <v>59</v>
      </c>
      <c r="AC135" s="6">
        <f t="shared" si="13"/>
        <v>1</v>
      </c>
      <c r="AD135" s="44">
        <f>IF(INVOER!A94=0,10000,INVOER!A94)</f>
        <v>10000</v>
      </c>
    </row>
    <row r="136" spans="1:30" x14ac:dyDescent="0.2">
      <c r="A136" s="45">
        <f>A135*'Berekening trap 1'!H$58</f>
        <v>6.3025658602117636</v>
      </c>
      <c r="B136" s="46">
        <f t="shared" si="25"/>
        <v>6.1554563115780505</v>
      </c>
      <c r="C136" s="184">
        <f t="shared" si="18"/>
        <v>8.8614135134637291</v>
      </c>
      <c r="D136" s="203">
        <f t="shared" si="24"/>
        <v>5.3501237961455131E-2</v>
      </c>
      <c r="E136" s="168">
        <f t="shared" si="26"/>
        <v>5.6598131981415521E-2</v>
      </c>
      <c r="F136" s="45">
        <f t="shared" si="27"/>
        <v>4.9783857302790273E-2</v>
      </c>
      <c r="G136" s="185">
        <f t="shared" si="28"/>
        <v>5.273851016194292E-2</v>
      </c>
      <c r="H136" s="172">
        <f t="shared" si="29"/>
        <v>5.6598131981415521E-2</v>
      </c>
      <c r="I136" s="243">
        <f t="shared" si="30"/>
        <v>5.273851016194292E-2</v>
      </c>
      <c r="J136" s="395">
        <f>IF(INVOER!$S$36=1,100-H136*100,100-I136*100)</f>
        <v>94.726148983805714</v>
      </c>
      <c r="K136" s="43">
        <f t="shared" si="33"/>
        <v>22</v>
      </c>
      <c r="L136" s="6">
        <f t="shared" si="34"/>
        <v>5.8449999999999998</v>
      </c>
      <c r="M136" s="6">
        <f t="shared" si="35"/>
        <v>6.5049999999999999</v>
      </c>
      <c r="N136" s="6">
        <f t="shared" si="36"/>
        <v>0.96389999999999998</v>
      </c>
      <c r="O136" s="6">
        <f t="shared" si="37"/>
        <v>0.95889999999999997</v>
      </c>
      <c r="P136" s="40">
        <f t="shared" si="31"/>
        <v>1.2366142183339455</v>
      </c>
      <c r="Q136" s="6">
        <f t="shared" si="32"/>
        <v>84.49551311672198</v>
      </c>
      <c r="R136" s="123">
        <f t="shared" si="38"/>
        <v>0.9604441944276052</v>
      </c>
      <c r="S136" s="6">
        <f t="shared" si="12"/>
        <v>96.044419442760514</v>
      </c>
      <c r="T136" s="249">
        <f t="shared" si="15"/>
        <v>0.22277849663199234</v>
      </c>
      <c r="U136" s="246">
        <f>'Berekening trap 1'!H136*$T136</f>
        <v>1.2608846754998836E-2</v>
      </c>
      <c r="V136" s="376">
        <f>'Berekening trap 1'!I136*$T136</f>
        <v>1.1749006008488695E-2</v>
      </c>
      <c r="Y136" s="43">
        <f t="shared" si="16"/>
        <v>60</v>
      </c>
      <c r="Z136" s="6" t="str">
        <f>IF(INVOER!A95=0,"x",INVOER!A95)</f>
        <v>x</v>
      </c>
      <c r="AA136" s="6">
        <f>IF(INVOER!B$36&gt;INVOER!B$37,INVOER!B95,100-INVOER!B95)</f>
        <v>100</v>
      </c>
      <c r="AB136" s="6">
        <f t="shared" si="17"/>
        <v>60</v>
      </c>
      <c r="AC136" s="6">
        <f t="shared" si="13"/>
        <v>1</v>
      </c>
      <c r="AD136" s="44">
        <f>IF(INVOER!A95=0,10000,INVOER!A95)</f>
        <v>10000</v>
      </c>
    </row>
    <row r="137" spans="1:30" x14ac:dyDescent="0.2">
      <c r="A137" s="43">
        <f>A136*'Berekening trap 1'!H$58</f>
        <v>6.6111923944351814</v>
      </c>
      <c r="B137" s="6">
        <f t="shared" si="25"/>
        <v>6.4568791273234725</v>
      </c>
      <c r="C137" s="169">
        <f t="shared" si="18"/>
        <v>9.2953427101812345</v>
      </c>
      <c r="D137" s="202">
        <f t="shared" si="24"/>
        <v>4.7855623344034239E-2</v>
      </c>
      <c r="E137" s="199">
        <f t="shared" si="26"/>
        <v>5.1331903592070849E-2</v>
      </c>
      <c r="F137" s="43">
        <f t="shared" si="27"/>
        <v>4.44085461601781E-2</v>
      </c>
      <c r="G137" s="156">
        <f t="shared" si="28"/>
        <v>4.7716651466806419E-2</v>
      </c>
      <c r="H137" s="171">
        <f t="shared" si="29"/>
        <v>5.1331903592070849E-2</v>
      </c>
      <c r="I137" s="181">
        <f t="shared" si="30"/>
        <v>4.7716651466806419E-2</v>
      </c>
      <c r="J137" s="393">
        <f>IF(INVOER!$S$36=1,100-H137*100,100-I137*100)</f>
        <v>95.228334853319353</v>
      </c>
      <c r="K137" s="41">
        <f t="shared" si="33"/>
        <v>23</v>
      </c>
      <c r="L137" s="5">
        <f t="shared" si="34"/>
        <v>6.5049999999999999</v>
      </c>
      <c r="M137" s="5">
        <f t="shared" si="35"/>
        <v>7.2409999999999997</v>
      </c>
      <c r="N137" s="5">
        <f t="shared" si="36"/>
        <v>0.95889999999999997</v>
      </c>
      <c r="O137" s="5">
        <f t="shared" si="37"/>
        <v>0.95330000000000004</v>
      </c>
      <c r="P137" s="39">
        <f t="shared" si="31"/>
        <v>1.2188160109378392</v>
      </c>
      <c r="Q137" s="5">
        <f t="shared" si="32"/>
        <v>87.719308677234139</v>
      </c>
      <c r="R137" s="247">
        <f t="shared" si="38"/>
        <v>0.9580981909562003</v>
      </c>
      <c r="S137" s="5">
        <f t="shared" si="12"/>
        <v>95.809819095620028</v>
      </c>
      <c r="T137" s="251">
        <f t="shared" si="15"/>
        <v>0.23460034714049005</v>
      </c>
      <c r="U137" s="245">
        <f>'Berekening trap 1'!H137*$T137</f>
        <v>1.2042482402081989E-2</v>
      </c>
      <c r="V137" s="375">
        <f>'Berekening trap 1'!I137*$T137</f>
        <v>1.1194342998494559E-2</v>
      </c>
      <c r="Y137" s="43">
        <f t="shared" si="16"/>
        <v>61</v>
      </c>
      <c r="Z137" s="6" t="str">
        <f>IF(INVOER!A96=0,"x",INVOER!A96)</f>
        <v>x</v>
      </c>
      <c r="AA137" s="6">
        <f>IF(INVOER!B$36&gt;INVOER!B$37,INVOER!B96,100-INVOER!B96)</f>
        <v>100</v>
      </c>
      <c r="AB137" s="6">
        <f t="shared" si="17"/>
        <v>61</v>
      </c>
      <c r="AC137" s="6">
        <f t="shared" si="13"/>
        <v>1</v>
      </c>
      <c r="AD137" s="44">
        <f>IF(INVOER!A96=0,10000,INVOER!A96)</f>
        <v>10000</v>
      </c>
    </row>
    <row r="138" spans="1:30" x14ac:dyDescent="0.2">
      <c r="A138" s="43">
        <f>A137*'Berekening trap 1'!H$58</f>
        <v>6.9349318746776287</v>
      </c>
      <c r="B138" s="6">
        <f t="shared" si="25"/>
        <v>6.7730621345564046</v>
      </c>
      <c r="C138" s="169">
        <f t="shared" si="18"/>
        <v>9.7505207231827136</v>
      </c>
      <c r="D138" s="202">
        <f t="shared" si="24"/>
        <v>4.2638560819216444E-2</v>
      </c>
      <c r="E138" s="199">
        <f t="shared" si="26"/>
        <v>4.6398736343498372E-2</v>
      </c>
      <c r="F138" s="43">
        <f t="shared" si="27"/>
        <v>3.9455102971672623E-2</v>
      </c>
      <c r="G138" s="156">
        <f t="shared" si="28"/>
        <v>4.3023873155601425E-2</v>
      </c>
      <c r="H138" s="171">
        <f t="shared" si="29"/>
        <v>4.6398736343498372E-2</v>
      </c>
      <c r="I138" s="181">
        <f t="shared" si="30"/>
        <v>4.3023873155601425E-2</v>
      </c>
      <c r="J138" s="395">
        <f>IF(INVOER!$S$36=1,100-H138*100,100-I138*100)</f>
        <v>95.697612684439861</v>
      </c>
      <c r="K138" s="43">
        <f t="shared" si="33"/>
        <v>23</v>
      </c>
      <c r="L138" s="6">
        <f t="shared" si="34"/>
        <v>6.5049999999999999</v>
      </c>
      <c r="M138" s="6">
        <f t="shared" si="35"/>
        <v>7.2409999999999997</v>
      </c>
      <c r="N138" s="6">
        <f t="shared" si="36"/>
        <v>0.95889999999999997</v>
      </c>
      <c r="O138" s="6">
        <f t="shared" si="37"/>
        <v>0.95330000000000004</v>
      </c>
      <c r="P138" s="40">
        <f t="shared" si="31"/>
        <v>1.2188160109378392</v>
      </c>
      <c r="Q138" s="6">
        <f t="shared" si="32"/>
        <v>87.719308677234139</v>
      </c>
      <c r="R138" s="123">
        <f t="shared" si="38"/>
        <v>0.95564069548042252</v>
      </c>
      <c r="S138" s="6">
        <f t="shared" si="12"/>
        <v>95.564069548042255</v>
      </c>
      <c r="T138" s="249">
        <f t="shared" si="15"/>
        <v>0.24574954757777823</v>
      </c>
      <c r="U138" s="245">
        <f>'Berekening trap 1'!H138*$T138</f>
        <v>1.140246846459534E-2</v>
      </c>
      <c r="V138" s="375">
        <f>'Berekening trap 1'!I138*$T138</f>
        <v>1.0573097363032767E-2</v>
      </c>
      <c r="Y138" s="43">
        <f t="shared" si="16"/>
        <v>62</v>
      </c>
      <c r="Z138" s="6" t="str">
        <f>IF(INVOER!A97=0,"x",INVOER!A97)</f>
        <v>x</v>
      </c>
      <c r="AA138" s="6">
        <f>IF(INVOER!B$36&gt;INVOER!B$37,INVOER!B97,100-INVOER!B97)</f>
        <v>100</v>
      </c>
      <c r="AB138" s="6">
        <f t="shared" si="17"/>
        <v>62</v>
      </c>
      <c r="AC138" s="6">
        <f t="shared" si="13"/>
        <v>1</v>
      </c>
      <c r="AD138" s="44">
        <f>IF(INVOER!A97=0,10000,INVOER!A97)</f>
        <v>10000</v>
      </c>
    </row>
    <row r="139" spans="1:30" x14ac:dyDescent="0.2">
      <c r="A139" s="43">
        <f>A138*'Berekening trap 1'!H$58</f>
        <v>7.2745243576485805</v>
      </c>
      <c r="B139" s="6">
        <f t="shared" ref="B139:B174" si="39">(A138+A139)/2</f>
        <v>7.1047281161631046</v>
      </c>
      <c r="C139" s="169">
        <f t="shared" si="18"/>
        <v>10.227988072896119</v>
      </c>
      <c r="D139" s="202">
        <f t="shared" si="24"/>
        <v>3.7836500464076273E-2</v>
      </c>
      <c r="E139" s="199">
        <f t="shared" ref="E139:E175" si="40">IF(C139-$K$36&gt;0,EXP(-(((C139-$K$36)/$K$38)^$K$40)),1)</f>
        <v>4.1793435523696854E-2</v>
      </c>
      <c r="F139" s="43">
        <f t="shared" ref="F139:F175" si="41">D139^($B$54*$B$63)</f>
        <v>3.4908835057127136E-2</v>
      </c>
      <c r="G139" s="156">
        <f t="shared" ref="G139:G175" si="42">E139^($B$54*$B$63)</f>
        <v>3.8654038964968079E-2</v>
      </c>
      <c r="H139" s="171">
        <f t="shared" ref="H139:H175" si="43">IF(C139&lt;$K$41,D139,E139)</f>
        <v>4.1793435523696854E-2</v>
      </c>
      <c r="I139" s="181">
        <f t="shared" ref="I139:I175" si="44">IF(C139&lt;$K$41,F139,G139)</f>
        <v>3.8654038964968079E-2</v>
      </c>
      <c r="J139" s="395">
        <f>IF(INVOER!$S$36=1,100-H139*100,100-I139*100)</f>
        <v>96.134596103503185</v>
      </c>
      <c r="K139" s="43">
        <f t="shared" si="33"/>
        <v>24</v>
      </c>
      <c r="L139" s="6">
        <f t="shared" si="34"/>
        <v>7.2409999999999997</v>
      </c>
      <c r="M139" s="6">
        <f t="shared" si="35"/>
        <v>8.0589999999999993</v>
      </c>
      <c r="N139" s="6">
        <f t="shared" si="36"/>
        <v>0.95330000000000004</v>
      </c>
      <c r="O139" s="6">
        <f t="shared" si="37"/>
        <v>0.94700000000000006</v>
      </c>
      <c r="P139" s="40">
        <f t="shared" ref="P139:P175" si="45">(LN(LN(N139)/LN(O139)))/LN(L139/M139)</f>
        <v>1.2130671337261894</v>
      </c>
      <c r="Q139" s="6">
        <f t="shared" ref="Q139:Q175" si="46">L139/((-LN(N139))^(1/P139))</f>
        <v>88.762408699703172</v>
      </c>
      <c r="R139" s="123">
        <f t="shared" si="38"/>
        <v>0.95304385104829048</v>
      </c>
      <c r="S139" s="6">
        <f t="shared" si="12"/>
        <v>95.304385104829052</v>
      </c>
      <c r="T139" s="249">
        <f t="shared" si="15"/>
        <v>0.25968444321320394</v>
      </c>
      <c r="U139" s="245">
        <f>'Berekening trap 1'!H139*$T139</f>
        <v>1.0853105033938156E-2</v>
      </c>
      <c r="V139" s="375">
        <f>'Berekening trap 1'!I139*$T139</f>
        <v>1.0037852586559226E-2</v>
      </c>
      <c r="Y139" s="43">
        <f t="shared" si="16"/>
        <v>63</v>
      </c>
      <c r="Z139" s="6" t="str">
        <f>IF(INVOER!A98=0,"x",INVOER!A98)</f>
        <v>x</v>
      </c>
      <c r="AA139" s="6">
        <f>IF(INVOER!B$36&gt;INVOER!B$37,INVOER!B98,100-INVOER!B98)</f>
        <v>100</v>
      </c>
      <c r="AB139" s="6">
        <f t="shared" si="17"/>
        <v>63</v>
      </c>
      <c r="AC139" s="6">
        <f t="shared" si="13"/>
        <v>1</v>
      </c>
      <c r="AD139" s="44">
        <f>IF(INVOER!A98=0,10000,INVOER!A98)</f>
        <v>10000</v>
      </c>
    </row>
    <row r="140" spans="1:30" x14ac:dyDescent="0.2">
      <c r="A140" s="43">
        <f>A139*'Berekening trap 1'!H$58</f>
        <v>7.6307461394467451</v>
      </c>
      <c r="B140" s="6">
        <f t="shared" si="39"/>
        <v>7.4526352485476632</v>
      </c>
      <c r="C140" s="169">
        <f t="shared" si="18"/>
        <v>10.728836232364669</v>
      </c>
      <c r="D140" s="202">
        <f t="shared" si="24"/>
        <v>3.3434474912308942E-2</v>
      </c>
      <c r="E140" s="199">
        <f t="shared" si="40"/>
        <v>3.7509478102201614E-2</v>
      </c>
      <c r="F140" s="43">
        <f t="shared" si="41"/>
        <v>3.0753728163950521E-2</v>
      </c>
      <c r="G140" s="156">
        <f t="shared" si="42"/>
        <v>3.4599728950612557E-2</v>
      </c>
      <c r="H140" s="171">
        <f t="shared" si="43"/>
        <v>3.7509478102201614E-2</v>
      </c>
      <c r="I140" s="181">
        <f t="shared" si="44"/>
        <v>3.4599728950612557E-2</v>
      </c>
      <c r="J140" s="395">
        <f>IF(INVOER!$S$36=1,100-H140*100,100-I140*100)</f>
        <v>96.540027104938744</v>
      </c>
      <c r="K140" s="43">
        <f t="shared" ref="K140:K171" si="47">VLOOKUP(A140,Z$76:AB$146,3)</f>
        <v>24</v>
      </c>
      <c r="L140" s="6">
        <f t="shared" ref="L140:L171" si="48">IF(K140=0,VLOOKUP(1,Y$77:AA$146,2),VLOOKUP(K140,Y$76:Z$145,2))</f>
        <v>7.2409999999999997</v>
      </c>
      <c r="M140" s="6">
        <f t="shared" ref="M140:M171" si="49">IF(K140=0,VLOOKUP(2,Y$77:AA$145,2),VLOOKUP(K140+1,Y$77:Z$145,2))</f>
        <v>8.0589999999999993</v>
      </c>
      <c r="N140" s="6">
        <f t="shared" ref="N140:N171" si="50">(VLOOKUP(L140,Z$76:AA$146,2))/100</f>
        <v>0.95330000000000004</v>
      </c>
      <c r="O140" s="6">
        <f t="shared" ref="O140:O171" si="51">(VLOOKUP(M140,Z$76:AA$145,2))/100</f>
        <v>0.94700000000000006</v>
      </c>
      <c r="P140" s="40">
        <f t="shared" si="45"/>
        <v>1.2130671337261894</v>
      </c>
      <c r="Q140" s="6">
        <f t="shared" si="46"/>
        <v>88.762408699703172</v>
      </c>
      <c r="R140" s="123">
        <f t="shared" ref="R140:R171" si="52">EXP(-((A140/Q140)^P140))</f>
        <v>0.95031100137563695</v>
      </c>
      <c r="S140" s="6">
        <f t="shared" si="12"/>
        <v>95.031100137563698</v>
      </c>
      <c r="T140" s="249">
        <f t="shared" si="15"/>
        <v>0.27328496726535256</v>
      </c>
      <c r="U140" s="245">
        <f>'Berekening trap 1'!H140*$T140</f>
        <v>1.0250776495300627E-2</v>
      </c>
      <c r="V140" s="375">
        <f>'Berekening trap 1'!I140*$T140</f>
        <v>9.4555857936582249E-3</v>
      </c>
      <c r="Y140" s="43">
        <f t="shared" si="16"/>
        <v>64</v>
      </c>
      <c r="Z140" s="6" t="str">
        <f>IF(INVOER!A99=0,"x",INVOER!A99)</f>
        <v>x</v>
      </c>
      <c r="AA140" s="6">
        <f>IF(INVOER!B$36&gt;INVOER!B$37,INVOER!B99,100-INVOER!B99)</f>
        <v>100</v>
      </c>
      <c r="AB140" s="6">
        <f t="shared" si="17"/>
        <v>64</v>
      </c>
      <c r="AC140" s="6">
        <f t="shared" si="13"/>
        <v>1</v>
      </c>
      <c r="AD140" s="44">
        <f>IF(INVOER!A99=0,10000,INVOER!A99)</f>
        <v>10000</v>
      </c>
    </row>
    <row r="141" spans="1:30" x14ac:dyDescent="0.2">
      <c r="A141" s="45">
        <f>A140*'Berekening trap 1'!H$58</f>
        <v>8.0044115301447878</v>
      </c>
      <c r="B141" s="46">
        <f t="shared" si="39"/>
        <v>7.817578834795766</v>
      </c>
      <c r="C141" s="184">
        <f t="shared" ref="C141:C185" si="53">B141/$B$51</f>
        <v>11.254210122314639</v>
      </c>
      <c r="D141" s="203">
        <f t="shared" si="24"/>
        <v>2.9416240116407841E-2</v>
      </c>
      <c r="E141" s="168">
        <f t="shared" si="40"/>
        <v>3.353907627438811E-2</v>
      </c>
      <c r="F141" s="45">
        <f t="shared" si="41"/>
        <v>2.6972598632869615E-2</v>
      </c>
      <c r="G141" s="185">
        <f t="shared" si="42"/>
        <v>3.0852312820148529E-2</v>
      </c>
      <c r="H141" s="172">
        <f t="shared" si="43"/>
        <v>3.353907627438811E-2</v>
      </c>
      <c r="I141" s="243">
        <f t="shared" si="44"/>
        <v>3.0852312820148529E-2</v>
      </c>
      <c r="J141" s="394">
        <f>IF(INVOER!$S$36=1,100-H141*100,100-I141*100)</f>
        <v>96.91476871798514</v>
      </c>
      <c r="K141" s="43">
        <f t="shared" si="47"/>
        <v>24</v>
      </c>
      <c r="L141" s="6">
        <f t="shared" si="48"/>
        <v>7.2409999999999997</v>
      </c>
      <c r="M141" s="6">
        <f t="shared" si="49"/>
        <v>8.0589999999999993</v>
      </c>
      <c r="N141" s="6">
        <f t="shared" si="50"/>
        <v>0.95330000000000004</v>
      </c>
      <c r="O141" s="6">
        <f t="shared" si="51"/>
        <v>0.94700000000000006</v>
      </c>
      <c r="P141" s="40">
        <f t="shared" si="45"/>
        <v>1.2130671337261894</v>
      </c>
      <c r="Q141" s="6">
        <f t="shared" si="46"/>
        <v>88.762408699703172</v>
      </c>
      <c r="R141" s="123">
        <f t="shared" si="52"/>
        <v>0.94742353063700813</v>
      </c>
      <c r="S141" s="6">
        <f t="shared" ref="S141:S186" si="54">R141*100</f>
        <v>94.742353063700818</v>
      </c>
      <c r="T141" s="249">
        <f t="shared" ref="T141:T181" si="55">IF(M141="x",0,(R140-R141)*100)</f>
        <v>0.28874707386288279</v>
      </c>
      <c r="U141" s="246">
        <f>'Berekening trap 1'!H141*$T141</f>
        <v>9.6843101342936038E-3</v>
      </c>
      <c r="V141" s="376">
        <f>'Berekening trap 1'!I141*$T141</f>
        <v>8.9085150487201933E-3</v>
      </c>
      <c r="Y141" s="43">
        <f t="shared" si="16"/>
        <v>65</v>
      </c>
      <c r="Z141" s="6" t="str">
        <f>IF(INVOER!A100=0,"x",INVOER!A100)</f>
        <v>x</v>
      </c>
      <c r="AA141" s="6">
        <f>IF(INVOER!B$36&gt;INVOER!B$37,INVOER!B100,100-INVOER!B100)</f>
        <v>100</v>
      </c>
      <c r="AB141" s="6">
        <f t="shared" si="17"/>
        <v>65</v>
      </c>
      <c r="AC141" s="6">
        <f t="shared" ref="AC141:AC146" si="56">AA141/100</f>
        <v>1</v>
      </c>
      <c r="AD141" s="44">
        <f>IF(INVOER!A100=0,10000,INVOER!A100)</f>
        <v>10000</v>
      </c>
    </row>
    <row r="142" spans="1:30" x14ac:dyDescent="0.2">
      <c r="A142" s="43">
        <f>A141*'Berekening trap 1'!H$58</f>
        <v>8.3963747152726214</v>
      </c>
      <c r="B142" s="6">
        <f t="shared" si="39"/>
        <v>8.2003931227087037</v>
      </c>
      <c r="C142" s="169">
        <f t="shared" si="53"/>
        <v>11.805310728402612</v>
      </c>
      <c r="D142" s="202">
        <f t="shared" si="24"/>
        <v>2.5764431246591016E-2</v>
      </c>
      <c r="E142" s="199">
        <f t="shared" si="40"/>
        <v>2.9873254699674466E-2</v>
      </c>
      <c r="F142" s="43">
        <f t="shared" si="41"/>
        <v>2.3547259207304834E-2</v>
      </c>
      <c r="G142" s="156">
        <f t="shared" si="42"/>
        <v>2.7402036430225263E-2</v>
      </c>
      <c r="H142" s="171">
        <f t="shared" si="43"/>
        <v>2.9873254699674466E-2</v>
      </c>
      <c r="I142" s="181">
        <f t="shared" si="44"/>
        <v>2.7402036430225263E-2</v>
      </c>
      <c r="J142" s="395">
        <f>IF(INVOER!$S$36=1,100-H142*100,100-I142*100)</f>
        <v>97.259796356977475</v>
      </c>
      <c r="K142" s="41">
        <f t="shared" si="47"/>
        <v>25</v>
      </c>
      <c r="L142" s="5">
        <f t="shared" si="48"/>
        <v>8.0589999999999993</v>
      </c>
      <c r="M142" s="5">
        <f t="shared" si="49"/>
        <v>8.9700000000000006</v>
      </c>
      <c r="N142" s="5">
        <f t="shared" si="50"/>
        <v>0.94700000000000006</v>
      </c>
      <c r="O142" s="5">
        <f t="shared" si="51"/>
        <v>0.94</v>
      </c>
      <c r="P142" s="39">
        <f t="shared" si="45"/>
        <v>1.1926314986888507</v>
      </c>
      <c r="Q142" s="5">
        <f t="shared" si="46"/>
        <v>92.487441210222244</v>
      </c>
      <c r="R142" s="247">
        <f t="shared" si="52"/>
        <v>0.94441850944627348</v>
      </c>
      <c r="S142" s="5">
        <f t="shared" si="54"/>
        <v>94.441850944627348</v>
      </c>
      <c r="T142" s="251">
        <f t="shared" si="55"/>
        <v>0.30050211907346469</v>
      </c>
      <c r="U142" s="245">
        <f>'Berekening trap 1'!H142*$T142</f>
        <v>8.9769763408735145E-3</v>
      </c>
      <c r="V142" s="375">
        <f>'Berekening trap 1'!I142*$T142</f>
        <v>8.2343700142109687E-3</v>
      </c>
      <c r="Y142" s="43">
        <f>Y141+1</f>
        <v>66</v>
      </c>
      <c r="Z142" s="6" t="str">
        <f>IF(INVOER!A101=0,"x",INVOER!A101)</f>
        <v>x</v>
      </c>
      <c r="AA142" s="6">
        <f>IF(INVOER!B$36&gt;INVOER!B$37,INVOER!B101,100-INVOER!B101)</f>
        <v>100</v>
      </c>
      <c r="AB142" s="6">
        <f>IF(Z142=0,AB141,Y142)</f>
        <v>66</v>
      </c>
      <c r="AC142" s="6">
        <f t="shared" si="56"/>
        <v>1</v>
      </c>
      <c r="AD142" s="44">
        <f>IF(INVOER!A101=0,10000,INVOER!A101)</f>
        <v>10000</v>
      </c>
    </row>
    <row r="143" spans="1:30" x14ac:dyDescent="0.2">
      <c r="A143" s="43">
        <f>A142*'Berekening trap 1'!H$58</f>
        <v>8.8075317084545475</v>
      </c>
      <c r="B143" s="6">
        <f t="shared" si="39"/>
        <v>8.6019532118635844</v>
      </c>
      <c r="C143" s="169">
        <f t="shared" si="53"/>
        <v>12.38339784662513</v>
      </c>
      <c r="D143" s="202">
        <f t="shared" si="24"/>
        <v>2.2460731498049363E-2</v>
      </c>
      <c r="E143" s="199">
        <f t="shared" si="40"/>
        <v>2.6501940662078369E-2</v>
      </c>
      <c r="F143" s="43">
        <f t="shared" si="41"/>
        <v>2.0458696007313922E-2</v>
      </c>
      <c r="G143" s="156">
        <f t="shared" si="42"/>
        <v>2.4238120485290986E-2</v>
      </c>
      <c r="H143" s="171">
        <f t="shared" si="43"/>
        <v>2.6501940662078369E-2</v>
      </c>
      <c r="I143" s="181">
        <f t="shared" si="44"/>
        <v>2.4238120485290986E-2</v>
      </c>
      <c r="J143" s="395">
        <f>IF(INVOER!$S$36=1,100-H143*100,100-I143*100)</f>
        <v>97.576187951470899</v>
      </c>
      <c r="K143" s="43">
        <f t="shared" si="47"/>
        <v>25</v>
      </c>
      <c r="L143" s="6">
        <f t="shared" si="48"/>
        <v>8.0589999999999993</v>
      </c>
      <c r="M143" s="6">
        <f t="shared" si="49"/>
        <v>8.9700000000000006</v>
      </c>
      <c r="N143" s="6">
        <f t="shared" si="50"/>
        <v>0.94700000000000006</v>
      </c>
      <c r="O143" s="6">
        <f t="shared" si="51"/>
        <v>0.94</v>
      </c>
      <c r="P143" s="40">
        <f t="shared" si="45"/>
        <v>1.1926314986888507</v>
      </c>
      <c r="Q143" s="6">
        <f t="shared" si="46"/>
        <v>92.487441210222244</v>
      </c>
      <c r="R143" s="123">
        <f t="shared" si="52"/>
        <v>0.94125503571267033</v>
      </c>
      <c r="S143" s="6">
        <f t="shared" si="54"/>
        <v>94.125503571267032</v>
      </c>
      <c r="T143" s="249">
        <f t="shared" si="55"/>
        <v>0.31634737336031504</v>
      </c>
      <c r="U143" s="245">
        <f>'Berekening trap 1'!H143*$T143</f>
        <v>8.3838193173994199E-3</v>
      </c>
      <c r="V143" s="375">
        <f>'Berekening trap 1'!I143*$T143</f>
        <v>7.667665750712648E-3</v>
      </c>
      <c r="Y143" s="43">
        <f>Y142+1</f>
        <v>67</v>
      </c>
      <c r="Z143" s="6" t="str">
        <f>IF(INVOER!A102=0,"x",INVOER!A102)</f>
        <v>x</v>
      </c>
      <c r="AA143" s="6">
        <f>IF(INVOER!B$36&gt;INVOER!B$37,INVOER!B102,100-INVOER!B102)</f>
        <v>100</v>
      </c>
      <c r="AB143" s="6">
        <f>IF(Z143=0,AB142,Y143)</f>
        <v>67</v>
      </c>
      <c r="AC143" s="6">
        <f t="shared" si="56"/>
        <v>1</v>
      </c>
      <c r="AD143" s="44">
        <f>IF(INVOER!A102=0,10000,INVOER!A102)</f>
        <v>10000</v>
      </c>
    </row>
    <row r="144" spans="1:30" x14ac:dyDescent="0.2">
      <c r="A144" s="43">
        <f>A143*'Berekening trap 1'!H$58</f>
        <v>9.2388223996638974</v>
      </c>
      <c r="B144" s="6">
        <f t="shared" si="39"/>
        <v>9.0231770540592215</v>
      </c>
      <c r="C144" s="169">
        <f t="shared" si="53"/>
        <v>12.989792963166638</v>
      </c>
      <c r="D144" s="202">
        <f t="shared" si="24"/>
        <v>1.9486051239882653E-2</v>
      </c>
      <c r="E144" s="199">
        <f t="shared" si="40"/>
        <v>2.3414066114177089E-2</v>
      </c>
      <c r="F144" s="43">
        <f t="shared" si="41"/>
        <v>1.7687253881783722E-2</v>
      </c>
      <c r="G144" s="156">
        <f t="shared" si="42"/>
        <v>2.1348870212827515E-2</v>
      </c>
      <c r="H144" s="171">
        <f t="shared" si="43"/>
        <v>2.3414066114177089E-2</v>
      </c>
      <c r="I144" s="181">
        <f t="shared" si="44"/>
        <v>2.1348870212827515E-2</v>
      </c>
      <c r="J144" s="395">
        <f>IF(INVOER!$S$36=1,100-H144*100,100-I144*100)</f>
        <v>97.865112978717249</v>
      </c>
      <c r="K144" s="43">
        <f t="shared" si="47"/>
        <v>26</v>
      </c>
      <c r="L144" s="6">
        <f t="shared" si="48"/>
        <v>8.9700000000000006</v>
      </c>
      <c r="M144" s="6">
        <f t="shared" si="49"/>
        <v>9.9</v>
      </c>
      <c r="N144" s="6">
        <f t="shared" si="50"/>
        <v>0.94</v>
      </c>
      <c r="O144" s="6">
        <f t="shared" si="51"/>
        <v>0.93200000000000005</v>
      </c>
      <c r="P144" s="40">
        <f t="shared" si="45"/>
        <v>1.3116144659211444</v>
      </c>
      <c r="Q144" s="6">
        <f t="shared" si="46"/>
        <v>74.844904779707235</v>
      </c>
      <c r="R144" s="123">
        <f t="shared" si="52"/>
        <v>0.93770594361552984</v>
      </c>
      <c r="S144" s="6">
        <f t="shared" si="54"/>
        <v>93.77059436155298</v>
      </c>
      <c r="T144" s="249">
        <f t="shared" si="55"/>
        <v>0.35490920971404938</v>
      </c>
      <c r="U144" s="245">
        <f>'Berekening trap 1'!H144*$T144</f>
        <v>8.3098677007750928E-3</v>
      </c>
      <c r="V144" s="375">
        <f>'Berekening trap 1'!I144*$T144</f>
        <v>7.5769106555224229E-3</v>
      </c>
      <c r="Y144" s="43">
        <f>Y143+1</f>
        <v>68</v>
      </c>
      <c r="Z144" s="6" t="str">
        <f>IF(INVOER!A103=0,"x",INVOER!A103)</f>
        <v>x</v>
      </c>
      <c r="AA144" s="6">
        <f>IF(INVOER!B$36&gt;INVOER!B$37,INVOER!B103,100-INVOER!B103)</f>
        <v>100</v>
      </c>
      <c r="AB144" s="6">
        <f>IF(Z144=0,AB143,Y144)</f>
        <v>68</v>
      </c>
      <c r="AC144" s="6">
        <f t="shared" si="56"/>
        <v>1</v>
      </c>
      <c r="AD144" s="44">
        <f>IF(INVOER!A103=0,10000,INVOER!A103)</f>
        <v>10000</v>
      </c>
    </row>
    <row r="145" spans="1:30" x14ac:dyDescent="0.2">
      <c r="A145" s="43">
        <f>A144*'Berekening trap 1'!H$58</f>
        <v>9.6912327037774268</v>
      </c>
      <c r="B145" s="6">
        <f t="shared" si="39"/>
        <v>9.465027551720663</v>
      </c>
      <c r="C145" s="169">
        <f t="shared" si="53"/>
        <v>13.625882275268991</v>
      </c>
      <c r="D145" s="202">
        <f t="shared" si="24"/>
        <v>1.6820714647689868E-2</v>
      </c>
      <c r="E145" s="199">
        <f t="shared" si="40"/>
        <v>2.0597680305899639E-2</v>
      </c>
      <c r="F145" s="43">
        <f t="shared" si="41"/>
        <v>1.5212827100988672E-2</v>
      </c>
      <c r="G145" s="156">
        <f t="shared" si="42"/>
        <v>1.8721794540673936E-2</v>
      </c>
      <c r="H145" s="171">
        <f t="shared" si="43"/>
        <v>2.0597680305899639E-2</v>
      </c>
      <c r="I145" s="181">
        <f t="shared" si="44"/>
        <v>1.8721794540673936E-2</v>
      </c>
      <c r="J145" s="395">
        <f>IF(INVOER!$S$36=1,100-H145*100,100-I145*100)</f>
        <v>98.127820545932607</v>
      </c>
      <c r="K145" s="43">
        <f t="shared" si="47"/>
        <v>26</v>
      </c>
      <c r="L145" s="6">
        <f t="shared" si="48"/>
        <v>8.9700000000000006</v>
      </c>
      <c r="M145" s="6">
        <f t="shared" si="49"/>
        <v>9.9</v>
      </c>
      <c r="N145" s="6">
        <f t="shared" si="50"/>
        <v>0.94</v>
      </c>
      <c r="O145" s="6">
        <f t="shared" si="51"/>
        <v>0.93200000000000005</v>
      </c>
      <c r="P145" s="40">
        <f t="shared" si="45"/>
        <v>1.3116144659211444</v>
      </c>
      <c r="Q145" s="6">
        <f t="shared" si="46"/>
        <v>74.844904779707235</v>
      </c>
      <c r="R145" s="123">
        <f t="shared" si="52"/>
        <v>0.9338111147785032</v>
      </c>
      <c r="S145" s="6">
        <f t="shared" si="54"/>
        <v>93.381111477850325</v>
      </c>
      <c r="T145" s="249">
        <f t="shared" si="55"/>
        <v>0.38948288370266315</v>
      </c>
      <c r="U145" s="245">
        <f>'Berekening trap 1'!H145*$T145</f>
        <v>8.0224439231273443E-3</v>
      </c>
      <c r="V145" s="375">
        <f>'Berekening trap 1'!I145*$T145</f>
        <v>7.2918185257904609E-3</v>
      </c>
      <c r="Y145" s="43">
        <f>Y144+1</f>
        <v>69</v>
      </c>
      <c r="Z145" s="6" t="str">
        <f>IF(INVOER!A104=0,"x",INVOER!A104)</f>
        <v>x</v>
      </c>
      <c r="AA145" s="6">
        <f>IF(INVOER!B$36&gt;INVOER!B$37,INVOER!B104,100-INVOER!B104)</f>
        <v>100</v>
      </c>
      <c r="AB145" s="6">
        <f>IF(Z145=0,AB144,Y145)</f>
        <v>69</v>
      </c>
      <c r="AC145" s="6">
        <f t="shared" si="56"/>
        <v>1</v>
      </c>
      <c r="AD145" s="44">
        <f>IF(INVOER!A104=0,10000,INVOER!A104)</f>
        <v>10000</v>
      </c>
    </row>
    <row r="146" spans="1:30" x14ac:dyDescent="0.2">
      <c r="A146" s="45">
        <f>A145*'Berekening trap 1'!H$58</f>
        <v>10.165796814340958</v>
      </c>
      <c r="B146" s="46">
        <f t="shared" si="39"/>
        <v>9.9285147590591922</v>
      </c>
      <c r="C146" s="184">
        <f t="shared" si="53"/>
        <v>14.293119860028044</v>
      </c>
      <c r="D146" s="203">
        <f t="shared" si="24"/>
        <v>1.4444650729570763E-2</v>
      </c>
      <c r="E146" s="168">
        <f t="shared" si="40"/>
        <v>1.8040071455499698E-2</v>
      </c>
      <c r="F146" s="45">
        <f t="shared" si="41"/>
        <v>1.3015052167510529E-2</v>
      </c>
      <c r="G146" s="185">
        <f t="shared" si="42"/>
        <v>1.6343733074073771E-2</v>
      </c>
      <c r="H146" s="172">
        <f t="shared" si="43"/>
        <v>1.8040071455499698E-2</v>
      </c>
      <c r="I146" s="243">
        <f t="shared" si="44"/>
        <v>1.6343733074073771E-2</v>
      </c>
      <c r="J146" s="395">
        <f>IF(INVOER!$S$36=1,100-H146*100,100-I146*100)</f>
        <v>98.365626692592627</v>
      </c>
      <c r="K146" s="43">
        <f t="shared" si="47"/>
        <v>27</v>
      </c>
      <c r="L146" s="6">
        <f t="shared" si="48"/>
        <v>9.9</v>
      </c>
      <c r="M146" s="6">
        <f t="shared" si="49"/>
        <v>11.11</v>
      </c>
      <c r="N146" s="6">
        <f t="shared" si="50"/>
        <v>0.93200000000000005</v>
      </c>
      <c r="O146" s="6">
        <f t="shared" si="51"/>
        <v>0.92299999999999993</v>
      </c>
      <c r="P146" s="40">
        <f t="shared" si="45"/>
        <v>1.1194839626912187</v>
      </c>
      <c r="Q146" s="6">
        <f t="shared" si="46"/>
        <v>105.91042556538096</v>
      </c>
      <c r="R146" s="123">
        <f t="shared" si="52"/>
        <v>0.93002626002822386</v>
      </c>
      <c r="S146" s="6">
        <f t="shared" si="54"/>
        <v>93.002626002822382</v>
      </c>
      <c r="T146" s="249">
        <f t="shared" si="55"/>
        <v>0.37848547502793428</v>
      </c>
      <c r="U146" s="246">
        <f>'Berekening trap 1'!H146*$T146</f>
        <v>6.8279050143726814E-3</v>
      </c>
      <c r="V146" s="376">
        <f>'Berekening trap 1'!I146*$T146</f>
        <v>6.1858655762705717E-3</v>
      </c>
      <c r="Y146" s="43">
        <f>Y145+1</f>
        <v>70</v>
      </c>
      <c r="Z146" s="6" t="str">
        <f>IF(INVOER!A105=0,"x",INVOER!A105)</f>
        <v>x</v>
      </c>
      <c r="AA146" s="6">
        <f>IF(INVOER!B$36&gt;INVOER!B$37,INVOER!B105,100-INVOER!B105)</f>
        <v>100</v>
      </c>
      <c r="AB146" s="6">
        <f>IF(Z146=0,AB145,Y146)</f>
        <v>70</v>
      </c>
      <c r="AC146" s="6">
        <f t="shared" si="56"/>
        <v>1</v>
      </c>
      <c r="AD146" s="44">
        <f>IF(INVOER!A105=0,10000,INVOER!A105)</f>
        <v>10000</v>
      </c>
    </row>
    <row r="147" spans="1:30" x14ac:dyDescent="0.2">
      <c r="A147" s="43">
        <f>A146*'Berekening trap 1'!H$58</f>
        <v>10.663599567698318</v>
      </c>
      <c r="B147" s="6">
        <f t="shared" si="39"/>
        <v>10.414698191019639</v>
      </c>
      <c r="C147" s="169">
        <f t="shared" si="53"/>
        <v>14.993030998361178</v>
      </c>
      <c r="D147" s="202">
        <f t="shared" si="24"/>
        <v>1.2337585493584557E-2</v>
      </c>
      <c r="E147" s="199">
        <f t="shared" si="40"/>
        <v>1.5727895699500501E-2</v>
      </c>
      <c r="F147" s="43">
        <f t="shared" si="41"/>
        <v>1.1073499417043676E-2</v>
      </c>
      <c r="G147" s="156">
        <f t="shared" si="42"/>
        <v>1.4200988971298664E-2</v>
      </c>
      <c r="H147" s="171">
        <f t="shared" si="43"/>
        <v>1.5727895699500501E-2</v>
      </c>
      <c r="I147" s="181">
        <f t="shared" si="44"/>
        <v>1.4200988971298664E-2</v>
      </c>
      <c r="J147" s="393">
        <f>IF(INVOER!$S$36=1,100-H147*100,100-I147*100)</f>
        <v>98.579901102870139</v>
      </c>
      <c r="K147" s="41">
        <f t="shared" si="47"/>
        <v>27</v>
      </c>
      <c r="L147" s="5">
        <f t="shared" si="48"/>
        <v>9.9</v>
      </c>
      <c r="M147" s="5">
        <f t="shared" si="49"/>
        <v>11.11</v>
      </c>
      <c r="N147" s="5">
        <f t="shared" si="50"/>
        <v>0.93200000000000005</v>
      </c>
      <c r="O147" s="5">
        <f t="shared" si="51"/>
        <v>0.92299999999999993</v>
      </c>
      <c r="P147" s="39">
        <f t="shared" si="45"/>
        <v>1.1194839626912187</v>
      </c>
      <c r="Q147" s="5">
        <f t="shared" si="46"/>
        <v>105.91042556538096</v>
      </c>
      <c r="R147" s="247">
        <f t="shared" si="52"/>
        <v>0.92632451639973901</v>
      </c>
      <c r="S147" s="5">
        <f t="shared" si="54"/>
        <v>92.632451639973894</v>
      </c>
      <c r="T147" s="251">
        <f t="shared" si="55"/>
        <v>0.37017436284848548</v>
      </c>
      <c r="U147" s="245">
        <f>'Berekening trap 1'!H147*$T147</f>
        <v>5.8220637695100327E-3</v>
      </c>
      <c r="V147" s="375">
        <f>'Berekening trap 1'!I147*$T147</f>
        <v>5.2568420442688528E-3</v>
      </c>
      <c r="Y147" s="45"/>
      <c r="Z147" s="46"/>
      <c r="AA147" s="46"/>
      <c r="AB147" s="46"/>
      <c r="AC147" s="46"/>
      <c r="AD147" s="50"/>
    </row>
    <row r="148" spans="1:30" x14ac:dyDescent="0.2">
      <c r="A148" s="43">
        <f>A147*'Berekening trap 1'!H$58</f>
        <v>11.185778922887872</v>
      </c>
      <c r="B148" s="6">
        <f t="shared" si="39"/>
        <v>10.924689245293095</v>
      </c>
      <c r="C148" s="169">
        <f t="shared" si="53"/>
        <v>15.727215661744134</v>
      </c>
      <c r="D148" s="202">
        <f t="shared" si="24"/>
        <v>1.0479231923134012E-2</v>
      </c>
      <c r="E148" s="199">
        <f t="shared" si="40"/>
        <v>1.3647311369288553E-2</v>
      </c>
      <c r="F148" s="43">
        <f t="shared" si="41"/>
        <v>9.3678600599155747E-3</v>
      </c>
      <c r="G148" s="156">
        <f t="shared" si="42"/>
        <v>1.2279465654805652E-2</v>
      </c>
      <c r="H148" s="171">
        <f t="shared" si="43"/>
        <v>1.3647311369288553E-2</v>
      </c>
      <c r="I148" s="181">
        <f t="shared" si="44"/>
        <v>1.2279465654805652E-2</v>
      </c>
      <c r="J148" s="395">
        <f>IF(INVOER!$S$36=1,100-H148*100,100-I148*100)</f>
        <v>98.772053434519435</v>
      </c>
      <c r="K148" s="43">
        <f t="shared" si="47"/>
        <v>28</v>
      </c>
      <c r="L148" s="6">
        <f t="shared" si="48"/>
        <v>11.11</v>
      </c>
      <c r="M148" s="6">
        <f t="shared" si="49"/>
        <v>12.38</v>
      </c>
      <c r="N148" s="6">
        <f t="shared" si="50"/>
        <v>0.92299999999999993</v>
      </c>
      <c r="O148" s="6">
        <f t="shared" si="51"/>
        <v>0.91289999999999993</v>
      </c>
      <c r="P148" s="40">
        <f t="shared" si="45"/>
        <v>1.1888245566529438</v>
      </c>
      <c r="Q148" s="6">
        <f t="shared" si="46"/>
        <v>92.858883356270681</v>
      </c>
      <c r="R148" s="123">
        <f t="shared" si="52"/>
        <v>0.9224001185391989</v>
      </c>
      <c r="S148" s="6">
        <f t="shared" si="54"/>
        <v>92.240011853919896</v>
      </c>
      <c r="T148" s="249">
        <f t="shared" si="55"/>
        <v>0.39243978605401075</v>
      </c>
      <c r="U148" s="245">
        <f>'Berekening trap 1'!H148*$T148</f>
        <v>5.3557479539760684E-3</v>
      </c>
      <c r="V148" s="375">
        <f>'Berekening trap 1'!I148*$T148</f>
        <v>4.8189508744295034E-3</v>
      </c>
    </row>
    <row r="149" spans="1:30" x14ac:dyDescent="0.2">
      <c r="A149" s="43">
        <f>A148*'Berekening trap 1'!H$58</f>
        <v>11.733528562975607</v>
      </c>
      <c r="B149" s="6">
        <f t="shared" si="39"/>
        <v>11.459653742931739</v>
      </c>
      <c r="C149" s="169">
        <f t="shared" si="53"/>
        <v>16.497352169687783</v>
      </c>
      <c r="D149" s="202">
        <f t="shared" si="24"/>
        <v>8.8494744326526615E-3</v>
      </c>
      <c r="E149" s="199">
        <f t="shared" si="40"/>
        <v>1.1784116491907677E-2</v>
      </c>
      <c r="F149" s="43">
        <f t="shared" si="41"/>
        <v>7.878125384668833E-3</v>
      </c>
      <c r="G149" s="156">
        <f t="shared" si="42"/>
        <v>1.0564805176941534E-2</v>
      </c>
      <c r="H149" s="171">
        <f t="shared" si="43"/>
        <v>1.1784116491907677E-2</v>
      </c>
      <c r="I149" s="181">
        <f t="shared" si="44"/>
        <v>1.0564805176941534E-2</v>
      </c>
      <c r="J149" s="395">
        <f>IF(INVOER!$S$36=1,100-H149*100,100-I149*100)</f>
        <v>98.943519482305845</v>
      </c>
      <c r="K149" s="43">
        <f t="shared" si="47"/>
        <v>28</v>
      </c>
      <c r="L149" s="6">
        <f t="shared" si="48"/>
        <v>11.11</v>
      </c>
      <c r="M149" s="6">
        <f t="shared" si="49"/>
        <v>12.38</v>
      </c>
      <c r="N149" s="6">
        <f t="shared" si="50"/>
        <v>0.92299999999999993</v>
      </c>
      <c r="O149" s="6">
        <f t="shared" si="51"/>
        <v>0.91289999999999993</v>
      </c>
      <c r="P149" s="40">
        <f t="shared" si="45"/>
        <v>1.1888245566529438</v>
      </c>
      <c r="Q149" s="6">
        <f t="shared" si="46"/>
        <v>92.858883356270681</v>
      </c>
      <c r="R149" s="123">
        <f t="shared" si="52"/>
        <v>0.91805313233933228</v>
      </c>
      <c r="S149" s="6">
        <f t="shared" si="54"/>
        <v>91.805313233933234</v>
      </c>
      <c r="T149" s="249">
        <f t="shared" si="55"/>
        <v>0.43469861998666204</v>
      </c>
      <c r="U149" s="245">
        <f>'Berekening trap 1'!H149*$T149</f>
        <v>5.1225391767943324E-3</v>
      </c>
      <c r="V149" s="375">
        <f>'Berekening trap 1'!I149*$T149</f>
        <v>4.5925062308444274E-3</v>
      </c>
    </row>
    <row r="150" spans="1:30" x14ac:dyDescent="0.2">
      <c r="A150" s="43">
        <f>A149*'Berekening trap 1'!H$58</f>
        <v>12.308100623771331</v>
      </c>
      <c r="B150" s="6">
        <f t="shared" si="39"/>
        <v>12.020814593373469</v>
      </c>
      <c r="C150" s="169">
        <f t="shared" si="53"/>
        <v>17.305201026315654</v>
      </c>
      <c r="D150" s="202">
        <f t="shared" si="24"/>
        <v>7.4285445738959633E-3</v>
      </c>
      <c r="E150" s="199">
        <f t="shared" si="40"/>
        <v>1.0123887308299329E-2</v>
      </c>
      <c r="F150" s="43">
        <f t="shared" si="41"/>
        <v>6.5847550090423557E-3</v>
      </c>
      <c r="G150" s="156">
        <f t="shared" si="42"/>
        <v>9.0425259913167137E-3</v>
      </c>
      <c r="H150" s="171">
        <f t="shared" si="43"/>
        <v>1.0123887308299329E-2</v>
      </c>
      <c r="I150" s="181">
        <f t="shared" si="44"/>
        <v>9.0425259913167137E-3</v>
      </c>
      <c r="J150" s="395">
        <f>IF(INVOER!$S$36=1,100-H150*100,100-I150*100)</f>
        <v>99.095747400868333</v>
      </c>
      <c r="K150" s="43">
        <f t="shared" si="47"/>
        <v>28</v>
      </c>
      <c r="L150" s="6">
        <f t="shared" si="48"/>
        <v>11.11</v>
      </c>
      <c r="M150" s="6">
        <f t="shared" si="49"/>
        <v>12.38</v>
      </c>
      <c r="N150" s="6">
        <f t="shared" si="50"/>
        <v>0.92299999999999993</v>
      </c>
      <c r="O150" s="6">
        <f t="shared" si="51"/>
        <v>0.91289999999999993</v>
      </c>
      <c r="P150" s="40">
        <f t="shared" si="45"/>
        <v>1.1888245566529438</v>
      </c>
      <c r="Q150" s="6">
        <f t="shared" si="46"/>
        <v>92.858883356270681</v>
      </c>
      <c r="R150" s="123">
        <f t="shared" si="52"/>
        <v>0.91347424830960255</v>
      </c>
      <c r="S150" s="6">
        <f t="shared" si="54"/>
        <v>91.34742483096025</v>
      </c>
      <c r="T150" s="249">
        <f t="shared" si="55"/>
        <v>0.4578884029729724</v>
      </c>
      <c r="U150" s="245">
        <f>'Berekening trap 1'!H150*$T150</f>
        <v>4.635610591475524E-3</v>
      </c>
      <c r="V150" s="375">
        <f>'Berekening trap 1'!I150*$T150</f>
        <v>4.140467785005604E-3</v>
      </c>
    </row>
    <row r="151" spans="1:30" x14ac:dyDescent="0.2">
      <c r="A151" s="45">
        <f>A150*'Berekening trap 1'!H$58</f>
        <v>12.91080855616571</v>
      </c>
      <c r="B151" s="46">
        <f t="shared" si="39"/>
        <v>12.609454589968522</v>
      </c>
      <c r="C151" s="184">
        <f t="shared" si="53"/>
        <v>18.152608944812503</v>
      </c>
      <c r="D151" s="203">
        <f t="shared" si="24"/>
        <v>6.1971849542929438E-3</v>
      </c>
      <c r="E151" s="168">
        <f t="shared" si="40"/>
        <v>8.6521155495117418E-3</v>
      </c>
      <c r="F151" s="45">
        <f t="shared" si="41"/>
        <v>5.4688313198366888E-3</v>
      </c>
      <c r="G151" s="185">
        <f t="shared" si="42"/>
        <v>7.6981578679222763E-3</v>
      </c>
      <c r="H151" s="172">
        <f t="shared" si="43"/>
        <v>8.6521155495117418E-3</v>
      </c>
      <c r="I151" s="243">
        <f t="shared" si="44"/>
        <v>7.6981578679222763E-3</v>
      </c>
      <c r="J151" s="394">
        <f>IF(INVOER!$S$36=1,100-H151*100,100-I151*100)</f>
        <v>99.230184213207778</v>
      </c>
      <c r="K151" s="43">
        <f t="shared" si="47"/>
        <v>29</v>
      </c>
      <c r="L151" s="6">
        <f t="shared" si="48"/>
        <v>12.38</v>
      </c>
      <c r="M151" s="6">
        <f t="shared" si="49"/>
        <v>13.76</v>
      </c>
      <c r="N151" s="6">
        <f t="shared" si="50"/>
        <v>0.91289999999999993</v>
      </c>
      <c r="O151" s="6">
        <f t="shared" si="51"/>
        <v>0.90159999999999996</v>
      </c>
      <c r="P151" s="40">
        <f t="shared" si="45"/>
        <v>1.2122090712618496</v>
      </c>
      <c r="Q151" s="6">
        <f t="shared" si="46"/>
        <v>89.318619198093387</v>
      </c>
      <c r="R151" s="123">
        <f t="shared" si="52"/>
        <v>0.9085669756639293</v>
      </c>
      <c r="S151" s="6">
        <f t="shared" si="54"/>
        <v>90.856697566392924</v>
      </c>
      <c r="T151" s="249">
        <f t="shared" si="55"/>
        <v>0.49072726456732552</v>
      </c>
      <c r="U151" s="246">
        <f>'Berekening trap 1'!H151*$T151</f>
        <v>4.2458289963323197E-3</v>
      </c>
      <c r="V151" s="376">
        <f>'Berekening trap 1'!I151*$T151</f>
        <v>3.7776959527329335E-3</v>
      </c>
    </row>
    <row r="152" spans="1:30" x14ac:dyDescent="0.2">
      <c r="A152" s="43">
        <f>A151*'Berekening trap 1'!H$58</f>
        <v>13.543030128631372</v>
      </c>
      <c r="B152" s="6">
        <f t="shared" si="39"/>
        <v>13.226919342398542</v>
      </c>
      <c r="C152" s="169">
        <f t="shared" si="53"/>
        <v>19.041513068943665</v>
      </c>
      <c r="D152" s="202">
        <f t="shared" si="24"/>
        <v>5.1367986107688805E-3</v>
      </c>
      <c r="E152" s="199">
        <f t="shared" si="40"/>
        <v>7.3543422146214914E-3</v>
      </c>
      <c r="F152" s="43">
        <f t="shared" si="41"/>
        <v>4.5121975863215494E-3</v>
      </c>
      <c r="G152" s="156">
        <f t="shared" si="42"/>
        <v>6.5173717350173466E-3</v>
      </c>
      <c r="H152" s="171">
        <f t="shared" si="43"/>
        <v>7.3543422146214914E-3</v>
      </c>
      <c r="I152" s="181">
        <f t="shared" si="44"/>
        <v>6.5173717350173466E-3</v>
      </c>
      <c r="J152" s="395">
        <f>IF(INVOER!$S$36=1,100-H152*100,100-I152*100)</f>
        <v>99.348262826498271</v>
      </c>
      <c r="K152" s="41">
        <f t="shared" si="47"/>
        <v>29</v>
      </c>
      <c r="L152" s="5">
        <f t="shared" si="48"/>
        <v>12.38</v>
      </c>
      <c r="M152" s="5">
        <f t="shared" si="49"/>
        <v>13.76</v>
      </c>
      <c r="N152" s="5">
        <f t="shared" si="50"/>
        <v>0.91289999999999993</v>
      </c>
      <c r="O152" s="5">
        <f t="shared" si="51"/>
        <v>0.90159999999999996</v>
      </c>
      <c r="P152" s="39">
        <f t="shared" si="45"/>
        <v>1.2122090712618496</v>
      </c>
      <c r="Q152" s="5">
        <f t="shared" si="46"/>
        <v>89.318619198093387</v>
      </c>
      <c r="R152" s="247">
        <f t="shared" si="52"/>
        <v>0.90338387932151476</v>
      </c>
      <c r="S152" s="5">
        <f t="shared" si="54"/>
        <v>90.338387932151477</v>
      </c>
      <c r="T152" s="251">
        <f t="shared" si="55"/>
        <v>0.51830963424145393</v>
      </c>
      <c r="U152" s="245">
        <f>'Berekening trap 1'!H152*$T152</f>
        <v>3.8118264233469494E-3</v>
      </c>
      <c r="V152" s="375">
        <f>'Berekening trap 1'!I152*$T152</f>
        <v>3.3780165601924308E-3</v>
      </c>
    </row>
    <row r="153" spans="1:30" x14ac:dyDescent="0.2">
      <c r="A153" s="43">
        <f>A152*'Berekening trap 1'!H$58</f>
        <v>14.206210576751655</v>
      </c>
      <c r="B153" s="6">
        <f t="shared" si="39"/>
        <v>13.874620352691514</v>
      </c>
      <c r="C153" s="169">
        <f t="shared" si="53"/>
        <v>19.973945401295452</v>
      </c>
      <c r="D153" s="202">
        <f t="shared" si="24"/>
        <v>4.2295814489122143E-3</v>
      </c>
      <c r="E153" s="199">
        <f t="shared" si="40"/>
        <v>6.2162856559158401E-3</v>
      </c>
      <c r="F153" s="43">
        <f t="shared" si="41"/>
        <v>3.6975776530187294E-3</v>
      </c>
      <c r="G153" s="156">
        <f t="shared" si="42"/>
        <v>5.4861023350120863E-3</v>
      </c>
      <c r="H153" s="171">
        <f t="shared" si="43"/>
        <v>6.2162856559158401E-3</v>
      </c>
      <c r="I153" s="181">
        <f t="shared" si="44"/>
        <v>5.4861023350120863E-3</v>
      </c>
      <c r="J153" s="395">
        <f>IF(INVOER!$S$36=1,100-H153*100,100-I153*100)</f>
        <v>99.451389766498792</v>
      </c>
      <c r="K153" s="43">
        <f t="shared" si="47"/>
        <v>30</v>
      </c>
      <c r="L153" s="6">
        <f t="shared" si="48"/>
        <v>13.76</v>
      </c>
      <c r="M153" s="6">
        <f t="shared" si="49"/>
        <v>15.32</v>
      </c>
      <c r="N153" s="6">
        <f t="shared" si="50"/>
        <v>0.90159999999999996</v>
      </c>
      <c r="O153" s="6">
        <f t="shared" si="51"/>
        <v>0.88919999999999999</v>
      </c>
      <c r="P153" s="40">
        <f t="shared" si="45"/>
        <v>1.1684417484482357</v>
      </c>
      <c r="Q153" s="6">
        <f t="shared" si="46"/>
        <v>95.80096854252912</v>
      </c>
      <c r="R153" s="123">
        <f t="shared" si="52"/>
        <v>0.89805875381058076</v>
      </c>
      <c r="S153" s="6">
        <f t="shared" si="54"/>
        <v>89.805875381058073</v>
      </c>
      <c r="T153" s="249">
        <f t="shared" si="55"/>
        <v>0.53251255109340034</v>
      </c>
      <c r="U153" s="245">
        <f>'Berekening trap 1'!H153*$T153</f>
        <v>3.3102501329570553E-3</v>
      </c>
      <c r="V153" s="375">
        <f>'Berekening trap 1'!I153*$T153</f>
        <v>2.9214183499767466E-3</v>
      </c>
    </row>
    <row r="154" spans="1:30" x14ac:dyDescent="0.2">
      <c r="A154" s="43">
        <f>A153*'Berekening trap 1'!H$58</f>
        <v>14.901865906976735</v>
      </c>
      <c r="B154" s="6">
        <f t="shared" si="39"/>
        <v>14.554038241864195</v>
      </c>
      <c r="C154" s="169">
        <f t="shared" si="53"/>
        <v>20.952037448359356</v>
      </c>
      <c r="D154" s="202">
        <f t="shared" ref="D154:D185" si="57">IF(C154-$K$35&gt;0,EXP(-(((C154-$K$35)/$K$37)^$K$39)),1)</f>
        <v>3.4586357981882167E-3</v>
      </c>
      <c r="E154" s="199">
        <f t="shared" si="40"/>
        <v>5.2239618979322E-3</v>
      </c>
      <c r="F154" s="43">
        <f t="shared" si="41"/>
        <v>3.0086756041113605E-3</v>
      </c>
      <c r="G154" s="156">
        <f t="shared" si="42"/>
        <v>4.5906617441326568E-3</v>
      </c>
      <c r="H154" s="171">
        <f t="shared" si="43"/>
        <v>5.2239618979322E-3</v>
      </c>
      <c r="I154" s="181">
        <f t="shared" si="44"/>
        <v>4.5906617441326568E-3</v>
      </c>
      <c r="J154" s="395">
        <f>IF(INVOER!$S$36=1,100-H154*100,100-I154*100)</f>
        <v>99.540933825586734</v>
      </c>
      <c r="K154" s="43">
        <f t="shared" si="47"/>
        <v>30</v>
      </c>
      <c r="L154" s="6">
        <f t="shared" si="48"/>
        <v>13.76</v>
      </c>
      <c r="M154" s="6">
        <f t="shared" si="49"/>
        <v>15.32</v>
      </c>
      <c r="N154" s="6">
        <f t="shared" si="50"/>
        <v>0.90159999999999996</v>
      </c>
      <c r="O154" s="6">
        <f t="shared" si="51"/>
        <v>0.88919999999999999</v>
      </c>
      <c r="P154" s="40">
        <f t="shared" si="45"/>
        <v>1.1684417484482357</v>
      </c>
      <c r="Q154" s="6">
        <f t="shared" si="46"/>
        <v>95.80096854252912</v>
      </c>
      <c r="R154" s="123">
        <f t="shared" si="52"/>
        <v>0.89252857482280845</v>
      </c>
      <c r="S154" s="6">
        <f t="shared" si="54"/>
        <v>89.252857482280845</v>
      </c>
      <c r="T154" s="249">
        <f t="shared" si="55"/>
        <v>0.55301789877723051</v>
      </c>
      <c r="U154" s="245">
        <f>'Berekening trap 1'!H154*$T154</f>
        <v>2.8889444320867783E-3</v>
      </c>
      <c r="V154" s="375">
        <f>'Berekening trap 1'!I154*$T154</f>
        <v>2.538718111737258E-3</v>
      </c>
    </row>
    <row r="155" spans="1:30" x14ac:dyDescent="0.2">
      <c r="A155" s="43">
        <f>A154*'Berekening trap 1'!H$58</f>
        <v>15.631586362159382</v>
      </c>
      <c r="B155" s="6">
        <f t="shared" si="39"/>
        <v>15.266726134568058</v>
      </c>
      <c r="C155" s="169">
        <f t="shared" si="53"/>
        <v>21.978025093078571</v>
      </c>
      <c r="D155" s="202">
        <f t="shared" si="57"/>
        <v>2.8080636353061666E-3</v>
      </c>
      <c r="E155" s="199">
        <f t="shared" si="40"/>
        <v>4.3637952957269743E-3</v>
      </c>
      <c r="F155" s="43">
        <f t="shared" si="41"/>
        <v>2.4302543272512332E-3</v>
      </c>
      <c r="G155" s="156">
        <f t="shared" si="42"/>
        <v>3.8178420234338812E-3</v>
      </c>
      <c r="H155" s="171">
        <f t="shared" si="43"/>
        <v>4.3637952957269743E-3</v>
      </c>
      <c r="I155" s="181">
        <f t="shared" si="44"/>
        <v>3.8178420234338812E-3</v>
      </c>
      <c r="J155" s="395">
        <f>IF(INVOER!$S$36=1,100-H155*100,100-I155*100)</f>
        <v>99.618215797656617</v>
      </c>
      <c r="K155" s="43">
        <f t="shared" si="47"/>
        <v>31</v>
      </c>
      <c r="L155" s="6">
        <f t="shared" si="48"/>
        <v>15.32</v>
      </c>
      <c r="M155" s="6">
        <f t="shared" si="49"/>
        <v>17.5</v>
      </c>
      <c r="N155" s="6">
        <f t="shared" si="50"/>
        <v>0.88919999999999999</v>
      </c>
      <c r="O155" s="6">
        <f t="shared" si="51"/>
        <v>0.87590000000000001</v>
      </c>
      <c r="P155" s="40">
        <f t="shared" si="45"/>
        <v>0.90752845435448659</v>
      </c>
      <c r="Q155" s="6">
        <f t="shared" si="46"/>
        <v>162.27471458917833</v>
      </c>
      <c r="R155" s="123">
        <f t="shared" si="52"/>
        <v>0.88727649133728381</v>
      </c>
      <c r="S155" s="6">
        <f t="shared" si="54"/>
        <v>88.727649133728377</v>
      </c>
      <c r="T155" s="249">
        <f t="shared" si="55"/>
        <v>0.5252083485524639</v>
      </c>
      <c r="U155" s="245">
        <f>'Berekening trap 1'!H155*$T155</f>
        <v>2.2919017206897751E-3</v>
      </c>
      <c r="V155" s="375">
        <f>'Berekening trap 1'!I155*$T155</f>
        <v>2.0051625041619058E-3</v>
      </c>
    </row>
    <row r="156" spans="1:30" x14ac:dyDescent="0.2">
      <c r="A156" s="45">
        <f>A155*'Berekening trap 1'!H$58</f>
        <v>16.397040056792445</v>
      </c>
      <c r="B156" s="46">
        <f t="shared" si="39"/>
        <v>16.014313209475915</v>
      </c>
      <c r="C156" s="184">
        <f t="shared" si="53"/>
        <v>23.054253705995322</v>
      </c>
      <c r="D156" s="203">
        <f t="shared" si="57"/>
        <v>2.2630385728212806E-3</v>
      </c>
      <c r="E156" s="168">
        <f t="shared" si="40"/>
        <v>3.6227178704479101E-3</v>
      </c>
      <c r="F156" s="45">
        <f t="shared" si="41"/>
        <v>1.9481924702348659E-3</v>
      </c>
      <c r="G156" s="185">
        <f t="shared" si="42"/>
        <v>3.1550055362844875E-3</v>
      </c>
      <c r="H156" s="172">
        <f t="shared" si="43"/>
        <v>3.6227178704479101E-3</v>
      </c>
      <c r="I156" s="243">
        <f t="shared" si="44"/>
        <v>3.1550055362844875E-3</v>
      </c>
      <c r="J156" s="395">
        <f>IF(INVOER!$S$36=1,100-H156*100,100-I156*100)</f>
        <v>99.684499446371547</v>
      </c>
      <c r="K156" s="43">
        <f t="shared" si="47"/>
        <v>31</v>
      </c>
      <c r="L156" s="6">
        <f t="shared" si="48"/>
        <v>15.32</v>
      </c>
      <c r="M156" s="6">
        <f t="shared" si="49"/>
        <v>17.5</v>
      </c>
      <c r="N156" s="6">
        <f t="shared" si="50"/>
        <v>0.88919999999999999</v>
      </c>
      <c r="O156" s="6">
        <f t="shared" si="51"/>
        <v>0.87590000000000001</v>
      </c>
      <c r="P156" s="40">
        <f t="shared" si="45"/>
        <v>0.90752845435448659</v>
      </c>
      <c r="Q156" s="6">
        <f t="shared" si="46"/>
        <v>162.27471458917833</v>
      </c>
      <c r="R156" s="123">
        <f t="shared" si="52"/>
        <v>0.88258357317591618</v>
      </c>
      <c r="S156" s="6">
        <f t="shared" si="54"/>
        <v>88.258357317591617</v>
      </c>
      <c r="T156" s="249">
        <f t="shared" si="55"/>
        <v>0.46929181613676318</v>
      </c>
      <c r="U156" s="246">
        <f>'Berekening trap 1'!H156*$T156</f>
        <v>1.700111848773607E-3</v>
      </c>
      <c r="V156" s="376">
        <f>'Berekening trap 1'!I156*$T156</f>
        <v>1.4806182780444897E-3</v>
      </c>
    </row>
    <row r="157" spans="1:30" x14ac:dyDescent="0.2">
      <c r="A157" s="43">
        <f>A156*'Berekening trap 1'!H$58</f>
        <v>17.19997679025807</v>
      </c>
      <c r="B157" s="6">
        <f t="shared" si="39"/>
        <v>16.798508423525256</v>
      </c>
      <c r="C157" s="169">
        <f t="shared" si="53"/>
        <v>24.18318350668282</v>
      </c>
      <c r="D157" s="202">
        <f t="shared" si="57"/>
        <v>1.8098562790322672E-3</v>
      </c>
      <c r="E157" s="199">
        <f t="shared" si="40"/>
        <v>2.9882559408352929E-3</v>
      </c>
      <c r="F157" s="43">
        <f t="shared" si="41"/>
        <v>1.5495198589848835E-3</v>
      </c>
      <c r="G157" s="156">
        <f t="shared" si="42"/>
        <v>2.5901617771456643E-3</v>
      </c>
      <c r="H157" s="171">
        <f t="shared" si="43"/>
        <v>2.9882559408352929E-3</v>
      </c>
      <c r="I157" s="181">
        <f t="shared" si="44"/>
        <v>2.5901617771456643E-3</v>
      </c>
      <c r="J157" s="393">
        <f>IF(INVOER!$S$36=1,100-H157*100,100-I157*100)</f>
        <v>99.740983822285429</v>
      </c>
      <c r="K157" s="41">
        <f t="shared" si="47"/>
        <v>31</v>
      </c>
      <c r="L157" s="5">
        <f t="shared" si="48"/>
        <v>15.32</v>
      </c>
      <c r="M157" s="5">
        <f t="shared" si="49"/>
        <v>17.5</v>
      </c>
      <c r="N157" s="5">
        <f t="shared" si="50"/>
        <v>0.88919999999999999</v>
      </c>
      <c r="O157" s="5">
        <f t="shared" si="51"/>
        <v>0.87590000000000001</v>
      </c>
      <c r="P157" s="39">
        <f t="shared" si="45"/>
        <v>0.90752845435448659</v>
      </c>
      <c r="Q157" s="5">
        <f t="shared" si="46"/>
        <v>162.27471458917833</v>
      </c>
      <c r="R157" s="247">
        <f t="shared" si="52"/>
        <v>0.87770905940506405</v>
      </c>
      <c r="S157" s="5">
        <f t="shared" si="54"/>
        <v>87.77090594050641</v>
      </c>
      <c r="T157" s="251">
        <f t="shared" si="55"/>
        <v>0.48745137708521291</v>
      </c>
      <c r="U157" s="245">
        <f>'Berekening trap 1'!H157*$T157</f>
        <v>1.456629473443232E-3</v>
      </c>
      <c r="V157" s="375">
        <f>'Berekening trap 1'!I157*$T157</f>
        <v>1.2625779251431363E-3</v>
      </c>
    </row>
    <row r="158" spans="1:30" x14ac:dyDescent="0.2">
      <c r="A158" s="43">
        <f>A157*'Berekening trap 1'!H$58</f>
        <v>18.042232046805633</v>
      </c>
      <c r="B158" s="6">
        <f t="shared" si="39"/>
        <v>17.62110441853185</v>
      </c>
      <c r="C158" s="169">
        <f t="shared" si="53"/>
        <v>25.367395187718021</v>
      </c>
      <c r="D158" s="202">
        <f t="shared" si="57"/>
        <v>1.4359635669502224E-3</v>
      </c>
      <c r="E158" s="199">
        <f t="shared" si="40"/>
        <v>2.4486029894310564E-3</v>
      </c>
      <c r="F158" s="43">
        <f t="shared" si="41"/>
        <v>1.222432007583772E-3</v>
      </c>
      <c r="G158" s="156">
        <f t="shared" si="42"/>
        <v>2.1120298986467105E-3</v>
      </c>
      <c r="H158" s="171">
        <f t="shared" si="43"/>
        <v>2.4486029894310564E-3</v>
      </c>
      <c r="I158" s="181">
        <f t="shared" si="44"/>
        <v>2.1120298986467105E-3</v>
      </c>
      <c r="J158" s="395">
        <f>IF(INVOER!$S$36=1,100-H158*100,100-I158*100)</f>
        <v>99.788797010135326</v>
      </c>
      <c r="K158" s="43">
        <f t="shared" si="47"/>
        <v>32</v>
      </c>
      <c r="L158" s="6">
        <f t="shared" si="48"/>
        <v>17.5</v>
      </c>
      <c r="M158" s="6">
        <f t="shared" si="49"/>
        <v>18.97</v>
      </c>
      <c r="N158" s="6">
        <f t="shared" si="50"/>
        <v>0.87590000000000001</v>
      </c>
      <c r="O158" s="6">
        <f t="shared" si="51"/>
        <v>0.86180000000000012</v>
      </c>
      <c r="P158" s="40">
        <f t="shared" si="45"/>
        <v>1.4324506265353021</v>
      </c>
      <c r="Q158" s="6">
        <f t="shared" si="46"/>
        <v>71.748906953579279</v>
      </c>
      <c r="R158" s="123">
        <f t="shared" si="52"/>
        <v>0.87072981070070787</v>
      </c>
      <c r="S158" s="6">
        <f t="shared" si="54"/>
        <v>87.072981070070782</v>
      </c>
      <c r="T158" s="249">
        <f t="shared" si="55"/>
        <v>0.69792487043561779</v>
      </c>
      <c r="U158" s="245">
        <f>'Berekening trap 1'!H158*$T158</f>
        <v>1.7089409241469364E-3</v>
      </c>
      <c r="V158" s="375">
        <f>'Berekening trap 1'!I158*$T158</f>
        <v>1.4740381933691564E-3</v>
      </c>
    </row>
    <row r="159" spans="1:30" x14ac:dyDescent="0.2">
      <c r="A159" s="43">
        <f>A158*'Berekening trap 1'!H$58</f>
        <v>18.92573119140215</v>
      </c>
      <c r="B159" s="6">
        <f t="shared" si="39"/>
        <v>18.483981619103893</v>
      </c>
      <c r="C159" s="169">
        <f t="shared" si="53"/>
        <v>26.609595814051215</v>
      </c>
      <c r="D159" s="202">
        <f t="shared" si="57"/>
        <v>1.1299669426087515E-3</v>
      </c>
      <c r="E159" s="199">
        <f t="shared" si="40"/>
        <v>1.9926780518677622E-3</v>
      </c>
      <c r="F159" s="43">
        <f t="shared" si="41"/>
        <v>9.5628487893431504E-4</v>
      </c>
      <c r="G159" s="156">
        <f t="shared" si="42"/>
        <v>1.7100864873123038E-3</v>
      </c>
      <c r="H159" s="171">
        <f t="shared" si="43"/>
        <v>1.9926780518677622E-3</v>
      </c>
      <c r="I159" s="181">
        <f t="shared" si="44"/>
        <v>1.7100864873123038E-3</v>
      </c>
      <c r="J159" s="395">
        <f>IF(INVOER!$S$36=1,100-H159*100,100-I159*100)</f>
        <v>99.828991351268769</v>
      </c>
      <c r="K159" s="43">
        <f t="shared" si="47"/>
        <v>32</v>
      </c>
      <c r="L159" s="6">
        <f t="shared" si="48"/>
        <v>17.5</v>
      </c>
      <c r="M159" s="6">
        <f t="shared" si="49"/>
        <v>18.97</v>
      </c>
      <c r="N159" s="6">
        <f t="shared" si="50"/>
        <v>0.87590000000000001</v>
      </c>
      <c r="O159" s="6">
        <f t="shared" si="51"/>
        <v>0.86180000000000012</v>
      </c>
      <c r="P159" s="40">
        <f t="shared" si="45"/>
        <v>1.4324506265353021</v>
      </c>
      <c r="Q159" s="6">
        <f t="shared" si="46"/>
        <v>71.748906953579279</v>
      </c>
      <c r="R159" s="123">
        <f t="shared" si="52"/>
        <v>0.8622283609263609</v>
      </c>
      <c r="S159" s="6">
        <f t="shared" si="54"/>
        <v>86.222836092636086</v>
      </c>
      <c r="T159" s="249">
        <f t="shared" si="55"/>
        <v>0.85014497743469697</v>
      </c>
      <c r="U159" s="245">
        <f>'Berekening trap 1'!H159*$T159</f>
        <v>1.6940652374397346E-3</v>
      </c>
      <c r="V159" s="375">
        <f>'Berekening trap 1'!I159*$T159</f>
        <v>1.4538214381674987E-3</v>
      </c>
    </row>
    <row r="160" spans="1:30" x14ac:dyDescent="0.2">
      <c r="A160" s="43">
        <f>A159*'Berekening trap 1'!H$58</f>
        <v>19.852493871046757</v>
      </c>
      <c r="B160" s="6">
        <f t="shared" si="39"/>
        <v>19.389112531224455</v>
      </c>
      <c r="C160" s="169">
        <f t="shared" si="53"/>
        <v>27.91262501125831</v>
      </c>
      <c r="D160" s="202">
        <f t="shared" si="57"/>
        <v>8.8162191474590681E-4</v>
      </c>
      <c r="E160" s="199">
        <f t="shared" si="40"/>
        <v>1.6101692849166366E-3</v>
      </c>
      <c r="F160" s="43">
        <f t="shared" si="41"/>
        <v>7.4157152740016434E-4</v>
      </c>
      <c r="G160" s="156">
        <f t="shared" si="42"/>
        <v>1.3745985102654851E-3</v>
      </c>
      <c r="H160" s="171">
        <f t="shared" si="43"/>
        <v>1.6101692849166366E-3</v>
      </c>
      <c r="I160" s="181">
        <f t="shared" si="44"/>
        <v>1.3745985102654851E-3</v>
      </c>
      <c r="J160" s="395">
        <f>IF(INVOER!$S$36=1,100-H160*100,100-I160*100)</f>
        <v>99.862540148973451</v>
      </c>
      <c r="K160" s="43">
        <f t="shared" si="47"/>
        <v>33</v>
      </c>
      <c r="L160" s="6">
        <f t="shared" si="48"/>
        <v>18.97</v>
      </c>
      <c r="M160" s="6">
        <f t="shared" si="49"/>
        <v>21.21</v>
      </c>
      <c r="N160" s="6">
        <f t="shared" si="50"/>
        <v>0.86180000000000012</v>
      </c>
      <c r="O160" s="6">
        <f t="shared" si="51"/>
        <v>0.84680000000000011</v>
      </c>
      <c r="P160" s="40">
        <f t="shared" si="45"/>
        <v>0.99979684817056014</v>
      </c>
      <c r="Q160" s="6">
        <f t="shared" si="46"/>
        <v>127.59419537639651</v>
      </c>
      <c r="R160" s="123">
        <f t="shared" si="52"/>
        <v>0.85585894064893275</v>
      </c>
      <c r="S160" s="6">
        <f t="shared" si="54"/>
        <v>85.585894064893282</v>
      </c>
      <c r="T160" s="249">
        <f t="shared" si="55"/>
        <v>0.63694202774281505</v>
      </c>
      <c r="U160" s="245">
        <f>'Berekening trap 1'!H160*$T160</f>
        <v>1.025584489344001E-3</v>
      </c>
      <c r="V160" s="375">
        <f>'Berekening trap 1'!I160*$T160</f>
        <v>8.7553956246075087E-4</v>
      </c>
    </row>
    <row r="161" spans="1:22" x14ac:dyDescent="0.2">
      <c r="A161" s="45">
        <f>A160*'Berekening trap 1'!H$58</f>
        <v>20.824638631610505</v>
      </c>
      <c r="B161" s="46">
        <f t="shared" si="39"/>
        <v>20.338566251328629</v>
      </c>
      <c r="C161" s="184">
        <f t="shared" si="53"/>
        <v>29.279461456821934</v>
      </c>
      <c r="D161" s="203">
        <f t="shared" si="57"/>
        <v>6.8180481901390741E-4</v>
      </c>
      <c r="E161" s="168">
        <f t="shared" si="40"/>
        <v>1.291562741187793E-3</v>
      </c>
      <c r="F161" s="45">
        <f t="shared" si="41"/>
        <v>5.69882654361489E-4</v>
      </c>
      <c r="G161" s="185">
        <f t="shared" si="42"/>
        <v>1.0966417225850189E-3</v>
      </c>
      <c r="H161" s="172">
        <f t="shared" si="43"/>
        <v>1.291562741187793E-3</v>
      </c>
      <c r="I161" s="243">
        <f t="shared" si="44"/>
        <v>1.0966417225850189E-3</v>
      </c>
      <c r="J161" s="394">
        <f>IF(INVOER!$S$36=1,100-H161*100,100-I161*100)</f>
        <v>99.890335827741495</v>
      </c>
      <c r="K161" s="43">
        <f t="shared" si="47"/>
        <v>33</v>
      </c>
      <c r="L161" s="6">
        <f t="shared" si="48"/>
        <v>18.97</v>
      </c>
      <c r="M161" s="6">
        <f t="shared" si="49"/>
        <v>21.21</v>
      </c>
      <c r="N161" s="6">
        <f t="shared" si="50"/>
        <v>0.86180000000000012</v>
      </c>
      <c r="O161" s="6">
        <f t="shared" si="51"/>
        <v>0.84680000000000011</v>
      </c>
      <c r="P161" s="40">
        <f t="shared" si="45"/>
        <v>0.99979684817056014</v>
      </c>
      <c r="Q161" s="6">
        <f t="shared" si="46"/>
        <v>127.59419537639651</v>
      </c>
      <c r="R161" s="123">
        <f t="shared" si="52"/>
        <v>0.84936179924799571</v>
      </c>
      <c r="S161" s="6">
        <f t="shared" si="54"/>
        <v>84.936179924799575</v>
      </c>
      <c r="T161" s="249">
        <f t="shared" si="55"/>
        <v>0.64971414009370454</v>
      </c>
      <c r="U161" s="246">
        <f>'Berekening trap 1'!H161*$T161</f>
        <v>8.3914657576789477E-4</v>
      </c>
      <c r="V161" s="376">
        <f>'Berekening trap 1'!I161*$T161</f>
        <v>7.125036337802045E-4</v>
      </c>
    </row>
    <row r="162" spans="1:22" x14ac:dyDescent="0.2">
      <c r="A162" s="43">
        <f>A161*'Berekening trap 1'!H$58</f>
        <v>21.84438776075536</v>
      </c>
      <c r="B162" s="6">
        <f t="shared" si="39"/>
        <v>21.334513196182932</v>
      </c>
      <c r="C162" s="169">
        <f t="shared" si="53"/>
        <v>30.713229689280119</v>
      </c>
      <c r="D162" s="202">
        <f t="shared" si="57"/>
        <v>5.2246928320669509E-4</v>
      </c>
      <c r="E162" s="199">
        <f t="shared" si="40"/>
        <v>1.0281567421730319E-3</v>
      </c>
      <c r="F162" s="43">
        <f t="shared" si="41"/>
        <v>4.3385341933360662E-4</v>
      </c>
      <c r="G162" s="156">
        <f t="shared" si="42"/>
        <v>8.6810517443391391E-4</v>
      </c>
      <c r="H162" s="171">
        <f t="shared" si="43"/>
        <v>1.0281567421730319E-3</v>
      </c>
      <c r="I162" s="181">
        <f t="shared" si="44"/>
        <v>8.6810517443391391E-4</v>
      </c>
      <c r="J162" s="395">
        <f>IF(INVOER!$S$36=1,100-H162*100,100-I162*100)</f>
        <v>99.913189482556604</v>
      </c>
      <c r="K162" s="41">
        <f t="shared" si="47"/>
        <v>34</v>
      </c>
      <c r="L162" s="5">
        <f t="shared" si="48"/>
        <v>21.21</v>
      </c>
      <c r="M162" s="5">
        <f t="shared" si="49"/>
        <v>23.51</v>
      </c>
      <c r="N162" s="5">
        <f t="shared" si="50"/>
        <v>0.84680000000000011</v>
      </c>
      <c r="O162" s="5">
        <f t="shared" si="51"/>
        <v>0.83140000000000003</v>
      </c>
      <c r="P162" s="39">
        <f t="shared" si="45"/>
        <v>1.0169030188640238</v>
      </c>
      <c r="Q162" s="5">
        <f t="shared" si="46"/>
        <v>123.80033751528329</v>
      </c>
      <c r="R162" s="247">
        <f t="shared" si="52"/>
        <v>0.8425268003185975</v>
      </c>
      <c r="S162" s="5">
        <f t="shared" si="54"/>
        <v>84.252680031859754</v>
      </c>
      <c r="T162" s="251">
        <f t="shared" si="55"/>
        <v>0.68349989293982061</v>
      </c>
      <c r="U162" s="245">
        <f>'Berekening trap 1'!H162*$T162</f>
        <v>7.0274502320062204E-4</v>
      </c>
      <c r="V162" s="375">
        <f>'Berekening trap 1'!I162*$T162</f>
        <v>5.9334979378608446E-4</v>
      </c>
    </row>
    <row r="163" spans="1:22" x14ac:dyDescent="0.2">
      <c r="A163" s="43">
        <f>A162*'Berekening trap 1'!H$58</f>
        <v>22.914072368003218</v>
      </c>
      <c r="B163" s="6">
        <f t="shared" si="39"/>
        <v>22.379230064379289</v>
      </c>
      <c r="C163" s="169">
        <f t="shared" si="53"/>
        <v>32.217207250808023</v>
      </c>
      <c r="D163" s="202">
        <f t="shared" si="57"/>
        <v>3.9658974213627716E-4</v>
      </c>
      <c r="E163" s="199">
        <f t="shared" si="40"/>
        <v>8.1206258349364241E-4</v>
      </c>
      <c r="F163" s="43">
        <f t="shared" si="41"/>
        <v>3.2709906282631389E-4</v>
      </c>
      <c r="G163" s="156">
        <f t="shared" si="42"/>
        <v>6.8168277588458019E-4</v>
      </c>
      <c r="H163" s="171">
        <f t="shared" si="43"/>
        <v>8.1206258349364241E-4</v>
      </c>
      <c r="I163" s="181">
        <f t="shared" si="44"/>
        <v>6.8168277588458019E-4</v>
      </c>
      <c r="J163" s="395">
        <f>IF(INVOER!$S$36=1,100-H163*100,100-I163*100)</f>
        <v>99.931831722411545</v>
      </c>
      <c r="K163" s="43">
        <f t="shared" si="47"/>
        <v>34</v>
      </c>
      <c r="L163" s="6">
        <f t="shared" si="48"/>
        <v>21.21</v>
      </c>
      <c r="M163" s="6">
        <f t="shared" si="49"/>
        <v>23.51</v>
      </c>
      <c r="N163" s="6">
        <f t="shared" si="50"/>
        <v>0.84680000000000011</v>
      </c>
      <c r="O163" s="6">
        <f t="shared" si="51"/>
        <v>0.83140000000000003</v>
      </c>
      <c r="P163" s="40">
        <f t="shared" si="45"/>
        <v>1.0169030188640238</v>
      </c>
      <c r="Q163" s="6">
        <f t="shared" si="46"/>
        <v>123.80033751528329</v>
      </c>
      <c r="R163" s="123">
        <f t="shared" si="52"/>
        <v>0.83536557437776482</v>
      </c>
      <c r="S163" s="6">
        <f t="shared" si="54"/>
        <v>83.53655743777648</v>
      </c>
      <c r="T163" s="249">
        <f t="shared" si="55"/>
        <v>0.71612259408326828</v>
      </c>
      <c r="U163" s="245">
        <f>'Berekening trap 1'!H163*$T163</f>
        <v>5.8153636384942781E-4</v>
      </c>
      <c r="V163" s="375">
        <f>'Berekening trap 1'!I163*$T163</f>
        <v>4.8816843780834874E-4</v>
      </c>
    </row>
    <row r="164" spans="1:22" x14ac:dyDescent="0.2">
      <c r="A164" s="43">
        <f>A163*'Berekening trap 1'!H$58</f>
        <v>24.036137713567701</v>
      </c>
      <c r="B164" s="6">
        <f t="shared" si="39"/>
        <v>23.475105040785458</v>
      </c>
      <c r="C164" s="169">
        <f t="shared" si="53"/>
        <v>33.794832179560508</v>
      </c>
      <c r="D164" s="202">
        <f t="shared" si="57"/>
        <v>2.9809459290243342E-4</v>
      </c>
      <c r="E164" s="199">
        <f t="shared" si="40"/>
        <v>6.3619261433220191E-4</v>
      </c>
      <c r="F164" s="43">
        <f t="shared" si="41"/>
        <v>2.4414200714292252E-4</v>
      </c>
      <c r="G164" s="156">
        <f t="shared" si="42"/>
        <v>5.3085315407944503E-4</v>
      </c>
      <c r="H164" s="171">
        <f t="shared" si="43"/>
        <v>6.3619261433220191E-4</v>
      </c>
      <c r="I164" s="181">
        <f t="shared" si="44"/>
        <v>5.3085315407944503E-4</v>
      </c>
      <c r="J164" s="395">
        <f>IF(INVOER!$S$36=1,100-H164*100,100-I164*100)</f>
        <v>99.946914684592059</v>
      </c>
      <c r="K164" s="43">
        <f t="shared" si="47"/>
        <v>35</v>
      </c>
      <c r="L164" s="6">
        <f t="shared" si="48"/>
        <v>23.51</v>
      </c>
      <c r="M164" s="6">
        <f t="shared" si="49"/>
        <v>26.16</v>
      </c>
      <c r="N164" s="6">
        <f t="shared" si="50"/>
        <v>0.83140000000000003</v>
      </c>
      <c r="O164" s="6">
        <f t="shared" si="51"/>
        <v>0.81519999999999992</v>
      </c>
      <c r="P164" s="40">
        <f t="shared" si="45"/>
        <v>0.94812551384344423</v>
      </c>
      <c r="Q164" s="6">
        <f t="shared" si="46"/>
        <v>139.65534752643589</v>
      </c>
      <c r="R164" s="123">
        <f t="shared" si="52"/>
        <v>0.82815093604193568</v>
      </c>
      <c r="S164" s="6">
        <f t="shared" si="54"/>
        <v>82.815093604193564</v>
      </c>
      <c r="T164" s="249">
        <f t="shared" si="55"/>
        <v>0.72146383358291377</v>
      </c>
      <c r="U164" s="245">
        <f>'Berekening trap 1'!H164*$T164</f>
        <v>4.5898996243324658E-4</v>
      </c>
      <c r="V164" s="375">
        <f>'Berekening trap 1'!I164*$T164</f>
        <v>3.8299135161173762E-4</v>
      </c>
    </row>
    <row r="165" spans="1:22" x14ac:dyDescent="0.2">
      <c r="A165" s="43">
        <f>A164*'Berekening trap 1'!H$58</f>
        <v>25.21314879813032</v>
      </c>
      <c r="B165" s="6">
        <f t="shared" si="39"/>
        <v>24.624643255849008</v>
      </c>
      <c r="C165" s="169">
        <f t="shared" si="53"/>
        <v>35.449710868902656</v>
      </c>
      <c r="D165" s="202">
        <f t="shared" si="57"/>
        <v>2.2179165965721976E-4</v>
      </c>
      <c r="E165" s="199">
        <f t="shared" si="40"/>
        <v>4.9423699608588793E-4</v>
      </c>
      <c r="F165" s="43">
        <f t="shared" si="41"/>
        <v>1.8033310781021756E-4</v>
      </c>
      <c r="G165" s="156">
        <f t="shared" si="42"/>
        <v>4.0984926238002862E-4</v>
      </c>
      <c r="H165" s="171">
        <f t="shared" si="43"/>
        <v>4.9423699608588793E-4</v>
      </c>
      <c r="I165" s="181">
        <f t="shared" si="44"/>
        <v>4.0984926238002862E-4</v>
      </c>
      <c r="J165" s="395">
        <f>IF(INVOER!$S$36=1,100-H165*100,100-I165*100)</f>
        <v>99.959015073762004</v>
      </c>
      <c r="K165" s="43">
        <f t="shared" si="47"/>
        <v>35</v>
      </c>
      <c r="L165" s="6">
        <f t="shared" si="48"/>
        <v>23.51</v>
      </c>
      <c r="M165" s="6">
        <f t="shared" si="49"/>
        <v>26.16</v>
      </c>
      <c r="N165" s="6">
        <f t="shared" si="50"/>
        <v>0.83140000000000003</v>
      </c>
      <c r="O165" s="6">
        <f t="shared" si="51"/>
        <v>0.81519999999999992</v>
      </c>
      <c r="P165" s="40">
        <f t="shared" si="45"/>
        <v>0.94812551384344423</v>
      </c>
      <c r="Q165" s="6">
        <f t="shared" si="46"/>
        <v>139.65534752643589</v>
      </c>
      <c r="R165" s="123">
        <f t="shared" si="52"/>
        <v>0.82094151364002399</v>
      </c>
      <c r="S165" s="6">
        <f t="shared" si="54"/>
        <v>82.0941513640024</v>
      </c>
      <c r="T165" s="249">
        <f t="shared" si="55"/>
        <v>0.72094224019116915</v>
      </c>
      <c r="U165" s="245">
        <f>'Berekening trap 1'!H165*$T165</f>
        <v>3.5631632714351412E-4</v>
      </c>
      <c r="V165" s="375">
        <f>'Berekening trap 1'!I165*$T165</f>
        <v>2.9547764536095607E-4</v>
      </c>
    </row>
    <row r="166" spans="1:22" x14ac:dyDescent="0.2">
      <c r="A166" s="45">
        <f>A165*'Berekening trap 1'!H$58</f>
        <v>26.447796226339001</v>
      </c>
      <c r="B166" s="46">
        <f t="shared" si="39"/>
        <v>25.83047251223466</v>
      </c>
      <c r="C166" s="184">
        <f t="shared" si="53"/>
        <v>37.185626311494168</v>
      </c>
      <c r="D166" s="203">
        <f t="shared" si="57"/>
        <v>1.6328861315652196E-4</v>
      </c>
      <c r="E166" s="168">
        <f t="shared" si="40"/>
        <v>3.8063065430086335E-4</v>
      </c>
      <c r="F166" s="45">
        <f t="shared" si="41"/>
        <v>1.3176963654858032E-4</v>
      </c>
      <c r="G166" s="185">
        <f t="shared" si="42"/>
        <v>3.1361936726115476E-4</v>
      </c>
      <c r="H166" s="172">
        <f t="shared" si="43"/>
        <v>3.8063065430086335E-4</v>
      </c>
      <c r="I166" s="243">
        <f t="shared" si="44"/>
        <v>3.1361936726115476E-4</v>
      </c>
      <c r="J166" s="395">
        <f>IF(INVOER!$S$36=1,100-H166*100,100-I166*100)</f>
        <v>99.968638063273886</v>
      </c>
      <c r="K166" s="43">
        <f t="shared" si="47"/>
        <v>36</v>
      </c>
      <c r="L166" s="6">
        <f t="shared" si="48"/>
        <v>26.16</v>
      </c>
      <c r="M166" s="6">
        <f t="shared" si="49"/>
        <v>29.12</v>
      </c>
      <c r="N166" s="6">
        <f t="shared" si="50"/>
        <v>0.81519999999999992</v>
      </c>
      <c r="O166" s="6">
        <f t="shared" si="51"/>
        <v>0.79810000000000003</v>
      </c>
      <c r="P166" s="40">
        <f t="shared" si="45"/>
        <v>0.92093811534906023</v>
      </c>
      <c r="Q166" s="6">
        <f t="shared" si="46"/>
        <v>146.73443167316921</v>
      </c>
      <c r="R166" s="123">
        <f t="shared" si="52"/>
        <v>0.81351492491183253</v>
      </c>
      <c r="S166" s="6">
        <f t="shared" si="54"/>
        <v>81.351492491183251</v>
      </c>
      <c r="T166" s="249">
        <f t="shared" si="55"/>
        <v>0.74265887281914633</v>
      </c>
      <c r="U166" s="246">
        <f>'Berekening trap 1'!H166*$T166</f>
        <v>2.8267873268349332E-4</v>
      </c>
      <c r="V166" s="376">
        <f>'Berekening trap 1'!I166*$T166</f>
        <v>2.3291220578442308E-4</v>
      </c>
    </row>
    <row r="167" spans="1:22" x14ac:dyDescent="0.2">
      <c r="A167" s="43">
        <f>A166*'Berekening trap 1'!H$58</f>
        <v>27.742902357432719</v>
      </c>
      <c r="B167" s="6">
        <f t="shared" si="39"/>
        <v>27.09534929188586</v>
      </c>
      <c r="C167" s="169">
        <f t="shared" si="53"/>
        <v>39.006546747073401</v>
      </c>
      <c r="D167" s="202">
        <f t="shared" si="57"/>
        <v>1.1891087118598685E-4</v>
      </c>
      <c r="E167" s="199">
        <f t="shared" si="40"/>
        <v>2.905120864765947E-4</v>
      </c>
      <c r="F167" s="43">
        <f t="shared" si="41"/>
        <v>9.5212396775760247E-5</v>
      </c>
      <c r="G167" s="156">
        <f t="shared" si="42"/>
        <v>2.3778114148433443E-4</v>
      </c>
      <c r="H167" s="171">
        <f t="shared" si="43"/>
        <v>2.905120864765947E-4</v>
      </c>
      <c r="I167" s="181">
        <f t="shared" si="44"/>
        <v>2.3778114148433443E-4</v>
      </c>
      <c r="J167" s="393">
        <f>IF(INVOER!$S$36=1,100-H167*100,100-I167*100)</f>
        <v>99.976221885851572</v>
      </c>
      <c r="K167" s="41">
        <f t="shared" si="47"/>
        <v>36</v>
      </c>
      <c r="L167" s="5">
        <f t="shared" si="48"/>
        <v>26.16</v>
      </c>
      <c r="M167" s="5">
        <f t="shared" si="49"/>
        <v>29.12</v>
      </c>
      <c r="N167" s="5">
        <f t="shared" si="50"/>
        <v>0.81519999999999992</v>
      </c>
      <c r="O167" s="5">
        <f t="shared" si="51"/>
        <v>0.79810000000000003</v>
      </c>
      <c r="P167" s="39">
        <f t="shared" si="45"/>
        <v>0.92093811534906023</v>
      </c>
      <c r="Q167" s="5">
        <f t="shared" si="46"/>
        <v>146.73443167316921</v>
      </c>
      <c r="R167" s="247">
        <f t="shared" si="52"/>
        <v>0.80599246535361879</v>
      </c>
      <c r="S167" s="5">
        <f t="shared" si="54"/>
        <v>80.599246535361885</v>
      </c>
      <c r="T167" s="251">
        <f t="shared" si="55"/>
        <v>0.75224595582137344</v>
      </c>
      <c r="U167" s="245">
        <f>'Berekening trap 1'!H167*$T167</f>
        <v>2.1853654216924748E-4</v>
      </c>
      <c r="V167" s="375">
        <f>'Berekening trap 1'!I167*$T167</f>
        <v>1.7886990205218039E-4</v>
      </c>
    </row>
    <row r="168" spans="1:22" x14ac:dyDescent="0.2">
      <c r="A168" s="43">
        <f>A167*'Berekening trap 1'!H$58</f>
        <v>29.101427757052338</v>
      </c>
      <c r="B168" s="6">
        <f t="shared" si="39"/>
        <v>28.42216505724253</v>
      </c>
      <c r="C168" s="169">
        <f t="shared" si="53"/>
        <v>40.916634733709458</v>
      </c>
      <c r="D168" s="202">
        <f t="shared" si="57"/>
        <v>8.5619302805815952E-5</v>
      </c>
      <c r="E168" s="199">
        <f t="shared" si="40"/>
        <v>2.1967577279287634E-4</v>
      </c>
      <c r="F168" s="43">
        <f t="shared" si="41"/>
        <v>6.8004118889640505E-5</v>
      </c>
      <c r="G168" s="156">
        <f t="shared" si="42"/>
        <v>1.7857063015902077E-4</v>
      </c>
      <c r="H168" s="171">
        <f t="shared" si="43"/>
        <v>2.1967577279287634E-4</v>
      </c>
      <c r="I168" s="181">
        <f t="shared" si="44"/>
        <v>1.7857063015902077E-4</v>
      </c>
      <c r="J168" s="395">
        <f>IF(INVOER!$S$36=1,100-H168*100,100-I168*100)</f>
        <v>99.982142936984104</v>
      </c>
      <c r="K168" s="43">
        <f t="shared" si="47"/>
        <v>36</v>
      </c>
      <c r="L168" s="6">
        <f t="shared" si="48"/>
        <v>26.16</v>
      </c>
      <c r="M168" s="6">
        <f t="shared" si="49"/>
        <v>29.12</v>
      </c>
      <c r="N168" s="6">
        <f t="shared" si="50"/>
        <v>0.81519999999999992</v>
      </c>
      <c r="O168" s="6">
        <f t="shared" si="51"/>
        <v>0.79810000000000003</v>
      </c>
      <c r="P168" s="40">
        <f t="shared" si="45"/>
        <v>0.92093811534906023</v>
      </c>
      <c r="Q168" s="6">
        <f t="shared" si="46"/>
        <v>146.73443167316921</v>
      </c>
      <c r="R168" s="123">
        <f t="shared" si="52"/>
        <v>0.79820572755122809</v>
      </c>
      <c r="S168" s="6">
        <f t="shared" si="54"/>
        <v>79.820572755122811</v>
      </c>
      <c r="T168" s="249">
        <f t="shared" si="55"/>
        <v>0.77867378023906975</v>
      </c>
      <c r="U168" s="245">
        <f>'Berekening trap 1'!H168*$T168</f>
        <v>1.7105576442756799E-4</v>
      </c>
      <c r="V168" s="375">
        <f>'Berekening trap 1'!I168*$T168</f>
        <v>1.3904826762559753E-4</v>
      </c>
    </row>
    <row r="169" spans="1:22" x14ac:dyDescent="0.2">
      <c r="A169" s="43">
        <f>A168*'Berekening trap 1'!H$58</f>
        <v>30.526477964986295</v>
      </c>
      <c r="B169" s="6">
        <f t="shared" si="39"/>
        <v>29.813952861019317</v>
      </c>
      <c r="C169" s="169">
        <f t="shared" si="53"/>
        <v>42.920256663258947</v>
      </c>
      <c r="D169" s="202">
        <f t="shared" si="57"/>
        <v>6.0929787604628067E-5</v>
      </c>
      <c r="E169" s="199">
        <f t="shared" si="40"/>
        <v>1.6451995671474268E-4</v>
      </c>
      <c r="F169" s="43">
        <f t="shared" si="41"/>
        <v>4.7990972444432094E-5</v>
      </c>
      <c r="G169" s="156">
        <f t="shared" si="42"/>
        <v>1.3278783139440239E-4</v>
      </c>
      <c r="H169" s="171">
        <f t="shared" si="43"/>
        <v>1.6451995671474268E-4</v>
      </c>
      <c r="I169" s="181">
        <f t="shared" si="44"/>
        <v>1.3278783139440239E-4</v>
      </c>
      <c r="J169" s="395">
        <f>IF(INVOER!$S$36=1,100-H169*100,100-I169*100)</f>
        <v>99.986721216860559</v>
      </c>
      <c r="K169" s="43">
        <f t="shared" si="47"/>
        <v>37</v>
      </c>
      <c r="L169" s="6">
        <f t="shared" si="48"/>
        <v>29.12</v>
      </c>
      <c r="M169" s="6">
        <f t="shared" si="49"/>
        <v>32.14</v>
      </c>
      <c r="N169" s="6">
        <f t="shared" si="50"/>
        <v>0.79810000000000003</v>
      </c>
      <c r="O169" s="6">
        <f t="shared" si="51"/>
        <v>0.77960000000000007</v>
      </c>
      <c r="P169" s="40">
        <f t="shared" si="45"/>
        <v>1.0026210815462708</v>
      </c>
      <c r="Q169" s="6">
        <f t="shared" si="46"/>
        <v>128.62125476930794</v>
      </c>
      <c r="R169" s="123">
        <f t="shared" si="52"/>
        <v>0.78943076049490823</v>
      </c>
      <c r="S169" s="6">
        <f t="shared" si="54"/>
        <v>78.943076049490827</v>
      </c>
      <c r="T169" s="249">
        <f t="shared" si="55"/>
        <v>0.87749670563198601</v>
      </c>
      <c r="U169" s="245">
        <f>'Berekening trap 1'!H169*$T169</f>
        <v>1.4436572002790365E-4</v>
      </c>
      <c r="V169" s="375">
        <f>'Berekening trap 1'!I169*$T169</f>
        <v>1.1652088459660371E-4</v>
      </c>
    </row>
    <row r="170" spans="1:22" x14ac:dyDescent="0.2">
      <c r="A170" s="43">
        <f>A169*'Berekening trap 1'!H$58</f>
        <v>32.021310594321911</v>
      </c>
      <c r="B170" s="6">
        <f t="shared" si="39"/>
        <v>31.273894279654101</v>
      </c>
      <c r="C170" s="169">
        <f t="shared" si="53"/>
        <v>45.021992742779432</v>
      </c>
      <c r="D170" s="202">
        <f t="shared" si="57"/>
        <v>4.2836358902522029E-5</v>
      </c>
      <c r="E170" s="199">
        <f t="shared" si="40"/>
        <v>1.219915203575618E-4</v>
      </c>
      <c r="F170" s="43">
        <f t="shared" si="41"/>
        <v>3.3448685201827456E-5</v>
      </c>
      <c r="G170" s="156">
        <f t="shared" si="42"/>
        <v>9.7740550044722141E-5</v>
      </c>
      <c r="H170" s="171">
        <f t="shared" si="43"/>
        <v>1.219915203575618E-4</v>
      </c>
      <c r="I170" s="181">
        <f t="shared" si="44"/>
        <v>9.7740550044722141E-5</v>
      </c>
      <c r="J170" s="395">
        <f>IF(INVOER!$S$36=1,100-H170*100,100-I170*100)</f>
        <v>99.99022594499553</v>
      </c>
      <c r="K170" s="43">
        <f t="shared" si="47"/>
        <v>37</v>
      </c>
      <c r="L170" s="6">
        <f t="shared" si="48"/>
        <v>29.12</v>
      </c>
      <c r="M170" s="6">
        <f t="shared" si="49"/>
        <v>32.14</v>
      </c>
      <c r="N170" s="6">
        <f t="shared" si="50"/>
        <v>0.79810000000000003</v>
      </c>
      <c r="O170" s="6">
        <f t="shared" si="51"/>
        <v>0.77960000000000007</v>
      </c>
      <c r="P170" s="40">
        <f t="shared" si="45"/>
        <v>1.0026210815462708</v>
      </c>
      <c r="Q170" s="6">
        <f t="shared" si="46"/>
        <v>128.62125476930794</v>
      </c>
      <c r="R170" s="123">
        <f t="shared" si="52"/>
        <v>0.78031899748440625</v>
      </c>
      <c r="S170" s="6">
        <f t="shared" si="54"/>
        <v>78.031899748440622</v>
      </c>
      <c r="T170" s="249">
        <f t="shared" si="55"/>
        <v>0.91117630105019831</v>
      </c>
      <c r="U170" s="245">
        <f>'Berekening trap 1'!H170*$T170</f>
        <v>1.1115578227889313E-4</v>
      </c>
      <c r="V170" s="375">
        <f>'Berekening trap 1'!I170*$T170</f>
        <v>8.9058872852361718E-5</v>
      </c>
    </row>
    <row r="171" spans="1:22" x14ac:dyDescent="0.2">
      <c r="A171" s="45">
        <f>A170*'Berekening trap 1'!H$58</f>
        <v>33.589342778230758</v>
      </c>
      <c r="B171" s="46">
        <f t="shared" si="39"/>
        <v>32.805326686276331</v>
      </c>
      <c r="C171" s="184">
        <f t="shared" si="53"/>
        <v>47.226647464716606</v>
      </c>
      <c r="D171" s="203">
        <f t="shared" si="57"/>
        <v>2.9739306743051818E-5</v>
      </c>
      <c r="E171" s="168">
        <f t="shared" si="40"/>
        <v>8.9529580924985853E-5</v>
      </c>
      <c r="F171" s="45">
        <f t="shared" si="41"/>
        <v>2.3014394889295542E-5</v>
      </c>
      <c r="G171" s="185">
        <f t="shared" si="42"/>
        <v>7.1188048885024863E-5</v>
      </c>
      <c r="H171" s="172">
        <f t="shared" si="43"/>
        <v>8.9529580924985853E-5</v>
      </c>
      <c r="I171" s="243">
        <f t="shared" si="44"/>
        <v>7.1188048885024863E-5</v>
      </c>
      <c r="J171" s="394">
        <f>IF(INVOER!$S$36=1,100-H171*100,100-I171*100)</f>
        <v>99.992881195111494</v>
      </c>
      <c r="K171" s="43">
        <f t="shared" si="47"/>
        <v>38</v>
      </c>
      <c r="L171" s="6">
        <f t="shared" si="48"/>
        <v>32.14</v>
      </c>
      <c r="M171" s="6">
        <f t="shared" si="49"/>
        <v>37.07</v>
      </c>
      <c r="N171" s="6">
        <f t="shared" si="50"/>
        <v>0.77960000000000007</v>
      </c>
      <c r="O171" s="6">
        <f t="shared" si="51"/>
        <v>0.75930000000000009</v>
      </c>
      <c r="P171" s="40">
        <f t="shared" si="45"/>
        <v>0.70580812225006684</v>
      </c>
      <c r="Q171" s="6">
        <f t="shared" si="46"/>
        <v>230.45364212454666</v>
      </c>
      <c r="R171" s="123">
        <f t="shared" si="52"/>
        <v>0.77348643638374193</v>
      </c>
      <c r="S171" s="6">
        <f t="shared" si="54"/>
        <v>77.348643638374199</v>
      </c>
      <c r="T171" s="249">
        <f t="shared" si="55"/>
        <v>0.6832561100664325</v>
      </c>
      <c r="U171" s="246">
        <f>'Berekening trap 1'!H171*$T171</f>
        <v>6.1171633198683713E-5</v>
      </c>
      <c r="V171" s="376">
        <f>'Berekening trap 1'!I171*$T171</f>
        <v>4.8639669364401126E-5</v>
      </c>
    </row>
    <row r="172" spans="1:22" x14ac:dyDescent="0.2">
      <c r="A172" s="43">
        <f>A171*'Berekening trap 1'!H$58</f>
        <v>35.234158981411127</v>
      </c>
      <c r="B172" s="6">
        <f t="shared" si="39"/>
        <v>34.411750879820943</v>
      </c>
      <c r="C172" s="169">
        <f t="shared" si="53"/>
        <v>49.539260589799753</v>
      </c>
      <c r="D172" s="202">
        <f t="shared" si="57"/>
        <v>2.0379252405375964E-5</v>
      </c>
      <c r="E172" s="199">
        <f t="shared" si="40"/>
        <v>6.5009287463250293E-5</v>
      </c>
      <c r="F172" s="43">
        <f t="shared" si="41"/>
        <v>1.5624997599551952E-5</v>
      </c>
      <c r="G172" s="156">
        <f t="shared" si="42"/>
        <v>5.1285845897411939E-5</v>
      </c>
      <c r="H172" s="171">
        <f t="shared" si="43"/>
        <v>6.5009287463250293E-5</v>
      </c>
      <c r="I172" s="181">
        <f t="shared" si="44"/>
        <v>5.1285845897411939E-5</v>
      </c>
      <c r="J172" s="395">
        <f>IF(INVOER!$S$36=1,100-H172*100,100-I172*100)</f>
        <v>99.994871415410259</v>
      </c>
      <c r="K172" s="41">
        <f t="shared" ref="K172:K186" si="58">VLOOKUP(A172,Z$76:AB$146,3)</f>
        <v>38</v>
      </c>
      <c r="L172" s="5">
        <f t="shared" ref="L172:L186" si="59">IF(K172=0,VLOOKUP(1,Y$77:AA$146,2),VLOOKUP(K172,Y$76:Z$145,2))</f>
        <v>32.14</v>
      </c>
      <c r="M172" s="5">
        <f t="shared" ref="M172:M186" si="60">IF(K172=0,VLOOKUP(2,Y$77:AA$145,2),VLOOKUP(K172+1,Y$77:Z$145,2))</f>
        <v>37.07</v>
      </c>
      <c r="N172" s="5">
        <f t="shared" ref="N172:N186" si="61">(VLOOKUP(L172,Z$76:AA$146,2))/100</f>
        <v>0.77960000000000007</v>
      </c>
      <c r="O172" s="5">
        <f t="shared" ref="O172:O184" si="62">(VLOOKUP(M172,Z$76:AA$145,2))/100</f>
        <v>0.75930000000000009</v>
      </c>
      <c r="P172" s="39">
        <f t="shared" si="45"/>
        <v>0.70580812225006684</v>
      </c>
      <c r="Q172" s="5">
        <f t="shared" si="46"/>
        <v>230.45364212454666</v>
      </c>
      <c r="R172" s="247">
        <f t="shared" ref="R172:R186" si="63">EXP(-((A172/Q172)^P172))</f>
        <v>0.76669842618057338</v>
      </c>
      <c r="S172" s="5">
        <f t="shared" si="54"/>
        <v>76.669842618057345</v>
      </c>
      <c r="T172" s="251">
        <f t="shared" si="55"/>
        <v>0.67880102031685485</v>
      </c>
      <c r="U172" s="245">
        <f>'Berekening trap 1'!H172*$T172</f>
        <v>4.4128370660126021E-5</v>
      </c>
      <c r="V172" s="375">
        <f>'Berekening trap 1'!I172*$T172</f>
        <v>3.481288452297621E-5</v>
      </c>
    </row>
    <row r="173" spans="1:22" x14ac:dyDescent="0.2">
      <c r="A173" s="43">
        <f>A172*'Berekening trap 1'!H$58</f>
        <v>36.959519194044347</v>
      </c>
      <c r="B173" s="6">
        <f t="shared" si="39"/>
        <v>36.096839087727737</v>
      </c>
      <c r="C173" s="169">
        <f t="shared" si="53"/>
        <v>51.96511866775198</v>
      </c>
      <c r="D173" s="202">
        <f t="shared" si="57"/>
        <v>1.3777849794303901E-5</v>
      </c>
      <c r="E173" s="199">
        <f t="shared" si="40"/>
        <v>4.6687111586343039E-5</v>
      </c>
      <c r="F173" s="43">
        <f t="shared" si="41"/>
        <v>1.0462414458374156E-5</v>
      </c>
      <c r="G173" s="156">
        <f t="shared" si="42"/>
        <v>3.6532800196194532E-5</v>
      </c>
      <c r="H173" s="171">
        <f t="shared" si="43"/>
        <v>4.6687111586343039E-5</v>
      </c>
      <c r="I173" s="181">
        <f t="shared" si="44"/>
        <v>3.6532800196194532E-5</v>
      </c>
      <c r="J173" s="395">
        <f>IF(INVOER!$S$36=1,100-H173*100,100-I173*100)</f>
        <v>99.99634671998038</v>
      </c>
      <c r="K173" s="43">
        <f t="shared" si="58"/>
        <v>38</v>
      </c>
      <c r="L173" s="6">
        <f t="shared" si="59"/>
        <v>32.14</v>
      </c>
      <c r="M173" s="6">
        <f t="shared" si="60"/>
        <v>37.07</v>
      </c>
      <c r="N173" s="6">
        <f t="shared" si="61"/>
        <v>0.77960000000000007</v>
      </c>
      <c r="O173" s="6">
        <f t="shared" si="62"/>
        <v>0.75930000000000009</v>
      </c>
      <c r="P173" s="40">
        <f t="shared" si="45"/>
        <v>0.70580812225006684</v>
      </c>
      <c r="Q173" s="6">
        <f t="shared" si="46"/>
        <v>230.45364212454666</v>
      </c>
      <c r="R173" s="123">
        <f t="shared" si="63"/>
        <v>0.75974012794250823</v>
      </c>
      <c r="S173" s="6">
        <f t="shared" si="54"/>
        <v>75.974012794250825</v>
      </c>
      <c r="T173" s="249">
        <f t="shared" si="55"/>
        <v>0.69582982380651526</v>
      </c>
      <c r="U173" s="245">
        <f>'Berekening trap 1'!H173*$T173</f>
        <v>3.2486284629160194E-5</v>
      </c>
      <c r="V173" s="375">
        <f>'Berekening trap 1'!I173*$T173</f>
        <v>2.5420611923676668E-5</v>
      </c>
    </row>
    <row r="174" spans="1:22" x14ac:dyDescent="0.2">
      <c r="A174" s="43">
        <f>A173*'Berekening trap 1'!H$58</f>
        <v>38.769367526995929</v>
      </c>
      <c r="B174" s="6">
        <f t="shared" si="39"/>
        <v>37.864443360520141</v>
      </c>
      <c r="C174" s="169">
        <f t="shared" si="53"/>
        <v>54.509767122151175</v>
      </c>
      <c r="D174" s="202">
        <f t="shared" si="57"/>
        <v>9.185436919657937E-6</v>
      </c>
      <c r="E174" s="199">
        <f t="shared" si="40"/>
        <v>3.3148713023427588E-5</v>
      </c>
      <c r="F174" s="43">
        <f t="shared" si="41"/>
        <v>6.9058898879063808E-6</v>
      </c>
      <c r="G174" s="156">
        <f t="shared" si="42"/>
        <v>2.5721404276131696E-5</v>
      </c>
      <c r="H174" s="171">
        <f t="shared" si="43"/>
        <v>3.3148713023427588E-5</v>
      </c>
      <c r="I174" s="181">
        <f t="shared" si="44"/>
        <v>2.5721404276131696E-5</v>
      </c>
      <c r="J174" s="395">
        <f>IF(INVOER!$S$36=1,100-H174*100,100-I174*100)</f>
        <v>99.997427859572383</v>
      </c>
      <c r="K174" s="43">
        <f t="shared" si="58"/>
        <v>39</v>
      </c>
      <c r="L174" s="6">
        <f t="shared" si="59"/>
        <v>37.07</v>
      </c>
      <c r="M174" s="6">
        <f t="shared" si="60"/>
        <v>40.15</v>
      </c>
      <c r="N174" s="6">
        <f t="shared" si="61"/>
        <v>0.75930000000000009</v>
      </c>
      <c r="O174" s="6">
        <f t="shared" si="62"/>
        <v>0.73650000000000004</v>
      </c>
      <c r="P174" s="40">
        <f t="shared" si="45"/>
        <v>1.3156595327726626</v>
      </c>
      <c r="Q174" s="6">
        <f t="shared" si="46"/>
        <v>98.796597997075921</v>
      </c>
      <c r="R174" s="123">
        <f t="shared" si="63"/>
        <v>0.74670518745697056</v>
      </c>
      <c r="S174" s="6">
        <f t="shared" si="54"/>
        <v>74.670518745697052</v>
      </c>
      <c r="T174" s="249">
        <f t="shared" si="55"/>
        <v>1.303494048553766</v>
      </c>
      <c r="U174" s="245">
        <f>'Berekening trap 1'!H174*$T174</f>
        <v>4.3209150143254579E-5</v>
      </c>
      <c r="V174" s="375">
        <f>'Berekening trap 1'!I174*$T174</f>
        <v>3.3527697394383053E-5</v>
      </c>
    </row>
    <row r="175" spans="1:22" x14ac:dyDescent="0.2">
      <c r="A175" s="43">
        <f>A174*'Berekening trap 1'!H$58</f>
        <v>40.66784122790996</v>
      </c>
      <c r="B175" s="6">
        <f>(A174+A175)/2</f>
        <v>39.718604377452948</v>
      </c>
      <c r="C175" s="169">
        <f t="shared" si="53"/>
        <v>57.179022927067088</v>
      </c>
      <c r="D175" s="202">
        <f t="shared" si="57"/>
        <v>6.0356660858009901E-6</v>
      </c>
      <c r="E175" s="199">
        <f t="shared" si="40"/>
        <v>2.326023272344347E-5</v>
      </c>
      <c r="F175" s="43">
        <f t="shared" si="41"/>
        <v>4.4911712827583436E-6</v>
      </c>
      <c r="G175" s="156">
        <f t="shared" si="42"/>
        <v>1.7891968592323896E-5</v>
      </c>
      <c r="H175" s="171">
        <f t="shared" si="43"/>
        <v>2.326023272344347E-5</v>
      </c>
      <c r="I175" s="181">
        <f t="shared" si="44"/>
        <v>1.7891968592323896E-5</v>
      </c>
      <c r="J175" s="395">
        <f>IF(INVOER!$S$36=1,100-H175*100,100-I175*100)</f>
        <v>99.998210803140765</v>
      </c>
      <c r="K175" s="43">
        <f t="shared" si="58"/>
        <v>40</v>
      </c>
      <c r="L175" s="6">
        <f t="shared" si="59"/>
        <v>40.15</v>
      </c>
      <c r="M175" s="6">
        <f t="shared" si="60"/>
        <v>44.89</v>
      </c>
      <c r="N175" s="6">
        <f t="shared" si="61"/>
        <v>0.73650000000000004</v>
      </c>
      <c r="O175" s="6">
        <f t="shared" si="62"/>
        <v>0.71060000000000001</v>
      </c>
      <c r="P175" s="40">
        <f t="shared" si="45"/>
        <v>0.99193018656698551</v>
      </c>
      <c r="Q175" s="6">
        <f t="shared" si="46"/>
        <v>132.54652827775726</v>
      </c>
      <c r="R175" s="123">
        <f t="shared" si="63"/>
        <v>0.73362395321150486</v>
      </c>
      <c r="S175" s="6">
        <f t="shared" si="54"/>
        <v>73.362395321150487</v>
      </c>
      <c r="T175" s="249">
        <f t="shared" si="55"/>
        <v>1.30812342454657</v>
      </c>
      <c r="U175" s="245">
        <f>'Berekening trap 1'!H175*$T175</f>
        <v>3.0427255285941063E-5</v>
      </c>
      <c r="V175" s="375">
        <f>'Berekening trap 1'!I175*$T175</f>
        <v>2.3404903226870407E-5</v>
      </c>
    </row>
    <row r="176" spans="1:22" x14ac:dyDescent="0.2">
      <c r="A176" s="45">
        <f>A175*'Berekening trap 1'!H$58</f>
        <v>42.659280138807176</v>
      </c>
      <c r="B176" s="46">
        <f t="shared" ref="B176:B185" si="64">(A175+A176)/2</f>
        <v>41.663560683358568</v>
      </c>
      <c r="C176" s="184">
        <f t="shared" si="53"/>
        <v>59.978987904453156</v>
      </c>
      <c r="D176" s="203">
        <f t="shared" si="57"/>
        <v>3.9068939353462327E-6</v>
      </c>
      <c r="E176" s="168">
        <f t="shared" ref="E176:E185" si="65">IF(C176-$K$36&gt;0,EXP(-(((C176-$K$36)/$K$38)^$K$40)),1)</f>
        <v>1.6123634572860958E-5</v>
      </c>
      <c r="F176" s="45">
        <f t="shared" ref="F176:F185" si="66">D176^($B$54*$B$63)</f>
        <v>2.8762079763926233E-6</v>
      </c>
      <c r="G176" s="185">
        <f t="shared" ref="G176:G185" si="67">E176^($B$54*$B$63)</f>
        <v>1.2291157172747273E-5</v>
      </c>
      <c r="H176" s="172">
        <f t="shared" ref="H176:H185" si="68">IF(C176&lt;$K$41,D176,E176)</f>
        <v>1.6123634572860958E-5</v>
      </c>
      <c r="I176" s="243">
        <f t="shared" ref="I176:I185" si="69">IF(C176&lt;$K$41,F176,G176)</f>
        <v>1.2291157172747273E-5</v>
      </c>
      <c r="J176" s="395">
        <f>IF(INVOER!$S$36=1,100-H176*100,100-I176*100)</f>
        <v>99.99877088428272</v>
      </c>
      <c r="K176" s="43">
        <f t="shared" si="58"/>
        <v>40</v>
      </c>
      <c r="L176" s="6">
        <f t="shared" si="59"/>
        <v>40.15</v>
      </c>
      <c r="M176" s="6">
        <f t="shared" si="60"/>
        <v>44.89</v>
      </c>
      <c r="N176" s="6">
        <f t="shared" si="61"/>
        <v>0.73650000000000004</v>
      </c>
      <c r="O176" s="6">
        <f t="shared" si="62"/>
        <v>0.71060000000000001</v>
      </c>
      <c r="P176" s="40">
        <f t="shared" ref="P176:P185" si="70">(LN(LN(N176)/LN(O176)))/LN(L176/M176)</f>
        <v>0.99193018656698551</v>
      </c>
      <c r="Q176" s="6">
        <f t="shared" ref="Q176:Q185" si="71">L176/((-LN(N176))^(1/P176))</f>
        <v>132.54652827775726</v>
      </c>
      <c r="R176" s="123">
        <f t="shared" si="63"/>
        <v>0.72267059982268167</v>
      </c>
      <c r="S176" s="6">
        <f t="shared" si="54"/>
        <v>72.267059982268165</v>
      </c>
      <c r="T176" s="249">
        <f t="shared" si="55"/>
        <v>1.0953353388823195</v>
      </c>
      <c r="U176" s="246">
        <f>'Berekening trap 1'!H176*$T176</f>
        <v>1.7660786738879339E-5</v>
      </c>
      <c r="V176" s="376">
        <f>'Berekening trap 1'!I176*$T176</f>
        <v>1.3462938807066987E-5</v>
      </c>
    </row>
    <row r="177" spans="1:24" x14ac:dyDescent="0.2">
      <c r="A177" s="43">
        <f>A176*'Berekening trap 1'!H$58</f>
        <v>44.748236616806373</v>
      </c>
      <c r="B177" s="6">
        <f t="shared" si="64"/>
        <v>43.703758377806778</v>
      </c>
      <c r="C177" s="169">
        <f t="shared" si="53"/>
        <v>62.916062672690124</v>
      </c>
      <c r="D177" s="202">
        <f t="shared" si="57"/>
        <v>2.4899176513160211E-6</v>
      </c>
      <c r="E177" s="199">
        <f t="shared" si="65"/>
        <v>1.1036492437810963E-5</v>
      </c>
      <c r="F177" s="43">
        <f t="shared" si="66"/>
        <v>1.8128497582842767E-6</v>
      </c>
      <c r="G177" s="156">
        <f t="shared" si="67"/>
        <v>8.3351199228400391E-6</v>
      </c>
      <c r="H177" s="171">
        <f t="shared" si="68"/>
        <v>1.1036492437810963E-5</v>
      </c>
      <c r="I177" s="181">
        <f t="shared" si="69"/>
        <v>8.3351199228400391E-6</v>
      </c>
      <c r="J177" s="393">
        <f>IF(INVOER!$S$36=1,100-H177*100,100-I177*100)</f>
        <v>99.999166488007717</v>
      </c>
      <c r="K177" s="41">
        <f t="shared" si="58"/>
        <v>40</v>
      </c>
      <c r="L177" s="5">
        <f t="shared" si="59"/>
        <v>40.15</v>
      </c>
      <c r="M177" s="5">
        <f t="shared" si="60"/>
        <v>44.89</v>
      </c>
      <c r="N177" s="5">
        <f t="shared" si="61"/>
        <v>0.73650000000000004</v>
      </c>
      <c r="O177" s="5">
        <f t="shared" si="62"/>
        <v>0.71060000000000001</v>
      </c>
      <c r="P177" s="39">
        <f t="shared" si="70"/>
        <v>0.99193018656698551</v>
      </c>
      <c r="Q177" s="5">
        <f t="shared" si="71"/>
        <v>132.54652827775726</v>
      </c>
      <c r="R177" s="247">
        <f t="shared" si="63"/>
        <v>0.71136091221823294</v>
      </c>
      <c r="S177" s="5">
        <f t="shared" si="54"/>
        <v>71.136091221823293</v>
      </c>
      <c r="T177" s="251">
        <f t="shared" si="55"/>
        <v>1.1309687604448726</v>
      </c>
      <c r="U177" s="245">
        <f>'Berekening trap 1'!H177*$T177</f>
        <v>1.2481928172050274E-5</v>
      </c>
      <c r="V177" s="375">
        <f>'Berekening trap 1'!I177*$T177</f>
        <v>9.4267602472937608E-6</v>
      </c>
    </row>
    <row r="178" spans="1:24" x14ac:dyDescent="0.2">
      <c r="A178" s="43">
        <f>A177*'Berekening trap 1'!H$58</f>
        <v>46.939485940647693</v>
      </c>
      <c r="B178" s="6">
        <f t="shared" si="64"/>
        <v>45.843861278727033</v>
      </c>
      <c r="C178" s="169">
        <f t="shared" si="53"/>
        <v>65.99696127816749</v>
      </c>
      <c r="D178" s="202">
        <f t="shared" si="57"/>
        <v>1.561502987241125E-6</v>
      </c>
      <c r="E178" s="199">
        <f t="shared" si="65"/>
        <v>7.4564116667056141E-6</v>
      </c>
      <c r="F178" s="43">
        <f t="shared" si="66"/>
        <v>1.1239209343899535E-6</v>
      </c>
      <c r="G178" s="156">
        <f t="shared" si="67"/>
        <v>5.577276593042749E-6</v>
      </c>
      <c r="H178" s="171">
        <f t="shared" si="68"/>
        <v>7.4564116667056141E-6</v>
      </c>
      <c r="I178" s="181">
        <f t="shared" si="69"/>
        <v>5.577276593042749E-6</v>
      </c>
      <c r="J178" s="395">
        <f>IF(INVOER!$S$36=1,100-H178*100,100-I178*100)</f>
        <v>99.999442272340701</v>
      </c>
      <c r="K178" s="43">
        <f t="shared" si="58"/>
        <v>41</v>
      </c>
      <c r="L178" s="6">
        <f t="shared" si="59"/>
        <v>44.89</v>
      </c>
      <c r="M178" s="6">
        <f t="shared" si="60"/>
        <v>49.74</v>
      </c>
      <c r="N178" s="6">
        <f t="shared" si="61"/>
        <v>0.71060000000000001</v>
      </c>
      <c r="O178" s="6">
        <f t="shared" si="62"/>
        <v>0.68200000000000005</v>
      </c>
      <c r="P178" s="40">
        <f t="shared" si="70"/>
        <v>1.106731220447031</v>
      </c>
      <c r="Q178" s="6">
        <f t="shared" si="71"/>
        <v>118.46570654948079</v>
      </c>
      <c r="R178" s="123">
        <f t="shared" si="63"/>
        <v>0.69840928583438844</v>
      </c>
      <c r="S178" s="6">
        <f t="shared" si="54"/>
        <v>69.840928583438838</v>
      </c>
      <c r="T178" s="249">
        <f t="shared" si="55"/>
        <v>1.2951626383844506</v>
      </c>
      <c r="U178" s="245">
        <f>'Berekening trap 1'!H178*$T178</f>
        <v>9.6572658071310419E-6</v>
      </c>
      <c r="V178" s="375">
        <f>'Berekening trap 1'!I178*$T178</f>
        <v>7.2234802672450865E-6</v>
      </c>
    </row>
    <row r="179" spans="1:24" x14ac:dyDescent="0.2">
      <c r="A179" s="43">
        <f>A178*'Berekening trap 1'!H$58</f>
        <v>49.238037226806597</v>
      </c>
      <c r="B179" s="6">
        <f t="shared" si="64"/>
        <v>48.088761583727148</v>
      </c>
      <c r="C179" s="169">
        <f t="shared" si="53"/>
        <v>69.228726543350078</v>
      </c>
      <c r="D179" s="202">
        <f t="shared" si="57"/>
        <v>9.630613659350425E-7</v>
      </c>
      <c r="E179" s="199">
        <f t="shared" si="65"/>
        <v>4.9700908918945296E-6</v>
      </c>
      <c r="F179" s="43">
        <f t="shared" si="66"/>
        <v>6.8499087381026593E-7</v>
      </c>
      <c r="G179" s="156">
        <f t="shared" si="67"/>
        <v>3.6806449758347647E-6</v>
      </c>
      <c r="H179" s="171">
        <f t="shared" si="68"/>
        <v>4.9700908918945296E-6</v>
      </c>
      <c r="I179" s="181">
        <f t="shared" si="69"/>
        <v>3.6806449758347647E-6</v>
      </c>
      <c r="J179" s="395">
        <f>IF(INVOER!$S$36=1,100-H179*100,100-I179*100)</f>
        <v>99.999631935502421</v>
      </c>
      <c r="K179" s="43">
        <f t="shared" si="58"/>
        <v>41</v>
      </c>
      <c r="L179" s="6">
        <f t="shared" si="59"/>
        <v>44.89</v>
      </c>
      <c r="M179" s="6">
        <f t="shared" si="60"/>
        <v>49.74</v>
      </c>
      <c r="N179" s="6">
        <f t="shared" si="61"/>
        <v>0.71060000000000001</v>
      </c>
      <c r="O179" s="6">
        <f t="shared" si="62"/>
        <v>0.68200000000000005</v>
      </c>
      <c r="P179" s="40">
        <f t="shared" si="70"/>
        <v>1.106731220447031</v>
      </c>
      <c r="Q179" s="6">
        <f t="shared" si="71"/>
        <v>118.46570654948079</v>
      </c>
      <c r="R179" s="123">
        <f t="shared" si="63"/>
        <v>0.68491993503156101</v>
      </c>
      <c r="S179" s="6">
        <f t="shared" si="54"/>
        <v>68.491993503156095</v>
      </c>
      <c r="T179" s="249">
        <f t="shared" si="55"/>
        <v>1.3489350802827427</v>
      </c>
      <c r="U179" s="245">
        <f>'Berekening trap 1'!H179*$T179</f>
        <v>6.7043299562702757E-6</v>
      </c>
      <c r="V179" s="375">
        <f>'Berekening trap 1'!I179*$T179</f>
        <v>4.964951125969942E-6</v>
      </c>
    </row>
    <row r="180" spans="1:24" x14ac:dyDescent="0.2">
      <c r="A180" s="43">
        <f>A179*'Berekening trap 1'!H$58</f>
        <v>51.649144880152463</v>
      </c>
      <c r="B180" s="6">
        <f t="shared" si="64"/>
        <v>50.44359105347953</v>
      </c>
      <c r="C180" s="169">
        <f t="shared" si="53"/>
        <v>72.618746166414667</v>
      </c>
      <c r="D180" s="202">
        <f t="shared" si="57"/>
        <v>5.8379213385131965E-7</v>
      </c>
      <c r="E180" s="199">
        <f t="shared" si="65"/>
        <v>3.2668762350658728E-6</v>
      </c>
      <c r="F180" s="43">
        <f t="shared" si="66"/>
        <v>4.1014962478014351E-7</v>
      </c>
      <c r="G180" s="156">
        <f t="shared" si="67"/>
        <v>2.3944753928072662E-6</v>
      </c>
      <c r="H180" s="171">
        <f t="shared" si="68"/>
        <v>3.2668762350658728E-6</v>
      </c>
      <c r="I180" s="181">
        <f t="shared" si="69"/>
        <v>2.3944753928072662E-6</v>
      </c>
      <c r="J180" s="395">
        <f>IF(INVOER!$S$36=1,100-H180*100,100-I180*100)</f>
        <v>99.999760552460714</v>
      </c>
      <c r="K180" s="43">
        <f t="shared" si="58"/>
        <v>42</v>
      </c>
      <c r="L180" s="6">
        <f t="shared" si="59"/>
        <v>49.74</v>
      </c>
      <c r="M180" s="6">
        <f t="shared" si="60"/>
        <v>55.36</v>
      </c>
      <c r="N180" s="6">
        <f t="shared" si="61"/>
        <v>0.68200000000000005</v>
      </c>
      <c r="O180" s="6">
        <f t="shared" si="62"/>
        <v>0.6472</v>
      </c>
      <c r="P180" s="40">
        <f t="shared" si="70"/>
        <v>1.1981307825146581</v>
      </c>
      <c r="Q180" s="6">
        <f t="shared" si="71"/>
        <v>110.87708135918197</v>
      </c>
      <c r="R180" s="123">
        <f t="shared" si="63"/>
        <v>0.67005708794455687</v>
      </c>
      <c r="S180" s="6">
        <f t="shared" si="54"/>
        <v>67.005708794455686</v>
      </c>
      <c r="T180" s="249">
        <f t="shared" si="55"/>
        <v>1.4862847087004138</v>
      </c>
      <c r="U180" s="245">
        <f>'Berekening trap 1'!H180*$T180</f>
        <v>4.8555081933951857E-6</v>
      </c>
      <c r="V180" s="375">
        <f>'Berekening trap 1'!I180*$T180</f>
        <v>3.5588721616888568E-6</v>
      </c>
    </row>
    <row r="181" spans="1:24" x14ac:dyDescent="0.2">
      <c r="A181" s="45">
        <f>A180*'Berekening trap 1'!H$58</f>
        <v>54.178320605327521</v>
      </c>
      <c r="B181" s="46">
        <f t="shared" si="64"/>
        <v>52.913732742739995</v>
      </c>
      <c r="C181" s="184">
        <f t="shared" si="53"/>
        <v>76.174769609260167</v>
      </c>
      <c r="D181" s="203">
        <f t="shared" si="57"/>
        <v>3.4760511283642998E-7</v>
      </c>
      <c r="E181" s="168">
        <f t="shared" si="65"/>
        <v>2.1165388074904768E-6</v>
      </c>
      <c r="F181" s="45">
        <f t="shared" si="66"/>
        <v>2.4111944475943198E-7</v>
      </c>
      <c r="G181" s="185">
        <f t="shared" si="67"/>
        <v>1.534856246179538E-6</v>
      </c>
      <c r="H181" s="172">
        <f t="shared" si="68"/>
        <v>2.1165388074904768E-6</v>
      </c>
      <c r="I181" s="243">
        <f t="shared" si="69"/>
        <v>1.534856246179538E-6</v>
      </c>
      <c r="J181" s="394">
        <f>IF(INVOER!$S$36=1,100-H181*100,100-I181*100)</f>
        <v>99.999846514375378</v>
      </c>
      <c r="K181" s="43">
        <f t="shared" si="58"/>
        <v>42</v>
      </c>
      <c r="L181" s="6">
        <f t="shared" si="59"/>
        <v>49.74</v>
      </c>
      <c r="M181" s="6">
        <f t="shared" si="60"/>
        <v>55.36</v>
      </c>
      <c r="N181" s="6">
        <f t="shared" si="61"/>
        <v>0.68200000000000005</v>
      </c>
      <c r="O181" s="6">
        <f t="shared" si="62"/>
        <v>0.6472</v>
      </c>
      <c r="P181" s="40">
        <f t="shared" si="70"/>
        <v>1.1981307825146581</v>
      </c>
      <c r="Q181" s="6">
        <f t="shared" si="71"/>
        <v>110.87708135918197</v>
      </c>
      <c r="R181" s="123">
        <f t="shared" si="63"/>
        <v>0.6544264346369435</v>
      </c>
      <c r="S181" s="6">
        <f t="shared" si="54"/>
        <v>65.442643463694353</v>
      </c>
      <c r="T181" s="249">
        <f t="shared" si="55"/>
        <v>1.5630653307613374</v>
      </c>
      <c r="U181" s="246">
        <f>'Berekening trap 1'!H181*$T181</f>
        <v>3.3082884311993088E-6</v>
      </c>
      <c r="V181" s="376">
        <f>'Berekening trap 1'!I181*$T181</f>
        <v>2.3990805861057242E-6</v>
      </c>
    </row>
    <row r="182" spans="1:24" x14ac:dyDescent="0.2">
      <c r="A182" s="43">
        <f>A181*'Berekening trap 1'!H$58</f>
        <v>56.831346006303754</v>
      </c>
      <c r="B182" s="6">
        <f t="shared" si="64"/>
        <v>55.504833305815637</v>
      </c>
      <c r="C182" s="169">
        <f t="shared" si="53"/>
        <v>79.904925812496316</v>
      </c>
      <c r="D182" s="202">
        <f t="shared" si="57"/>
        <v>2.0316951931021696E-7</v>
      </c>
      <c r="E182" s="199">
        <f t="shared" si="65"/>
        <v>1.3509184041043846E-6</v>
      </c>
      <c r="F182" s="43">
        <f t="shared" si="66"/>
        <v>1.3908122589868276E-7</v>
      </c>
      <c r="G182" s="156">
        <f t="shared" si="67"/>
        <v>9.6889056507145774E-7</v>
      </c>
      <c r="H182" s="171">
        <f t="shared" si="68"/>
        <v>1.3509184041043846E-6</v>
      </c>
      <c r="I182" s="181">
        <f t="shared" si="69"/>
        <v>9.6889056507145774E-7</v>
      </c>
      <c r="J182" s="393">
        <f>IF(INVOER!$S$36=1,100-H182*100,100-I182*100)</f>
        <v>99.999903110943492</v>
      </c>
      <c r="K182" s="41">
        <f t="shared" si="58"/>
        <v>43</v>
      </c>
      <c r="L182" s="5">
        <f t="shared" si="59"/>
        <v>55.36</v>
      </c>
      <c r="M182" s="5">
        <f t="shared" si="60"/>
        <v>61.61</v>
      </c>
      <c r="N182" s="5">
        <f t="shared" si="61"/>
        <v>0.6472</v>
      </c>
      <c r="O182" s="5">
        <f t="shared" si="62"/>
        <v>0.60870000000000002</v>
      </c>
      <c r="P182" s="39">
        <f t="shared" si="70"/>
        <v>1.2327766782642211</v>
      </c>
      <c r="Q182" s="5">
        <f t="shared" si="71"/>
        <v>108.73374574736735</v>
      </c>
      <c r="R182" s="247">
        <f t="shared" si="63"/>
        <v>0.63801114123551506</v>
      </c>
      <c r="S182" s="5">
        <f t="shared" si="54"/>
        <v>63.801114123551507</v>
      </c>
      <c r="T182" s="251">
        <f>IF(M182="x",0,(R181-R182)*100)</f>
        <v>1.6415293401428444</v>
      </c>
      <c r="U182" s="245">
        <f>'Berekening trap 1'!H182*$T182</f>
        <v>2.2175721964762948E-6</v>
      </c>
      <c r="V182" s="375">
        <f>'Berekening trap 1'!I182*$T182</f>
        <v>1.5904622899523775E-6</v>
      </c>
    </row>
    <row r="183" spans="1:24" x14ac:dyDescent="0.2">
      <c r="A183" s="43">
        <f>A182*'Berekening trap 1'!H$58</f>
        <v>59.614285802919873</v>
      </c>
      <c r="B183" s="6">
        <f t="shared" si="64"/>
        <v>58.222815904611814</v>
      </c>
      <c r="C183" s="169">
        <f t="shared" si="53"/>
        <v>83.817741777907187</v>
      </c>
      <c r="D183" s="202">
        <f t="shared" si="57"/>
        <v>1.1648936135141938E-7</v>
      </c>
      <c r="E183" s="199">
        <f t="shared" si="65"/>
        <v>8.4902020207686046E-7</v>
      </c>
      <c r="F183" s="43">
        <f t="shared" si="66"/>
        <v>7.8660167234601195E-8</v>
      </c>
      <c r="G183" s="156">
        <f t="shared" si="67"/>
        <v>6.0200852888710643E-7</v>
      </c>
      <c r="H183" s="171">
        <f t="shared" si="68"/>
        <v>8.4902020207686046E-7</v>
      </c>
      <c r="I183" s="181">
        <f t="shared" si="69"/>
        <v>6.0200852888710643E-7</v>
      </c>
      <c r="J183" s="395">
        <f>IF(INVOER!$S$36=1,100-H183*100,100-I183*100)</f>
        <v>99.999939799147114</v>
      </c>
      <c r="K183" s="43">
        <f t="shared" si="58"/>
        <v>43</v>
      </c>
      <c r="L183" s="6">
        <f t="shared" si="59"/>
        <v>55.36</v>
      </c>
      <c r="M183" s="6">
        <f t="shared" si="60"/>
        <v>61.61</v>
      </c>
      <c r="N183" s="6">
        <f t="shared" si="61"/>
        <v>0.6472</v>
      </c>
      <c r="O183" s="6">
        <f t="shared" si="62"/>
        <v>0.60870000000000002</v>
      </c>
      <c r="P183" s="40">
        <f>(LN(LN(N183)/LN(O183)))/LN(L183/M183)</f>
        <v>1.2327766782642211</v>
      </c>
      <c r="Q183" s="6">
        <f t="shared" si="71"/>
        <v>108.73374574736735</v>
      </c>
      <c r="R183" s="123">
        <f t="shared" si="63"/>
        <v>0.62084042211208468</v>
      </c>
      <c r="S183" s="6">
        <f t="shared" si="54"/>
        <v>62.08404221120847</v>
      </c>
      <c r="T183" s="249">
        <f>IF(M183="x",0,(R182-R183)*100)</f>
        <v>1.7170719123430378</v>
      </c>
      <c r="U183" s="245">
        <f>'Berekening trap 1'!H183*$T183</f>
        <v>1.4578287419979871E-6</v>
      </c>
      <c r="V183" s="375">
        <f>'Berekening trap 1'!I183*$T183</f>
        <v>1.0336919359430026E-6</v>
      </c>
    </row>
    <row r="184" spans="1:24" x14ac:dyDescent="0.2">
      <c r="A184" s="43">
        <f>A183*'Berekening trap 1'!H$58</f>
        <v>62.533501694610891</v>
      </c>
      <c r="B184" s="6">
        <f t="shared" si="64"/>
        <v>61.073893748765386</v>
      </c>
      <c r="C184" s="169">
        <f t="shared" si="53"/>
        <v>87.922162060867905</v>
      </c>
      <c r="D184" s="202">
        <f t="shared" si="57"/>
        <v>6.547413290367945E-8</v>
      </c>
      <c r="E184" s="199">
        <f t="shared" si="65"/>
        <v>5.2512411634882117E-7</v>
      </c>
      <c r="F184" s="43">
        <f t="shared" si="66"/>
        <v>4.3589752233415528E-8</v>
      </c>
      <c r="G184" s="156">
        <f t="shared" si="67"/>
        <v>3.6797201150485447E-7</v>
      </c>
      <c r="H184" s="171">
        <f t="shared" si="68"/>
        <v>5.2512411634882117E-7</v>
      </c>
      <c r="I184" s="181">
        <f t="shared" si="69"/>
        <v>3.6797201150485447E-7</v>
      </c>
      <c r="J184" s="395">
        <f>IF(INVOER!$S$36=1,100-H184*100,100-I184*100)</f>
        <v>99.999963202798853</v>
      </c>
      <c r="K184" s="43">
        <f t="shared" si="58"/>
        <v>44</v>
      </c>
      <c r="L184" s="6">
        <f t="shared" si="59"/>
        <v>61.61</v>
      </c>
      <c r="M184" s="6">
        <f t="shared" si="60"/>
        <v>68.58</v>
      </c>
      <c r="N184" s="6">
        <f t="shared" si="61"/>
        <v>0.60870000000000002</v>
      </c>
      <c r="O184" s="6">
        <f t="shared" si="62"/>
        <v>0.56559999999999999</v>
      </c>
      <c r="P184" s="40">
        <f t="shared" si="70"/>
        <v>1.2872481303331484</v>
      </c>
      <c r="Q184" s="6">
        <f t="shared" si="71"/>
        <v>106.15107241888629</v>
      </c>
      <c r="R184" s="123">
        <f t="shared" si="63"/>
        <v>0.60288489266685019</v>
      </c>
      <c r="S184" s="6">
        <f t="shared" si="54"/>
        <v>60.288489266685019</v>
      </c>
      <c r="T184" s="249">
        <f>IF(M184="x",0,(R183-R184)*100)</f>
        <v>1.7955529445234486</v>
      </c>
      <c r="U184" s="245">
        <f>'Berekening trap 1'!H184*$T184</f>
        <v>9.4288815335039987E-7</v>
      </c>
      <c r="V184" s="375">
        <f>'Berekening trap 1'!I184*$T184</f>
        <v>6.6071322875975774E-7</v>
      </c>
    </row>
    <row r="185" spans="1:24" x14ac:dyDescent="0.2">
      <c r="A185" s="43">
        <f>A184*'Berekening trap 1'!H$58</f>
        <v>65.595666903022305</v>
      </c>
      <c r="B185" s="6">
        <f t="shared" si="64"/>
        <v>64.064584298816598</v>
      </c>
      <c r="C185" s="169">
        <f t="shared" si="53"/>
        <v>92.22756921727381</v>
      </c>
      <c r="D185" s="202">
        <f t="shared" si="57"/>
        <v>3.6049459241487325E-8</v>
      </c>
      <c r="E185" s="199">
        <f t="shared" si="65"/>
        <v>3.1946405318323108E-7</v>
      </c>
      <c r="F185" s="43">
        <f t="shared" si="66"/>
        <v>2.3650439273298143E-8</v>
      </c>
      <c r="G185" s="156">
        <f t="shared" si="67"/>
        <v>2.2113950799714949E-7</v>
      </c>
      <c r="H185" s="171">
        <f t="shared" si="68"/>
        <v>3.1946405318323108E-7</v>
      </c>
      <c r="I185" s="181">
        <f t="shared" si="69"/>
        <v>2.2113950799714949E-7</v>
      </c>
      <c r="J185" s="395">
        <f>IF(INVOER!$S$36=1,100-H185*100,100-I185*100)</f>
        <v>99.999977886049194</v>
      </c>
      <c r="K185" s="43">
        <f t="shared" si="58"/>
        <v>44</v>
      </c>
      <c r="L185" s="6">
        <f t="shared" si="59"/>
        <v>61.61</v>
      </c>
      <c r="M185" s="6">
        <f t="shared" si="60"/>
        <v>68.58</v>
      </c>
      <c r="N185" s="6">
        <f t="shared" si="61"/>
        <v>0.60870000000000002</v>
      </c>
      <c r="O185" s="6">
        <f>(VLOOKUP(M185,Z$76:AA$145,2))/100</f>
        <v>0.56559999999999999</v>
      </c>
      <c r="P185" s="40">
        <f t="shared" si="70"/>
        <v>1.2872481303331484</v>
      </c>
      <c r="Q185" s="6">
        <f t="shared" si="71"/>
        <v>106.15107241888629</v>
      </c>
      <c r="R185" s="123">
        <f t="shared" si="63"/>
        <v>0.58382847792266912</v>
      </c>
      <c r="S185" s="6">
        <f t="shared" si="54"/>
        <v>58.382847792266915</v>
      </c>
      <c r="T185" s="249">
        <f>IF(M185="x",0,(R184-R185)*100)</f>
        <v>1.9056414744181072</v>
      </c>
      <c r="U185" s="245">
        <f>'Berekening trap 1'!H185*$T185</f>
        <v>6.0878394933167704E-7</v>
      </c>
      <c r="V185" s="375">
        <f>'Berekening trap 1'!I185*$T185</f>
        <v>4.2141261807178274E-7</v>
      </c>
    </row>
    <row r="186" spans="1:24" x14ac:dyDescent="0.2">
      <c r="A186" s="170">
        <f>'Berekening trap 1'!K56</f>
        <v>68.807781426752868</v>
      </c>
      <c r="B186" s="46">
        <f>(A185+A186)/2</f>
        <v>67.201724164887594</v>
      </c>
      <c r="C186" s="184">
        <f>B186/$B$51</f>
        <v>96.743805251723131</v>
      </c>
      <c r="D186" s="203">
        <f>IF(C186-$K$35&gt;0,EXP(-(((C186-$K$35)/$K$37)^$K$39)),1)</f>
        <v>1.9429063335756536E-8</v>
      </c>
      <c r="E186" s="168">
        <f>IF(C186-$K$36&gt;0,EXP(-(((C186-$K$36)/$K$38)^$K$40)),1)</f>
        <v>1.9105172482507493E-7</v>
      </c>
      <c r="F186" s="45">
        <f>D186^($B$54*$B$63)</f>
        <v>1.2554227580792594E-8</v>
      </c>
      <c r="G186" s="185">
        <f>E186^($B$54*$B$63)</f>
        <v>1.3058823716809201E-7</v>
      </c>
      <c r="H186" s="172">
        <f>IF(C186&lt;$K$41,D186,E186)</f>
        <v>1.9105172482507493E-7</v>
      </c>
      <c r="I186" s="243">
        <f>IF(C186&lt;$K$41,F186,G186)</f>
        <v>1.3058823716809201E-7</v>
      </c>
      <c r="J186" s="394">
        <f>IF(INVOER!$S$36=1,100-H186*100,100-I186*100)</f>
        <v>99.999986941176289</v>
      </c>
      <c r="K186" s="45">
        <f t="shared" si="58"/>
        <v>45</v>
      </c>
      <c r="L186" s="46">
        <f t="shared" si="59"/>
        <v>68.58</v>
      </c>
      <c r="M186" s="46">
        <f t="shared" si="60"/>
        <v>73.33</v>
      </c>
      <c r="N186" s="46">
        <f t="shared" si="61"/>
        <v>0.56559999999999999</v>
      </c>
      <c r="O186" s="46">
        <f>(VLOOKUP(M186,Z$76:AA$145,2))/100</f>
        <v>0.51819999999999999</v>
      </c>
      <c r="P186" s="51">
        <f>(LN(LN(N186)/LN(O186)))/LN(L186/M186)</f>
        <v>2.133506794083091</v>
      </c>
      <c r="Q186" s="46">
        <f>L186/((-LN(N186))^(1/P186))</f>
        <v>89.262475129774984</v>
      </c>
      <c r="R186" s="175">
        <f t="shared" si="63"/>
        <v>0.56331630928007281</v>
      </c>
      <c r="S186" s="46">
        <f t="shared" si="54"/>
        <v>56.331630928007279</v>
      </c>
      <c r="T186" s="250">
        <f>IF(M186="x",0,(R185-R186)*100)</f>
        <v>2.0512168642596307</v>
      </c>
      <c r="U186" s="246">
        <f>'Berekening trap 1'!H186*$T186</f>
        <v>3.9188851990708401E-7</v>
      </c>
      <c r="V186" s="376">
        <f>'Berekening trap 1'!I186*$T186</f>
        <v>2.6786479435312665E-7</v>
      </c>
    </row>
    <row r="187" spans="1:24" x14ac:dyDescent="0.2">
      <c r="C187" s="180"/>
      <c r="G187" s="156"/>
      <c r="H187" s="181"/>
      <c r="I187" s="181"/>
      <c r="S187" t="s">
        <v>235</v>
      </c>
      <c r="T187" s="228">
        <f>SUM(T76:T186)</f>
        <v>43.668369071992728</v>
      </c>
      <c r="U187" s="221">
        <f>(100-T187)*$H$56</f>
        <v>5.6331630928007266E-6</v>
      </c>
      <c r="V187" s="377">
        <f>(100-T187)*$H$56</f>
        <v>5.6331630928007266E-6</v>
      </c>
      <c r="W187" s="6"/>
    </row>
    <row r="188" spans="1:24" x14ac:dyDescent="0.2">
      <c r="C188" s="167"/>
      <c r="L188" s="161"/>
      <c r="M188" s="161"/>
      <c r="N188" s="161"/>
      <c r="O188" s="161"/>
      <c r="P188" s="161"/>
      <c r="Q188" s="161"/>
      <c r="U188" s="9"/>
      <c r="V188" s="211"/>
      <c r="W188" s="6"/>
      <c r="X188" s="167"/>
    </row>
    <row r="189" spans="1:24" x14ac:dyDescent="0.2">
      <c r="C189" s="167"/>
      <c r="Q189" s="212" t="s">
        <v>229</v>
      </c>
      <c r="R189" s="163" t="s">
        <v>194</v>
      </c>
      <c r="S189" s="162"/>
      <c r="T189" s="164"/>
      <c r="U189" s="225">
        <f>SUM(U76:U186)+U187</f>
        <v>0.91491838599970865</v>
      </c>
      <c r="V189" s="226">
        <f>SUM(V76:V186)+V187</f>
        <v>0.87564022535965458</v>
      </c>
      <c r="W189">
        <f>IF(INVOER!$S$36=1,'Berekening trap 1'!U189,'Berekening trap 1'!V189)</f>
        <v>0.87564022535965458</v>
      </c>
      <c r="X189" s="211" t="s">
        <v>227</v>
      </c>
    </row>
    <row r="190" spans="1:24" x14ac:dyDescent="0.2">
      <c r="Q190" s="212" t="s">
        <v>229</v>
      </c>
      <c r="R190" s="163" t="s">
        <v>130</v>
      </c>
      <c r="S190" s="162"/>
      <c r="T190" s="164"/>
      <c r="U190" s="225">
        <f>100-U189</f>
        <v>99.085081614000288</v>
      </c>
      <c r="V190" s="213">
        <f>100-V189</f>
        <v>99.12435977464034</v>
      </c>
      <c r="W190">
        <f>IF(INVOER!$S$36=1,'Berekening trap 1'!U190,'Berekening trap 1'!V190)</f>
        <v>99.12435977464034</v>
      </c>
      <c r="X190" s="211" t="s">
        <v>227</v>
      </c>
    </row>
    <row r="191" spans="1:24" x14ac:dyDescent="0.2">
      <c r="Q191" s="212" t="s">
        <v>229</v>
      </c>
      <c r="R191" s="163" t="s">
        <v>43</v>
      </c>
      <c r="S191" s="210"/>
      <c r="T191" s="210"/>
      <c r="U191" s="305">
        <f>10*B58*U189</f>
        <v>0.18298367719994174</v>
      </c>
      <c r="V191" s="305">
        <f>10*B58*V189</f>
        <v>0.17512804507193092</v>
      </c>
      <c r="W191">
        <f>10*$B$58*W189</f>
        <v>0.17512804507193092</v>
      </c>
      <c r="X191" s="17" t="s">
        <v>20</v>
      </c>
    </row>
    <row r="192" spans="1:24" x14ac:dyDescent="0.2">
      <c r="Q192" s="118" t="s">
        <v>229</v>
      </c>
      <c r="R192" s="163" t="s">
        <v>43</v>
      </c>
      <c r="S192" s="210"/>
      <c r="T192" s="210"/>
      <c r="U192" s="307">
        <f>10*INVOER!W19*U189</f>
        <v>0.2634160627823337</v>
      </c>
      <c r="V192" s="307">
        <f>10*INVOER!W19*'Berekening trap 1'!V189</f>
        <v>0.25210740554310934</v>
      </c>
      <c r="W192">
        <f>IF(INVOER!$S$36=1,'Berekening trap 1'!U192,'Berekening trap 1'!V192)</f>
        <v>0.25210740554310934</v>
      </c>
      <c r="X192" s="17" t="s">
        <v>250</v>
      </c>
    </row>
    <row r="193" spans="17:24" x14ac:dyDescent="0.2">
      <c r="Q193" s="118"/>
      <c r="R193" s="180"/>
      <c r="S193" s="180"/>
      <c r="T193" s="180"/>
      <c r="U193" s="180"/>
      <c r="V193" s="143"/>
      <c r="W193" s="17"/>
      <c r="X193" s="180"/>
    </row>
    <row r="194" spans="17:24" x14ac:dyDescent="0.2">
      <c r="Q194" s="118"/>
      <c r="R194" s="180"/>
      <c r="S194" s="180"/>
      <c r="T194" s="180"/>
      <c r="U194" s="180"/>
      <c r="V194" s="143"/>
      <c r="W194" s="17"/>
      <c r="X194" s="180"/>
    </row>
    <row r="195" spans="17:24" x14ac:dyDescent="0.2">
      <c r="X195" s="180"/>
    </row>
    <row r="196" spans="17:24" x14ac:dyDescent="0.2">
      <c r="X196" s="180"/>
    </row>
  </sheetData>
  <phoneticPr fontId="0" type="noConversion"/>
  <pageMargins left="0.75" right="0.75" top="1" bottom="1" header="0.5" footer="0.5"/>
  <pageSetup paperSize="9" scale="6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293" r:id="rId4">
          <objectPr defaultSize="0" autoPict="0" r:id="rId5">
            <anchor moveWithCells="1">
              <from>
                <xdr:col>14</xdr:col>
                <xdr:colOff>600075</xdr:colOff>
                <xdr:row>68</xdr:row>
                <xdr:rowOff>9525</xdr:rowOff>
              </from>
              <to>
                <xdr:col>15</xdr:col>
                <xdr:colOff>638175</xdr:colOff>
                <xdr:row>70</xdr:row>
                <xdr:rowOff>104775</xdr:rowOff>
              </to>
            </anchor>
          </objectPr>
        </oleObject>
      </mc:Choice>
      <mc:Fallback>
        <oleObject progId="Equation.3" shapeId="2293" r:id="rId4"/>
      </mc:Fallback>
    </mc:AlternateContent>
    <mc:AlternateContent xmlns:mc="http://schemas.openxmlformats.org/markup-compatibility/2006">
      <mc:Choice Requires="x14">
        <oleObject progId="Equation.3" shapeId="2296" r:id="rId6">
          <objectPr defaultSize="0" autoPict="0" r:id="rId7">
            <anchor moveWithCells="1">
              <from>
                <xdr:col>3</xdr:col>
                <xdr:colOff>28575</xdr:colOff>
                <xdr:row>49</xdr:row>
                <xdr:rowOff>66675</xdr:rowOff>
              </from>
              <to>
                <xdr:col>4</xdr:col>
                <xdr:colOff>533400</xdr:colOff>
                <xdr:row>51</xdr:row>
                <xdr:rowOff>95250</xdr:rowOff>
              </to>
            </anchor>
          </objectPr>
        </oleObject>
      </mc:Choice>
      <mc:Fallback>
        <oleObject progId="Equation.3" shapeId="2296" r:id="rId6"/>
      </mc:Fallback>
    </mc:AlternateContent>
    <mc:AlternateContent xmlns:mc="http://schemas.openxmlformats.org/markup-compatibility/2006">
      <mc:Choice Requires="x14">
        <oleObject progId="Equation.3" shapeId="2049" r:id="rId8">
          <objectPr defaultSize="0" autoPict="0" r:id="rId9">
            <anchor moveWithCells="1" sizeWithCells="1">
              <from>
                <xdr:col>11</xdr:col>
                <xdr:colOff>76200</xdr:colOff>
                <xdr:row>33</xdr:row>
                <xdr:rowOff>152400</xdr:rowOff>
              </from>
              <to>
                <xdr:col>13</xdr:col>
                <xdr:colOff>638175</xdr:colOff>
                <xdr:row>37</xdr:row>
                <xdr:rowOff>66675</xdr:rowOff>
              </to>
            </anchor>
          </objectPr>
        </oleObject>
      </mc:Choice>
      <mc:Fallback>
        <oleObject progId="Equation.3" shapeId="2049" r:id="rId8"/>
      </mc:Fallback>
    </mc:AlternateContent>
    <mc:AlternateContent xmlns:mc="http://schemas.openxmlformats.org/markup-compatibility/2006">
      <mc:Choice Requires="x14">
        <oleObject progId="Equation.3" shapeId="2294" r:id="rId10">
          <objectPr defaultSize="0" autoPict="0" r:id="rId11">
            <anchor moveWithCells="1" sizeWithCells="1">
              <from>
                <xdr:col>11</xdr:col>
                <xdr:colOff>76200</xdr:colOff>
                <xdr:row>37</xdr:row>
                <xdr:rowOff>66675</xdr:rowOff>
              </from>
              <to>
                <xdr:col>13</xdr:col>
                <xdr:colOff>638175</xdr:colOff>
                <xdr:row>40</xdr:row>
                <xdr:rowOff>142875</xdr:rowOff>
              </to>
            </anchor>
          </objectPr>
        </oleObject>
      </mc:Choice>
      <mc:Fallback>
        <oleObject progId="Equation.3" shapeId="2294" r:id="rId10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5"/>
  <dimension ref="A1:AF196"/>
  <sheetViews>
    <sheetView topLeftCell="H16" zoomScale="145" zoomScaleNormal="145" workbookViewId="0">
      <selection activeCell="T37" sqref="T37"/>
    </sheetView>
  </sheetViews>
  <sheetFormatPr defaultRowHeight="12.75" x14ac:dyDescent="0.2"/>
  <cols>
    <col min="1" max="30" width="10.7109375" customWidth="1"/>
  </cols>
  <sheetData>
    <row r="1" spans="1:24" x14ac:dyDescent="0.2">
      <c r="A1" s="9" t="s">
        <v>55</v>
      </c>
      <c r="B1" s="9"/>
    </row>
    <row r="4" spans="1:24" x14ac:dyDescent="0.2">
      <c r="A4" t="s">
        <v>188</v>
      </c>
    </row>
    <row r="5" spans="1:24" x14ac:dyDescent="0.2">
      <c r="X5" s="37"/>
    </row>
    <row r="6" spans="1:24" x14ac:dyDescent="0.2">
      <c r="A6" s="41" t="str">
        <f>INVOER!A7</f>
        <v>Gasdebiet/batterij</v>
      </c>
      <c r="B6" s="5"/>
      <c r="C6" s="5">
        <f>INVOER!U10</f>
        <v>21.219422232855933</v>
      </c>
      <c r="D6" s="5" t="s">
        <v>48</v>
      </c>
      <c r="E6" s="5" t="s">
        <v>86</v>
      </c>
      <c r="F6" s="5"/>
      <c r="G6" s="5"/>
      <c r="H6" s="42"/>
      <c r="X6" s="37"/>
    </row>
    <row r="7" spans="1:24" x14ac:dyDescent="0.2">
      <c r="A7" s="43" t="str">
        <f>INVOER!A8</f>
        <v>Dichtheid gas</v>
      </c>
      <c r="B7" s="6"/>
      <c r="C7" s="6">
        <f>INVOER!T16</f>
        <v>0.89770000000000005</v>
      </c>
      <c r="D7" s="6" t="s">
        <v>16</v>
      </c>
      <c r="E7" s="6"/>
      <c r="F7" s="6"/>
      <c r="G7" s="6"/>
      <c r="H7" s="44"/>
      <c r="X7" s="37"/>
    </row>
    <row r="8" spans="1:24" x14ac:dyDescent="0.2">
      <c r="A8" s="43" t="str">
        <f>INVOER!A9</f>
        <v>Dyn. viscositeit gas</v>
      </c>
      <c r="B8" s="6"/>
      <c r="C8" s="6">
        <f>INVOER!C9</f>
        <v>2.2700000000000001E-2</v>
      </c>
      <c r="D8" s="6" t="str">
        <f>INVOER!B9</f>
        <v>mPas of cP</v>
      </c>
      <c r="E8" s="6"/>
      <c r="F8" s="6"/>
      <c r="G8" s="6"/>
      <c r="H8" s="44"/>
      <c r="X8" s="37"/>
    </row>
    <row r="9" spans="1:24" x14ac:dyDescent="0.2">
      <c r="A9" s="43" t="str">
        <f>INVOER!A10</f>
        <v>Deeltjesdichtheid</v>
      </c>
      <c r="B9" s="6"/>
      <c r="C9" s="6">
        <f>INVOER!C10</f>
        <v>1200</v>
      </c>
      <c r="D9" s="6" t="str">
        <f>INVOER!B10</f>
        <v>kg/m³</v>
      </c>
      <c r="E9" s="6"/>
      <c r="F9" s="6"/>
      <c r="G9" s="6"/>
      <c r="H9" s="44"/>
      <c r="X9" s="37"/>
    </row>
    <row r="10" spans="1:24" x14ac:dyDescent="0.2">
      <c r="A10" s="43"/>
      <c r="B10" s="6"/>
      <c r="C10" s="6"/>
      <c r="D10" s="6"/>
      <c r="E10" s="6"/>
      <c r="F10" s="6"/>
      <c r="G10" s="6"/>
      <c r="H10" s="44"/>
      <c r="X10" s="37"/>
    </row>
    <row r="11" spans="1:24" x14ac:dyDescent="0.2">
      <c r="A11" s="43" t="str">
        <f>INVOER!A14</f>
        <v>Cycloontype AC</v>
      </c>
      <c r="B11" s="6"/>
      <c r="C11" s="6">
        <f>INVOER!S26</f>
        <v>6</v>
      </c>
      <c r="D11" s="6"/>
      <c r="E11" s="6"/>
      <c r="F11" s="6"/>
      <c r="G11" s="6"/>
      <c r="H11" s="44"/>
      <c r="X11" s="37"/>
    </row>
    <row r="12" spans="1:24" x14ac:dyDescent="0.2">
      <c r="A12" s="43" t="str">
        <f>INVOER!A15</f>
        <v xml:space="preserve">Aantal cyclonen </v>
      </c>
      <c r="B12" s="6"/>
      <c r="C12" s="6">
        <f>INVOER!E15</f>
        <v>120</v>
      </c>
      <c r="D12" s="6" t="str">
        <f>INVOER!B15</f>
        <v>(parallel)</v>
      </c>
      <c r="E12" s="6"/>
      <c r="F12" s="6"/>
      <c r="G12" s="6"/>
      <c r="H12" s="44"/>
    </row>
    <row r="13" spans="1:24" x14ac:dyDescent="0.2">
      <c r="A13" s="43" t="s">
        <v>51</v>
      </c>
      <c r="B13" s="6"/>
      <c r="C13" s="6">
        <f>INVOER!E18</f>
        <v>300</v>
      </c>
      <c r="D13" s="6" t="str">
        <f>INVOER!B18</f>
        <v>mm</v>
      </c>
      <c r="E13" s="6"/>
      <c r="F13" s="6"/>
      <c r="G13" s="6"/>
      <c r="H13" s="44"/>
    </row>
    <row r="14" spans="1:24" x14ac:dyDescent="0.2">
      <c r="A14" s="43" t="s">
        <v>53</v>
      </c>
      <c r="B14" s="6"/>
      <c r="C14" s="6">
        <f>INVOER!E20</f>
        <v>1</v>
      </c>
      <c r="D14" s="6" t="s">
        <v>54</v>
      </c>
      <c r="E14" s="6"/>
      <c r="F14" s="6"/>
      <c r="G14" s="6"/>
      <c r="H14" s="44"/>
    </row>
    <row r="15" spans="1:24" x14ac:dyDescent="0.2">
      <c r="A15" s="43" t="s">
        <v>248</v>
      </c>
      <c r="B15" s="6"/>
      <c r="C15" s="118" t="str">
        <f>IF(INVOER!S37=1,"neen","ja")</f>
        <v>neen</v>
      </c>
      <c r="D15" s="6"/>
      <c r="E15" s="6"/>
      <c r="F15" s="6"/>
      <c r="G15" s="6"/>
      <c r="H15" s="44"/>
    </row>
    <row r="16" spans="1:24" x14ac:dyDescent="0.2">
      <c r="A16" s="45"/>
      <c r="B16" s="46"/>
      <c r="C16" s="46"/>
      <c r="D16" s="46"/>
      <c r="E16" s="46"/>
      <c r="F16" s="46"/>
      <c r="G16" s="46"/>
      <c r="H16" s="50"/>
    </row>
    <row r="20" spans="1:20" x14ac:dyDescent="0.2">
      <c r="A20" s="215" t="s">
        <v>210</v>
      </c>
      <c r="Q20" t="s">
        <v>189</v>
      </c>
    </row>
    <row r="22" spans="1:20" x14ac:dyDescent="0.2">
      <c r="A22" s="148"/>
      <c r="B22" s="39">
        <v>1</v>
      </c>
      <c r="C22" s="39">
        <v>2</v>
      </c>
      <c r="D22" s="39">
        <v>3</v>
      </c>
      <c r="E22" s="39">
        <v>4</v>
      </c>
      <c r="F22" s="39">
        <v>5</v>
      </c>
      <c r="G22" s="39">
        <v>6</v>
      </c>
      <c r="H22" s="39">
        <v>7</v>
      </c>
      <c r="I22" s="39">
        <v>8</v>
      </c>
      <c r="J22" s="39">
        <v>9</v>
      </c>
      <c r="K22" s="139">
        <f>HLOOKUP(INVOER!S$26,B$22:J$43,1)</f>
        <v>6</v>
      </c>
      <c r="Q22" s="41" t="s">
        <v>198</v>
      </c>
      <c r="R22" s="5"/>
      <c r="S22" s="5"/>
      <c r="T22" s="42"/>
    </row>
    <row r="23" spans="1:20" x14ac:dyDescent="0.2">
      <c r="A23" s="152" t="s">
        <v>23</v>
      </c>
      <c r="B23" s="149">
        <v>300</v>
      </c>
      <c r="C23" s="149">
        <v>350</v>
      </c>
      <c r="D23" s="149">
        <v>435</v>
      </c>
      <c r="E23" s="149">
        <v>550</v>
      </c>
      <c r="F23" s="149">
        <v>750</v>
      </c>
      <c r="G23" s="149">
        <v>850</v>
      </c>
      <c r="H23" s="73" t="s">
        <v>212</v>
      </c>
      <c r="I23" s="149">
        <v>1850</v>
      </c>
      <c r="J23" s="74" t="s">
        <v>213</v>
      </c>
      <c r="K23" s="139">
        <f>HLOOKUP(INVOER!S$26,B$22:J$43,2)</f>
        <v>850</v>
      </c>
      <c r="L23" t="s">
        <v>214</v>
      </c>
      <c r="Q23" s="43"/>
      <c r="R23" s="6"/>
      <c r="S23" s="6"/>
      <c r="T23" s="44"/>
    </row>
    <row r="24" spans="1:20" x14ac:dyDescent="0.2">
      <c r="A24" s="145" t="s">
        <v>63</v>
      </c>
      <c r="B24" s="40">
        <v>0.34</v>
      </c>
      <c r="C24" s="40">
        <v>0.32</v>
      </c>
      <c r="D24" s="40">
        <v>0.28199999999999997</v>
      </c>
      <c r="E24" s="40">
        <v>0.25</v>
      </c>
      <c r="F24" s="40">
        <v>0.216</v>
      </c>
      <c r="G24" s="136">
        <v>0.20300000000000001</v>
      </c>
      <c r="H24" s="40">
        <v>0.20300000000000001</v>
      </c>
      <c r="I24" s="40">
        <v>0.13600000000000001</v>
      </c>
      <c r="J24" s="40">
        <v>0.13600000000000001</v>
      </c>
      <c r="K24" s="139">
        <f>HLOOKUP(INVOER!S$26,B$22:J$43,3)</f>
        <v>0.20300000000000001</v>
      </c>
      <c r="Q24" s="41" t="s">
        <v>39</v>
      </c>
      <c r="R24" s="150">
        <f>C6/C12/K24/K25/(C13/1000)^2</f>
        <v>21.178615276940324</v>
      </c>
      <c r="S24" s="5" t="s">
        <v>3</v>
      </c>
      <c r="T24" s="42"/>
    </row>
    <row r="25" spans="1:20" x14ac:dyDescent="0.2">
      <c r="A25" s="145" t="s">
        <v>64</v>
      </c>
      <c r="B25" s="40">
        <v>0.77</v>
      </c>
      <c r="C25" s="40">
        <v>0.7</v>
      </c>
      <c r="D25" s="40">
        <v>0.64</v>
      </c>
      <c r="E25" s="40">
        <v>0.56999999999999995</v>
      </c>
      <c r="F25" s="40">
        <v>0.48599999999999999</v>
      </c>
      <c r="G25" s="136">
        <v>0.45700000000000002</v>
      </c>
      <c r="H25" s="40">
        <v>0.45700000000000002</v>
      </c>
      <c r="I25" s="40">
        <v>0.31</v>
      </c>
      <c r="J25" s="40">
        <v>0.31</v>
      </c>
      <c r="K25" s="140">
        <f>HLOOKUP(INVOER!S$26,B$22:J$43,4)</f>
        <v>0.45700000000000002</v>
      </c>
      <c r="Q25" s="43" t="s">
        <v>120</v>
      </c>
      <c r="R25" s="61">
        <f>C6/C12/(PI()/4*(C14*K27*C13/1000)^2)</f>
        <v>26.542581946350044</v>
      </c>
      <c r="S25" s="6" t="s">
        <v>3</v>
      </c>
      <c r="T25" s="44"/>
    </row>
    <row r="26" spans="1:20" x14ac:dyDescent="0.2">
      <c r="A26" s="145" t="s">
        <v>65</v>
      </c>
      <c r="B26" s="40">
        <v>0.63</v>
      </c>
      <c r="C26" s="40">
        <v>0.61699999999999999</v>
      </c>
      <c r="D26" s="40">
        <v>0.6</v>
      </c>
      <c r="E26" s="40">
        <v>0.57999999999999996</v>
      </c>
      <c r="F26" s="40">
        <v>0.56999999999999995</v>
      </c>
      <c r="G26" s="136">
        <v>0.56399999999999995</v>
      </c>
      <c r="H26" s="40">
        <v>0.56399999999999995</v>
      </c>
      <c r="I26" s="40">
        <v>0.53</v>
      </c>
      <c r="J26" s="40">
        <v>0.53</v>
      </c>
      <c r="K26" s="140">
        <f>HLOOKUP(INVOER!S$26,B$22:J$43,5)</f>
        <v>0.56399999999999995</v>
      </c>
      <c r="Q26" s="45"/>
      <c r="R26" s="46"/>
      <c r="S26" s="46"/>
      <c r="T26" s="50"/>
    </row>
    <row r="27" spans="1:20" x14ac:dyDescent="0.2">
      <c r="A27" s="145" t="s">
        <v>66</v>
      </c>
      <c r="B27" s="40">
        <v>0.68</v>
      </c>
      <c r="C27" s="40">
        <v>0.63</v>
      </c>
      <c r="D27" s="40">
        <v>0.56000000000000005</v>
      </c>
      <c r="E27" s="40">
        <v>0.45</v>
      </c>
      <c r="F27" s="40">
        <v>0.36499999999999999</v>
      </c>
      <c r="G27" s="136">
        <v>0.307</v>
      </c>
      <c r="H27" s="40">
        <v>0.307</v>
      </c>
      <c r="I27" s="40">
        <v>0.15</v>
      </c>
      <c r="J27" s="40">
        <v>0.15</v>
      </c>
      <c r="K27" s="140">
        <f>HLOOKUP(INVOER!S$26,B$22:J$43,6)</f>
        <v>0.307</v>
      </c>
      <c r="Q27" s="214" t="s">
        <v>211</v>
      </c>
      <c r="R27" s="216">
        <f>K43*0.5*C7*R24^2*C14^(-2.23)</f>
        <v>1704.412128823423</v>
      </c>
      <c r="S27" s="198" t="s">
        <v>190</v>
      </c>
      <c r="T27" s="217"/>
    </row>
    <row r="28" spans="1:20" x14ac:dyDescent="0.2">
      <c r="A28" s="145" t="s">
        <v>67</v>
      </c>
      <c r="B28" s="40">
        <v>0.68</v>
      </c>
      <c r="C28" s="40">
        <v>0.63</v>
      </c>
      <c r="D28" s="40">
        <v>0.56000000000000005</v>
      </c>
      <c r="E28" s="40">
        <v>0.56000000000000005</v>
      </c>
      <c r="F28" s="40">
        <v>0.56000000000000005</v>
      </c>
      <c r="G28" s="136">
        <v>0.42799999999999999</v>
      </c>
      <c r="H28" s="40">
        <v>0.42799999999999999</v>
      </c>
      <c r="I28" s="40">
        <v>0.25</v>
      </c>
      <c r="J28" s="40">
        <v>0.25</v>
      </c>
      <c r="K28" s="140">
        <f>HLOOKUP(INVOER!S$26,B$22:J$43,7)</f>
        <v>0.42799999999999999</v>
      </c>
      <c r="Q28" s="214" t="s">
        <v>145</v>
      </c>
      <c r="R28" s="216">
        <f>IF(K22=1,"unknown",IF(K22=7,"unknown",IF(K22=8,"unknown",IF(K22=9,"unkown",0.5*C7*R24^2*T39))))</f>
        <v>1242.5740206825144</v>
      </c>
      <c r="S28" s="198" t="s">
        <v>190</v>
      </c>
      <c r="T28" s="218"/>
    </row>
    <row r="29" spans="1:20" x14ac:dyDescent="0.2">
      <c r="A29" s="145" t="s">
        <v>68</v>
      </c>
      <c r="B29" s="136">
        <v>2.048</v>
      </c>
      <c r="C29" s="136">
        <v>2.048</v>
      </c>
      <c r="D29" s="136">
        <v>2.048</v>
      </c>
      <c r="E29" s="136">
        <v>2.048</v>
      </c>
      <c r="F29" s="136">
        <v>2.048</v>
      </c>
      <c r="G29" s="136">
        <v>2.4849999999999999</v>
      </c>
      <c r="H29" s="136">
        <v>2.4849999999999999</v>
      </c>
      <c r="I29" s="136">
        <v>2.4849999999999999</v>
      </c>
      <c r="J29" s="136">
        <v>2.4849999999999999</v>
      </c>
      <c r="K29" s="140">
        <f>HLOOKUP(INVOER!S$26,B$22:J$43,8)</f>
        <v>2.4849999999999999</v>
      </c>
      <c r="Q29" s="43"/>
      <c r="R29" s="6"/>
      <c r="S29" s="6"/>
      <c r="T29" s="44"/>
    </row>
    <row r="30" spans="1:20" x14ac:dyDescent="0.2">
      <c r="A30" s="146" t="s">
        <v>125</v>
      </c>
      <c r="B30" s="143"/>
      <c r="C30" s="143"/>
      <c r="D30" s="143"/>
      <c r="E30" s="143"/>
      <c r="F30" s="143"/>
      <c r="G30" s="143"/>
      <c r="H30" s="143"/>
      <c r="I30" s="143"/>
      <c r="J30" s="143"/>
      <c r="K30" s="140">
        <v>1.3120000000000001</v>
      </c>
      <c r="Q30" s="41" t="s">
        <v>23</v>
      </c>
      <c r="R30" s="5" t="s">
        <v>63</v>
      </c>
      <c r="S30" s="5" t="s">
        <v>64</v>
      </c>
      <c r="T30" s="219" t="s">
        <v>146</v>
      </c>
    </row>
    <row r="31" spans="1:20" x14ac:dyDescent="0.2">
      <c r="A31" s="146" t="s">
        <v>126</v>
      </c>
      <c r="B31" s="143"/>
      <c r="C31" s="143"/>
      <c r="D31" s="143"/>
      <c r="E31" s="143"/>
      <c r="F31" s="143"/>
      <c r="G31" s="143"/>
      <c r="H31" s="143"/>
      <c r="I31" s="143"/>
      <c r="J31" s="143"/>
      <c r="K31" s="140">
        <v>0.6</v>
      </c>
      <c r="Q31" s="43">
        <v>300</v>
      </c>
      <c r="R31" s="6"/>
      <c r="S31" s="6"/>
      <c r="T31" s="44" t="s">
        <v>147</v>
      </c>
    </row>
    <row r="32" spans="1:20" x14ac:dyDescent="0.2">
      <c r="A32" s="146" t="s">
        <v>127</v>
      </c>
      <c r="B32" s="143"/>
      <c r="C32" s="143"/>
      <c r="D32" s="143"/>
      <c r="E32" s="143"/>
      <c r="F32" s="143"/>
      <c r="G32" s="143"/>
      <c r="H32" s="143"/>
      <c r="I32" s="143"/>
      <c r="J32" s="143"/>
      <c r="K32" s="140">
        <v>0.4</v>
      </c>
      <c r="Q32" s="43">
        <v>350</v>
      </c>
      <c r="R32" s="6">
        <v>24.693000000000001</v>
      </c>
      <c r="S32" s="6">
        <v>-16.765999999999998</v>
      </c>
      <c r="T32" s="44">
        <f>R32+S32*C$14</f>
        <v>7.9270000000000032</v>
      </c>
    </row>
    <row r="33" spans="1:20" x14ac:dyDescent="0.2">
      <c r="A33" s="146" t="s">
        <v>128</v>
      </c>
      <c r="B33" s="143"/>
      <c r="C33" s="143"/>
      <c r="D33" s="143"/>
      <c r="E33" s="143"/>
      <c r="F33" s="143"/>
      <c r="G33" s="143"/>
      <c r="H33" s="143"/>
      <c r="I33" s="143"/>
      <c r="J33" s="143"/>
      <c r="K33" s="141">
        <v>0.3</v>
      </c>
      <c r="Q33" s="43">
        <v>435</v>
      </c>
      <c r="R33" s="6">
        <v>19.100999999999999</v>
      </c>
      <c r="S33" s="6">
        <v>-10.840999999999999</v>
      </c>
      <c r="T33" s="44">
        <f>R33+S33*C$14</f>
        <v>8.26</v>
      </c>
    </row>
    <row r="34" spans="1:20" x14ac:dyDescent="0.2">
      <c r="A34" s="159" t="s">
        <v>69</v>
      </c>
      <c r="B34" s="149">
        <v>3</v>
      </c>
      <c r="C34" s="149">
        <v>3.5062000000000002</v>
      </c>
      <c r="D34" s="149">
        <v>4.3517000000000001</v>
      </c>
      <c r="E34" s="149">
        <v>5.5115999999999996</v>
      </c>
      <c r="F34" s="149">
        <v>7.4817</v>
      </c>
      <c r="G34" s="160">
        <v>8.4659999999999993</v>
      </c>
      <c r="H34" s="149">
        <v>8.4659999999999993</v>
      </c>
      <c r="I34" s="149">
        <v>18.629000000000001</v>
      </c>
      <c r="J34" s="154">
        <v>18.629000000000001</v>
      </c>
      <c r="K34" s="140">
        <f>HLOOKUP(INVOER!S$26,B$22:J$43,13)</f>
        <v>8.4659999999999993</v>
      </c>
      <c r="Q34" s="43">
        <v>550</v>
      </c>
      <c r="R34" s="6">
        <v>14.055999999999999</v>
      </c>
      <c r="S34" s="6">
        <v>-6.4409999999999998</v>
      </c>
      <c r="T34" s="44">
        <f>R34+S34*C$14</f>
        <v>7.6149999999999993</v>
      </c>
    </row>
    <row r="35" spans="1:20" x14ac:dyDescent="0.2">
      <c r="A35" s="157" t="s">
        <v>73</v>
      </c>
      <c r="B35" s="5">
        <v>1.1499999999999999</v>
      </c>
      <c r="C35" s="39">
        <v>1</v>
      </c>
      <c r="D35" s="39">
        <v>0.69</v>
      </c>
      <c r="E35" s="39">
        <v>0.52700000000000002</v>
      </c>
      <c r="F35" s="39">
        <v>0.5</v>
      </c>
      <c r="G35" s="158">
        <v>0.52</v>
      </c>
      <c r="H35" s="39">
        <v>0.51870000000000005</v>
      </c>
      <c r="I35" s="5">
        <v>0.5</v>
      </c>
      <c r="J35" s="5">
        <v>0.4617</v>
      </c>
      <c r="K35" s="139">
        <f>HLOOKUP(INVOER!S$26,B$22:J$43,14)</f>
        <v>0.52</v>
      </c>
      <c r="Q35" s="43">
        <v>750</v>
      </c>
      <c r="R35" s="6">
        <v>10.423999999999999</v>
      </c>
      <c r="S35" s="6">
        <v>-3.8180000000000001</v>
      </c>
      <c r="T35" s="44">
        <f>R35+S35*C$14</f>
        <v>6.6059999999999999</v>
      </c>
    </row>
    <row r="36" spans="1:20" x14ac:dyDescent="0.2">
      <c r="A36" s="145" t="s">
        <v>75</v>
      </c>
      <c r="B36" s="6">
        <v>8.5308395061728408</v>
      </c>
      <c r="C36" s="40">
        <v>4.4862000000000002</v>
      </c>
      <c r="D36" s="40">
        <v>4.2902199999999997</v>
      </c>
      <c r="E36" s="40">
        <v>3.3210999999999999</v>
      </c>
      <c r="F36" s="40">
        <v>4.0940000000000003</v>
      </c>
      <c r="G36" s="136">
        <v>-0.106</v>
      </c>
      <c r="H36" s="40">
        <v>4.2781000000000002</v>
      </c>
      <c r="I36" s="6">
        <v>-0.19600000000000001</v>
      </c>
      <c r="J36" s="6">
        <v>-0.23960000000000001</v>
      </c>
      <c r="K36" s="140">
        <f>HLOOKUP(INVOER!S$26,B$22:J$43,15)</f>
        <v>-0.106</v>
      </c>
      <c r="Q36" s="43">
        <v>850</v>
      </c>
      <c r="R36" s="6">
        <v>9.8019999999999996</v>
      </c>
      <c r="S36" s="6">
        <v>-3.63</v>
      </c>
      <c r="T36" s="44">
        <f>R36+S36*C$14</f>
        <v>6.1719999999999997</v>
      </c>
    </row>
    <row r="37" spans="1:20" x14ac:dyDescent="0.2">
      <c r="A37" s="145" t="s">
        <v>77</v>
      </c>
      <c r="B37" s="6">
        <v>7.4569999999999999</v>
      </c>
      <c r="C37" s="40">
        <v>5.3514999999999997</v>
      </c>
      <c r="D37" s="40">
        <v>4.3440000000000003</v>
      </c>
      <c r="E37" s="40">
        <v>3.4708000000000001</v>
      </c>
      <c r="F37" s="40">
        <v>2.8803000000000001</v>
      </c>
      <c r="G37" s="136">
        <v>1.9418</v>
      </c>
      <c r="H37" s="40">
        <v>1.6412</v>
      </c>
      <c r="I37" s="6">
        <v>1.1927000000000001</v>
      </c>
      <c r="J37" s="6">
        <v>0.29210000000000003</v>
      </c>
      <c r="K37" s="140">
        <f>HLOOKUP(INVOER!S$26,B$22:J$43,16)</f>
        <v>1.9418</v>
      </c>
      <c r="Q37" s="43">
        <v>1850</v>
      </c>
      <c r="R37" s="6"/>
      <c r="S37" s="6"/>
      <c r="T37" s="44" t="s">
        <v>147</v>
      </c>
    </row>
    <row r="38" spans="1:20" x14ac:dyDescent="0.2">
      <c r="A38" s="145" t="s">
        <v>79</v>
      </c>
      <c r="B38" s="6">
        <v>1.610169719411773</v>
      </c>
      <c r="C38" s="40">
        <v>2.4257</v>
      </c>
      <c r="D38" s="40">
        <v>1.34518</v>
      </c>
      <c r="E38" s="40">
        <v>1.7857000000000001</v>
      </c>
      <c r="F38" s="40">
        <v>1.0519000000000001</v>
      </c>
      <c r="G38" s="136">
        <v>2.0196999999999998</v>
      </c>
      <c r="H38" s="40">
        <v>6.7769999999999997E-2</v>
      </c>
      <c r="I38" s="6">
        <v>1.36877</v>
      </c>
      <c r="J38" s="6">
        <v>0.12690000000000001</v>
      </c>
      <c r="K38" s="140">
        <f>HLOOKUP(INVOER!S$26,B$22:J$43,17)</f>
        <v>2.0196999999999998</v>
      </c>
      <c r="Q38" s="45"/>
      <c r="R38" s="46"/>
      <c r="S38" s="46"/>
      <c r="T38" s="50"/>
    </row>
    <row r="39" spans="1:20" x14ac:dyDescent="0.2">
      <c r="A39" s="145" t="s">
        <v>70</v>
      </c>
      <c r="B39" s="6">
        <v>1.0049999999999999</v>
      </c>
      <c r="C39" s="40">
        <v>1.0474300000000001</v>
      </c>
      <c r="D39" s="40">
        <v>1.139</v>
      </c>
      <c r="E39" s="40">
        <v>0.91626700000000005</v>
      </c>
      <c r="F39" s="40">
        <v>0.83550000000000002</v>
      </c>
      <c r="G39" s="136">
        <v>0.73704999999999998</v>
      </c>
      <c r="H39" s="40">
        <v>0.83860000000000001</v>
      </c>
      <c r="I39" s="6">
        <v>0.59833000000000003</v>
      </c>
      <c r="J39" s="6">
        <v>0.45600000000000002</v>
      </c>
      <c r="K39" s="140">
        <f>HLOOKUP(INVOER!S$26,B$22:J$43,18)</f>
        <v>0.73704999999999998</v>
      </c>
      <c r="Q39" s="43"/>
      <c r="R39" s="6" t="s">
        <v>197</v>
      </c>
      <c r="S39" s="6"/>
      <c r="T39" s="217">
        <f>VLOOKUP(K23,Q31:T37,4)</f>
        <v>6.1719999999999997</v>
      </c>
    </row>
    <row r="40" spans="1:20" x14ac:dyDescent="0.2">
      <c r="A40" s="145" t="s">
        <v>71</v>
      </c>
      <c r="B40" s="6">
        <v>0.47891804527756254</v>
      </c>
      <c r="C40" s="40">
        <v>0.6472</v>
      </c>
      <c r="D40" s="40">
        <v>0.58902399999999999</v>
      </c>
      <c r="E40" s="40">
        <v>0.71042000000000005</v>
      </c>
      <c r="F40" s="40">
        <v>0.60099999999999998</v>
      </c>
      <c r="G40" s="136">
        <v>0.7077</v>
      </c>
      <c r="H40" s="40">
        <v>0.33150000000000002</v>
      </c>
      <c r="I40" s="6">
        <v>0.61733000000000005</v>
      </c>
      <c r="J40" s="6">
        <v>0.36330000000000001</v>
      </c>
      <c r="K40" s="140">
        <f>HLOOKUP(INVOER!S$26,B$22:J$43,19)</f>
        <v>0.7077</v>
      </c>
      <c r="Q40" s="45"/>
      <c r="R40" s="46"/>
      <c r="S40" s="46"/>
      <c r="T40" s="50"/>
    </row>
    <row r="41" spans="1:20" x14ac:dyDescent="0.2">
      <c r="A41" s="147" t="s">
        <v>225</v>
      </c>
      <c r="B41" s="137">
        <v>12.2</v>
      </c>
      <c r="C41" s="138">
        <v>10.199999999999999</v>
      </c>
      <c r="D41" s="51">
        <v>8.93</v>
      </c>
      <c r="E41" s="51">
        <v>8.6199999999999992</v>
      </c>
      <c r="F41" s="51">
        <v>8.3000000000000007</v>
      </c>
      <c r="G41" s="137">
        <v>7.8</v>
      </c>
      <c r="H41" s="51">
        <v>10</v>
      </c>
      <c r="I41" s="46">
        <v>9.3000000000000007</v>
      </c>
      <c r="J41" s="46">
        <v>10.45</v>
      </c>
      <c r="K41" s="141">
        <f>HLOOKUP(INVOER!S$26,B$22:J$43,20)</f>
        <v>7.8</v>
      </c>
    </row>
    <row r="42" spans="1:20" x14ac:dyDescent="0.2">
      <c r="A42" s="135"/>
      <c r="B42" s="136"/>
      <c r="C42" s="40"/>
      <c r="D42" s="40"/>
      <c r="E42" s="40"/>
      <c r="F42" s="40"/>
      <c r="G42" s="40"/>
      <c r="H42" s="40"/>
      <c r="I42" s="6"/>
      <c r="J42" s="6"/>
      <c r="K42" s="141"/>
    </row>
    <row r="43" spans="1:20" x14ac:dyDescent="0.2">
      <c r="A43" s="159" t="s">
        <v>83</v>
      </c>
      <c r="B43" s="160">
        <v>7</v>
      </c>
      <c r="C43" s="149">
        <v>7</v>
      </c>
      <c r="D43" s="149">
        <v>7</v>
      </c>
      <c r="E43" s="149">
        <v>7</v>
      </c>
      <c r="F43" s="149">
        <v>7.5</v>
      </c>
      <c r="G43" s="149">
        <v>9.5</v>
      </c>
      <c r="H43" s="73"/>
      <c r="I43" s="149">
        <v>14.5</v>
      </c>
      <c r="J43" s="73"/>
      <c r="K43" s="141">
        <f>HLOOKUP(INVOER!S$26,B$22:J$43,13)</f>
        <v>8.4659999999999993</v>
      </c>
    </row>
    <row r="47" spans="1:20" x14ac:dyDescent="0.2">
      <c r="G47" s="167"/>
      <c r="H47" s="167"/>
      <c r="I47" s="167"/>
      <c r="J47" s="167"/>
      <c r="K47" s="167"/>
      <c r="L47" s="167"/>
    </row>
    <row r="48" spans="1:20" x14ac:dyDescent="0.2">
      <c r="A48" t="s">
        <v>200</v>
      </c>
      <c r="G48" s="167" t="s">
        <v>191</v>
      </c>
      <c r="H48" s="167"/>
      <c r="I48" s="167"/>
      <c r="J48" s="167"/>
      <c r="K48" s="167"/>
      <c r="L48" s="167"/>
      <c r="N48" s="355" t="s">
        <v>291</v>
      </c>
      <c r="O48" s="167"/>
      <c r="P48" s="167"/>
      <c r="Q48" s="143"/>
      <c r="R48" s="143"/>
    </row>
    <row r="49" spans="1:23" x14ac:dyDescent="0.2">
      <c r="G49" s="167"/>
      <c r="H49" s="167"/>
      <c r="I49" s="189"/>
      <c r="J49" s="189"/>
      <c r="K49" s="189"/>
      <c r="L49" s="167"/>
      <c r="N49" s="167"/>
      <c r="O49" s="167"/>
      <c r="P49" s="189"/>
      <c r="Q49" s="136"/>
      <c r="R49" s="136"/>
    </row>
    <row r="50" spans="1:23" x14ac:dyDescent="0.2">
      <c r="A50" s="41"/>
      <c r="B50" s="5"/>
      <c r="C50" s="42"/>
      <c r="G50" s="190"/>
      <c r="H50" s="191"/>
      <c r="I50" s="190" t="s">
        <v>223</v>
      </c>
      <c r="J50" s="209" t="s">
        <v>224</v>
      </c>
      <c r="K50" s="192" t="s">
        <v>72</v>
      </c>
      <c r="L50" s="167"/>
      <c r="N50" s="190"/>
      <c r="O50" s="191"/>
      <c r="P50" s="192" t="s">
        <v>72</v>
      </c>
      <c r="Q50" s="136"/>
      <c r="R50" s="6"/>
    </row>
    <row r="51" spans="1:23" x14ac:dyDescent="0.2">
      <c r="A51" s="43" t="s">
        <v>221</v>
      </c>
      <c r="B51" s="6">
        <f>SQRT(INVOER!E18/1000*2000*INVOER!C9*16/INVOER!C10/0.0181/INVOER!E24)</f>
        <v>0.68828745509611089</v>
      </c>
      <c r="C51" s="44"/>
      <c r="G51" s="193" t="s">
        <v>74</v>
      </c>
      <c r="H51" s="191">
        <v>0.95</v>
      </c>
      <c r="I51" s="196">
        <f>$K$37*$B$51*((-LN(H51^(1/($B$54*$B$64))))^(1/$K$39))+$K$35*$B$51</f>
        <v>0.38166891048988288</v>
      </c>
      <c r="J51" s="204">
        <f t="shared" ref="J51:J56" si="0">$K$38*$B$51*((-LN(H51^(1/($B$54*$B$64))))^(1/$K$40))+$K$36*$B$51</f>
        <v>-5.204933529371876E-2</v>
      </c>
      <c r="K51" s="206">
        <f>IF(I51/$B$51&lt;K$41,I51,J51)</f>
        <v>0.38166891048988288</v>
      </c>
      <c r="L51" s="167"/>
      <c r="N51" s="193" t="s">
        <v>74</v>
      </c>
      <c r="O51" s="191">
        <v>5</v>
      </c>
      <c r="P51" s="155">
        <f>VLOOKUP(O51,$Q$76:$R$186,2)</f>
        <v>0.36667260295394372</v>
      </c>
      <c r="Q51" s="356"/>
      <c r="R51" s="6"/>
    </row>
    <row r="52" spans="1:23" x14ac:dyDescent="0.2">
      <c r="A52" s="45"/>
      <c r="B52" s="46"/>
      <c r="C52" s="50"/>
      <c r="G52" s="194" t="s">
        <v>76</v>
      </c>
      <c r="H52" s="195">
        <v>0.9</v>
      </c>
      <c r="I52" s="197">
        <f t="shared" ref="I52:I56" si="1">$K$37*$B$51*((-LN(H52^(1/($B$54*$B$64))))^(1/$K$39))+$K$35*$B$51</f>
        <v>0.4210027043945857</v>
      </c>
      <c r="J52" s="205">
        <f t="shared" si="0"/>
        <v>-1.5139135160458075E-2</v>
      </c>
      <c r="K52" s="207">
        <f t="shared" ref="K52:K56" si="2">IF(I52/$B$51&lt;K$41,I52,J52)</f>
        <v>0.4210027043945857</v>
      </c>
      <c r="L52" s="167"/>
      <c r="N52" s="194" t="s">
        <v>76</v>
      </c>
      <c r="O52" s="195">
        <v>10</v>
      </c>
      <c r="P52" s="362">
        <f t="shared" ref="P52:P55" si="3">VLOOKUP(O52,$Q$76:$R$186,2)</f>
        <v>0.36667260295394372</v>
      </c>
      <c r="Q52" s="356"/>
      <c r="R52" s="6"/>
    </row>
    <row r="53" spans="1:23" x14ac:dyDescent="0.2">
      <c r="A53" s="41" t="s">
        <v>202</v>
      </c>
      <c r="B53" s="5"/>
      <c r="C53" s="42"/>
      <c r="G53" s="194" t="s">
        <v>78</v>
      </c>
      <c r="H53" s="195">
        <v>0.5</v>
      </c>
      <c r="I53" s="197">
        <f t="shared" si="1"/>
        <v>1.1707637519056175</v>
      </c>
      <c r="J53" s="205">
        <f t="shared" si="0"/>
        <v>0.75524800206916531</v>
      </c>
      <c r="K53" s="207">
        <f t="shared" si="2"/>
        <v>1.1707637519056175</v>
      </c>
      <c r="L53" s="167"/>
      <c r="N53" s="194" t="s">
        <v>78</v>
      </c>
      <c r="O53" s="195">
        <v>50</v>
      </c>
      <c r="P53" s="362">
        <f t="shared" si="3"/>
        <v>0.65076966503684375</v>
      </c>
      <c r="Q53" s="356"/>
      <c r="R53" s="6"/>
    </row>
    <row r="54" spans="1:23" x14ac:dyDescent="0.2">
      <c r="A54" s="49" t="s">
        <v>201</v>
      </c>
      <c r="B54" s="40">
        <f>C14^(-1.3)</f>
        <v>1</v>
      </c>
      <c r="C54" s="44"/>
      <c r="G54" s="194" t="s">
        <v>80</v>
      </c>
      <c r="H54" s="195">
        <v>0.1</v>
      </c>
      <c r="I54" s="197">
        <f t="shared" si="1"/>
        <v>4.5018558754725673</v>
      </c>
      <c r="J54" s="205">
        <f t="shared" si="0"/>
        <v>4.444328416708256</v>
      </c>
      <c r="K54" s="207">
        <f t="shared" si="2"/>
        <v>4.5018558754725673</v>
      </c>
      <c r="L54" s="167"/>
      <c r="N54" s="194" t="s">
        <v>80</v>
      </c>
      <c r="O54" s="195">
        <v>90</v>
      </c>
      <c r="P54" s="362">
        <f t="shared" si="3"/>
        <v>1.9541710505175589</v>
      </c>
      <c r="Q54" s="356"/>
      <c r="R54" s="6"/>
    </row>
    <row r="55" spans="1:23" x14ac:dyDescent="0.2">
      <c r="A55" s="43"/>
      <c r="B55" s="6"/>
      <c r="C55" s="44"/>
      <c r="G55" s="194" t="s">
        <v>81</v>
      </c>
      <c r="H55" s="195">
        <v>0.05</v>
      </c>
      <c r="I55" s="197">
        <f t="shared" si="1"/>
        <v>6.279993784235403</v>
      </c>
      <c r="J55" s="205">
        <f t="shared" si="0"/>
        <v>6.4789655863773259</v>
      </c>
      <c r="K55" s="207">
        <f t="shared" si="2"/>
        <v>6.4789655863773259</v>
      </c>
      <c r="L55" s="167"/>
      <c r="N55" s="358" t="s">
        <v>81</v>
      </c>
      <c r="O55" s="359">
        <v>95</v>
      </c>
      <c r="P55" s="363">
        <f t="shared" si="3"/>
        <v>2.6033765869020322</v>
      </c>
      <c r="Q55" s="356"/>
      <c r="R55" s="6"/>
    </row>
    <row r="56" spans="1:23" x14ac:dyDescent="0.2">
      <c r="A56" s="41" t="s">
        <v>226</v>
      </c>
      <c r="B56" s="5"/>
      <c r="C56" s="42"/>
      <c r="G56" s="195" t="s">
        <v>82</v>
      </c>
      <c r="H56" s="195">
        <v>9.9999999999999995E-8</v>
      </c>
      <c r="I56" s="197">
        <f t="shared" si="1"/>
        <v>58.435607488237771</v>
      </c>
      <c r="J56" s="205">
        <f t="shared" si="0"/>
        <v>70.562857593202722</v>
      </c>
      <c r="K56" s="207">
        <f t="shared" si="2"/>
        <v>70.562857593202722</v>
      </c>
      <c r="L56" s="167"/>
      <c r="Q56" s="136"/>
      <c r="R56" s="136"/>
      <c r="S56" s="356"/>
      <c r="T56" s="356"/>
      <c r="U56" s="357"/>
    </row>
    <row r="57" spans="1:23" x14ac:dyDescent="0.2">
      <c r="A57" s="43"/>
      <c r="B57" s="6"/>
      <c r="C57" s="44"/>
      <c r="G57" s="155" t="s">
        <v>87</v>
      </c>
      <c r="H57" s="158">
        <f>$K$35*$B$51</f>
        <v>0.35790947664997769</v>
      </c>
      <c r="I57" s="38" t="s">
        <v>199</v>
      </c>
      <c r="J57" s="39"/>
      <c r="K57" s="208"/>
      <c r="L57" s="6"/>
      <c r="Q57" s="136"/>
      <c r="R57" s="136"/>
      <c r="S57" s="40"/>
      <c r="T57" s="40"/>
      <c r="U57" s="40"/>
    </row>
    <row r="58" spans="1:23" x14ac:dyDescent="0.2">
      <c r="A58" s="43" t="s">
        <v>102</v>
      </c>
      <c r="B58" s="306">
        <f>INVOER!V20</f>
        <v>1.7194157781304996E-4</v>
      </c>
      <c r="C58" s="166" t="s">
        <v>101</v>
      </c>
      <c r="G58" s="151" t="s">
        <v>88</v>
      </c>
      <c r="H58" s="162">
        <f>(K56/H57)^(1/110)</f>
        <v>1.0492086082592795</v>
      </c>
      <c r="I58" s="43"/>
      <c r="J58" s="6"/>
      <c r="K58" s="44"/>
      <c r="L58" s="6"/>
      <c r="Q58" s="143"/>
      <c r="R58" s="143"/>
      <c r="S58" s="6"/>
      <c r="T58" s="6"/>
      <c r="U58" s="6"/>
    </row>
    <row r="59" spans="1:23" x14ac:dyDescent="0.2">
      <c r="A59" s="48" t="s">
        <v>216</v>
      </c>
      <c r="B59" s="40">
        <f>0.97833+2.918055*B58-39.3739*B58^2+472.0149*B58^3-769.586*B58^4</f>
        <v>0.97883057333326373</v>
      </c>
      <c r="C59" s="44"/>
      <c r="G59" s="43" t="s">
        <v>236</v>
      </c>
      <c r="H59" s="6"/>
      <c r="I59" s="6"/>
      <c r="J59" s="6"/>
      <c r="K59" s="44"/>
      <c r="L59" s="6"/>
      <c r="Q59" s="6"/>
      <c r="R59" s="6"/>
      <c r="S59" s="6"/>
      <c r="T59" s="6"/>
      <c r="U59" s="6"/>
    </row>
    <row r="60" spans="1:23" x14ac:dyDescent="0.2">
      <c r="A60" s="48" t="s">
        <v>217</v>
      </c>
      <c r="B60" s="40">
        <f>-0.30338+21.91961*B58-73.5039*B58^2+112.485*B58^3-63.4408*B58^4</f>
        <v>-0.29961328016222127</v>
      </c>
      <c r="C60" s="44"/>
      <c r="G60" s="43" t="s">
        <v>237</v>
      </c>
      <c r="H60" s="6"/>
      <c r="I60" s="6"/>
      <c r="J60" s="6"/>
      <c r="K60" s="44"/>
      <c r="L60" s="6"/>
      <c r="Q60" s="6"/>
      <c r="R60" s="6"/>
      <c r="S60" s="6"/>
      <c r="T60" s="6"/>
      <c r="U60" s="6"/>
    </row>
    <row r="61" spans="1:23" x14ac:dyDescent="0.2">
      <c r="A61" s="48" t="s">
        <v>218</v>
      </c>
      <c r="B61" s="40">
        <f>2.043212+0.725352*B58-0.2663*B58^2+0.04299*B58^3-0.00233*B58^4</f>
        <v>2.0433367102947004</v>
      </c>
      <c r="C61" s="44"/>
      <c r="G61" s="43" t="s">
        <v>231</v>
      </c>
      <c r="H61" s="6"/>
      <c r="I61" s="6"/>
      <c r="J61" s="6"/>
      <c r="K61" s="44"/>
      <c r="L61" s="6"/>
      <c r="Q61" s="6"/>
      <c r="R61" s="6"/>
      <c r="S61" s="6"/>
      <c r="T61" s="6"/>
      <c r="U61" s="6"/>
    </row>
    <row r="62" spans="1:23" x14ac:dyDescent="0.2">
      <c r="A62" s="48" t="s">
        <v>219</v>
      </c>
      <c r="B62" s="40">
        <f>2.853325+0.019026*B58-0.00036*B58^2+0.000003*B58^3-0.0000000065*B58^4</f>
        <v>2.8533282713498163</v>
      </c>
      <c r="C62" s="44"/>
      <c r="D62" s="143"/>
      <c r="E62" s="143"/>
      <c r="G62" s="45" t="s">
        <v>239</v>
      </c>
      <c r="H62" s="46"/>
      <c r="I62" s="46"/>
      <c r="J62" s="46"/>
      <c r="K62" s="50"/>
      <c r="L62" s="6"/>
      <c r="Q62" s="6"/>
      <c r="R62" s="6"/>
      <c r="S62" s="6"/>
      <c r="T62" s="6"/>
      <c r="U62" s="6"/>
    </row>
    <row r="63" spans="1:23" x14ac:dyDescent="0.2">
      <c r="A63" s="48" t="s">
        <v>215</v>
      </c>
      <c r="B63" s="40">
        <f>IF(INVOER!T36=1,1,IF(B58&lt;0.02,1,(IF(B58&lt;0.14,B59,(IF(B58&lt;0.7,B60,(IF(B58&lt;9.1,B61,B62))))))))</f>
        <v>1</v>
      </c>
      <c r="C63" s="44"/>
      <c r="F63" s="227" t="s">
        <v>238</v>
      </c>
      <c r="G63" s="143"/>
      <c r="H63" s="143"/>
      <c r="I63" s="143"/>
      <c r="J63" s="143"/>
      <c r="K63" s="143"/>
      <c r="W63" s="6"/>
    </row>
    <row r="64" spans="1:23" x14ac:dyDescent="0.2">
      <c r="A64" s="43" t="s">
        <v>155</v>
      </c>
      <c r="B64" s="6">
        <f>IF(INVOER!T36=1,1,'Berekening trap 2'!B63)</f>
        <v>1</v>
      </c>
      <c r="C64" s="44" t="str">
        <f>IF(B64=1,"neen","ja")</f>
        <v>neen</v>
      </c>
      <c r="F64" s="227" t="s">
        <v>240</v>
      </c>
      <c r="G64" s="143"/>
      <c r="H64" s="143"/>
      <c r="I64" s="143"/>
      <c r="J64" s="143"/>
      <c r="K64" s="143"/>
      <c r="W64" s="6"/>
    </row>
    <row r="65" spans="1:32" x14ac:dyDescent="0.2">
      <c r="A65" s="45"/>
      <c r="B65" s="46"/>
      <c r="C65" s="50"/>
      <c r="F65" s="229" t="s">
        <v>241</v>
      </c>
      <c r="G65" s="143"/>
      <c r="H65" s="143"/>
      <c r="I65" s="143"/>
      <c r="J65" s="143"/>
      <c r="K65" s="143"/>
      <c r="W65" s="6"/>
    </row>
    <row r="66" spans="1:32" x14ac:dyDescent="0.2">
      <c r="W66" s="6"/>
    </row>
    <row r="67" spans="1:32" x14ac:dyDescent="0.2">
      <c r="V67" s="6"/>
    </row>
    <row r="68" spans="1:32" x14ac:dyDescent="0.2">
      <c r="B68" s="263" t="s">
        <v>280</v>
      </c>
      <c r="V68" s="6"/>
    </row>
    <row r="69" spans="1:32" x14ac:dyDescent="0.2">
      <c r="D69" s="227" t="s">
        <v>245</v>
      </c>
      <c r="L69" s="263" t="s">
        <v>261</v>
      </c>
      <c r="V69" s="6"/>
    </row>
    <row r="70" spans="1:32" x14ac:dyDescent="0.2">
      <c r="D70" s="227" t="s">
        <v>246</v>
      </c>
      <c r="N70" s="6"/>
      <c r="O70" s="6"/>
      <c r="P70" s="6"/>
      <c r="Q70" s="6"/>
      <c r="R70" s="6"/>
      <c r="S70" s="6"/>
      <c r="T70" s="6"/>
      <c r="U70" s="6"/>
      <c r="V70" s="6"/>
      <c r="X70" s="6"/>
      <c r="Y70" s="6"/>
      <c r="Z70" s="6"/>
      <c r="AA70" s="6"/>
      <c r="AB70" s="6"/>
      <c r="AC70" s="6"/>
      <c r="AD70" s="6"/>
      <c r="AE70" s="6"/>
      <c r="AF70" s="6"/>
    </row>
    <row r="71" spans="1:32" x14ac:dyDescent="0.2"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</row>
    <row r="72" spans="1:32" x14ac:dyDescent="0.2">
      <c r="A72" s="41"/>
      <c r="B72" s="5"/>
      <c r="C72" s="188"/>
      <c r="D72" s="5" t="s">
        <v>195</v>
      </c>
      <c r="E72" s="5"/>
      <c r="F72" s="5"/>
      <c r="G72" s="5"/>
      <c r="H72" s="5"/>
      <c r="I72" s="42"/>
      <c r="J72" s="41"/>
      <c r="K72" s="177"/>
      <c r="L72" s="5"/>
      <c r="M72" s="5"/>
      <c r="N72" s="5"/>
      <c r="O72" s="42"/>
      <c r="Q72" s="6"/>
      <c r="R72" s="6"/>
      <c r="T72" s="6"/>
      <c r="U72" s="6"/>
      <c r="V72" s="6"/>
      <c r="W72" s="143"/>
      <c r="X72" s="6"/>
      <c r="Y72" s="6"/>
      <c r="Z72" s="6"/>
      <c r="AA72" s="6"/>
      <c r="AB72" s="6"/>
      <c r="AC72" s="6"/>
      <c r="AD72" s="6"/>
      <c r="AE72" s="6"/>
      <c r="AF72" s="6"/>
    </row>
    <row r="73" spans="1:32" x14ac:dyDescent="0.2">
      <c r="A73" s="43"/>
      <c r="B73" s="6"/>
      <c r="C73" s="144"/>
      <c r="D73" s="186" t="s">
        <v>208</v>
      </c>
      <c r="E73" s="46"/>
      <c r="F73" s="46"/>
      <c r="G73" s="46"/>
      <c r="H73" s="46"/>
      <c r="I73" s="50"/>
      <c r="J73" s="45"/>
      <c r="K73" s="179"/>
      <c r="L73" s="338" t="s">
        <v>274</v>
      </c>
      <c r="M73" s="46"/>
      <c r="N73" s="46"/>
      <c r="O73" s="50"/>
      <c r="Q73" s="337" t="s">
        <v>289</v>
      </c>
      <c r="R73" s="6"/>
      <c r="S73" s="6"/>
      <c r="V73" s="6"/>
      <c r="W73" s="143"/>
      <c r="X73" s="6"/>
      <c r="Y73" s="6"/>
      <c r="Z73" s="6"/>
      <c r="AA73" s="6"/>
      <c r="AB73" s="6"/>
      <c r="AC73" s="6"/>
      <c r="AD73" s="6"/>
      <c r="AE73" s="6"/>
      <c r="AF73" s="6"/>
    </row>
    <row r="74" spans="1:32" x14ac:dyDescent="0.2">
      <c r="A74" s="43"/>
      <c r="B74" s="6"/>
      <c r="C74" s="144"/>
      <c r="D74" s="187" t="s">
        <v>204</v>
      </c>
      <c r="E74" s="136" t="s">
        <v>205</v>
      </c>
      <c r="F74" s="176" t="s">
        <v>204</v>
      </c>
      <c r="G74" s="142" t="s">
        <v>205</v>
      </c>
      <c r="H74" s="44" t="s">
        <v>233</v>
      </c>
      <c r="I74" s="6" t="s">
        <v>233</v>
      </c>
      <c r="J74" s="330" t="s">
        <v>253</v>
      </c>
      <c r="K74" s="330" t="s">
        <v>100</v>
      </c>
      <c r="L74" s="339" t="s">
        <v>100</v>
      </c>
      <c r="M74" s="340" t="s">
        <v>275</v>
      </c>
      <c r="N74" s="148" t="s">
        <v>183</v>
      </c>
      <c r="O74" s="42" t="s">
        <v>207</v>
      </c>
      <c r="Q74" s="337" t="s">
        <v>290</v>
      </c>
      <c r="S74" s="261" t="s">
        <v>288</v>
      </c>
      <c r="T74" s="261" t="s">
        <v>183</v>
      </c>
      <c r="X74" s="6"/>
      <c r="Y74" s="6"/>
      <c r="Z74" s="6"/>
      <c r="AA74" s="6"/>
      <c r="AB74" s="6"/>
      <c r="AC74" s="6"/>
      <c r="AD74" s="6"/>
      <c r="AE74" s="6"/>
      <c r="AF74" s="6"/>
    </row>
    <row r="75" spans="1:32" x14ac:dyDescent="0.2">
      <c r="A75" s="43" t="s">
        <v>192</v>
      </c>
      <c r="B75" s="46" t="s">
        <v>209</v>
      </c>
      <c r="C75" s="184" t="s">
        <v>206</v>
      </c>
      <c r="D75" s="143" t="s">
        <v>183</v>
      </c>
      <c r="E75" s="187" t="s">
        <v>183</v>
      </c>
      <c r="F75" s="173" t="s">
        <v>207</v>
      </c>
      <c r="G75" s="174" t="s">
        <v>207</v>
      </c>
      <c r="H75" s="199" t="s">
        <v>183</v>
      </c>
      <c r="I75" s="46" t="s">
        <v>207</v>
      </c>
      <c r="J75" s="43" t="s">
        <v>234</v>
      </c>
      <c r="K75" s="173" t="s">
        <v>5</v>
      </c>
      <c r="L75" s="186" t="s">
        <v>5</v>
      </c>
      <c r="M75" s="341" t="s">
        <v>234</v>
      </c>
      <c r="N75" s="254" t="s">
        <v>228</v>
      </c>
      <c r="O75" s="50" t="s">
        <v>228</v>
      </c>
      <c r="Q75" s="360" t="s">
        <v>5</v>
      </c>
      <c r="R75" s="46" t="s">
        <v>209</v>
      </c>
      <c r="S75" s="361" t="s">
        <v>287</v>
      </c>
      <c r="T75" s="361" t="s">
        <v>287</v>
      </c>
      <c r="X75" s="6"/>
      <c r="Y75" s="6"/>
      <c r="Z75" s="6"/>
      <c r="AA75" s="6"/>
      <c r="AB75" s="6"/>
      <c r="AC75" s="6"/>
      <c r="AD75" s="6"/>
      <c r="AE75" s="6"/>
      <c r="AF75" s="6"/>
    </row>
    <row r="76" spans="1:32" x14ac:dyDescent="0.2">
      <c r="A76" s="282">
        <f>'Berekening trap 1'!A76</f>
        <v>0.35790947664997769</v>
      </c>
      <c r="B76" s="6">
        <f>A76/2</f>
        <v>0.17895473832498884</v>
      </c>
      <c r="C76" s="169">
        <f>B76/$B$51</f>
        <v>0.26</v>
      </c>
      <c r="D76" s="200">
        <f>IF(C76-$K$35&gt;0,EXP(-(((C76-$K$35)/$K$37)^$K$39)),1)</f>
        <v>1</v>
      </c>
      <c r="E76" s="201">
        <f>IF(C76-$K$36&gt;0,EXP(-(((C76-$K$36)/$K$38)^$K$40)),1)</f>
        <v>0.74188962951249193</v>
      </c>
      <c r="F76" s="41">
        <f t="shared" ref="F76:G97" si="4">D76^($B$54*$B$63)</f>
        <v>1</v>
      </c>
      <c r="G76" s="182">
        <f>E76^($B$54*$B$63)</f>
        <v>0.74188962951249193</v>
      </c>
      <c r="H76" s="183">
        <f>IF(C76&lt;$K$41,D76,E76)</f>
        <v>1</v>
      </c>
      <c r="I76" s="242">
        <f>IF(C76&lt;$K$41,F76,G76)</f>
        <v>1</v>
      </c>
      <c r="J76" s="331">
        <f>IF(INVOER!$T$36=1,100-H76*100,100-I76*100)</f>
        <v>0</v>
      </c>
      <c r="K76" s="342">
        <f>IF('Berekening trap 1'!$B$64=1,'Berekening trap 1'!U76,'Berekening trap 1'!V76)</f>
        <v>7.2893246993999128E-9</v>
      </c>
      <c r="L76" s="349">
        <f t="shared" ref="L76:L107" si="5">100*K76/$K$187</f>
        <v>8.3246193838852022E-7</v>
      </c>
      <c r="M76" s="349">
        <f>100-L76</f>
        <v>99.999999167538064</v>
      </c>
      <c r="N76" s="222">
        <f>'Berekening trap 2'!H76*$L76</f>
        <v>8.3246193838852022E-7</v>
      </c>
      <c r="O76" s="244">
        <f>'Berekening trap 2'!I76*$L76</f>
        <v>8.3246193838852022E-7</v>
      </c>
      <c r="Q76" s="55">
        <f t="shared" ref="Q76:Q107" si="6">100*(S76-T76)/S76</f>
        <v>-6.4332349853006305E-4</v>
      </c>
      <c r="R76">
        <f>B76</f>
        <v>0.17895473832498884</v>
      </c>
      <c r="S76" s="71">
        <f>1/100*'Berekening trap 1'!T76*INVOER!$W$19*1000</f>
        <v>2.0986846936733813E-9</v>
      </c>
      <c r="T76">
        <f>IF(INVOER!$T$36=1,1/100*N76*INVOER!$W$20*1000,1/100*O76*INVOER!$W$20*1000)</f>
        <v>2.0986981950051758E-9</v>
      </c>
      <c r="X76" s="6"/>
      <c r="Y76" s="6"/>
      <c r="Z76" s="6"/>
      <c r="AA76" s="6"/>
      <c r="AB76" s="6"/>
      <c r="AC76" s="6"/>
      <c r="AD76" s="143"/>
      <c r="AE76" s="6"/>
      <c r="AF76" s="6"/>
    </row>
    <row r="77" spans="1:32" x14ac:dyDescent="0.2">
      <c r="A77" s="283">
        <f>'Berekening trap 1'!A77</f>
        <v>0.37543572925790974</v>
      </c>
      <c r="B77" s="6">
        <f>(A76+A77)/2</f>
        <v>0.36667260295394372</v>
      </c>
      <c r="C77" s="169">
        <f>B77/$B$51</f>
        <v>0.53273178268626498</v>
      </c>
      <c r="D77" s="202">
        <f>IF(C77-$K$35&gt;0,EXP(-(((C77-$K$35)/$K$37)^$K$39)),1)</f>
        <v>0.97570827198152166</v>
      </c>
      <c r="E77" s="199">
        <f>IF(C77-$K$36&gt;0,EXP(-(((C77-$K$36)/$K$38)^$K$40)),1)</f>
        <v>0.64225869389551649</v>
      </c>
      <c r="F77" s="43">
        <f>D77^($B$54*$B$63)</f>
        <v>0.97570827198152166</v>
      </c>
      <c r="G77" s="156">
        <f>E77^($B$54*$B$63)</f>
        <v>0.64225869389551649</v>
      </c>
      <c r="H77" s="171">
        <f>IF(C77&lt;$K$41,D77,E77)</f>
        <v>0.97570827198152166</v>
      </c>
      <c r="I77" s="181">
        <f t="shared" ref="I77:I140" si="7">IF(C77&lt;$K$41,F77,G77)</f>
        <v>0.97570827198152166</v>
      </c>
      <c r="J77" s="332">
        <f>IF(INVOER!$T$36=1,100-H77*100,100-I77*100)</f>
        <v>2.4291728018478409</v>
      </c>
      <c r="K77" s="334">
        <f>IF('Berekening trap 1'!$B$64=1,'Berekening trap 1'!U77,'Berekening trap 1'!V77)</f>
        <v>1.3068475890109661E-8</v>
      </c>
      <c r="L77" s="350">
        <f t="shared" si="5"/>
        <v>1.4924576994299534E-6</v>
      </c>
      <c r="M77" s="350">
        <f t="shared" ref="M77:M108" si="8">M76-L77</f>
        <v>99.999997675080365</v>
      </c>
      <c r="N77" s="220">
        <f>'Berekening trap 2'!H77*$L77</f>
        <v>1.456203322916317E-6</v>
      </c>
      <c r="O77" s="245">
        <f>'Berekening trap 2'!I77*$L77</f>
        <v>1.456203322916317E-6</v>
      </c>
      <c r="Q77" s="55">
        <f t="shared" si="6"/>
        <v>4.1368548358537582</v>
      </c>
      <c r="R77">
        <f t="shared" ref="R77:R140" si="9">B77</f>
        <v>0.36667260295394372</v>
      </c>
      <c r="S77" s="71">
        <f>1/100*'Berekening trap 1'!T77*INVOER!$W$19*1000</f>
        <v>3.8296223335367225E-9</v>
      </c>
      <c r="T77">
        <f>IF(INVOER!$T$36=1,1/100*N77*INVOER!$W$20*1000,1/100*O77*INVOER!$W$20*1000)</f>
        <v>3.671196416836873E-9</v>
      </c>
      <c r="X77" s="6"/>
      <c r="Y77" s="6"/>
      <c r="Z77" s="6"/>
      <c r="AA77" s="6"/>
      <c r="AB77" s="6"/>
      <c r="AC77" s="6"/>
      <c r="AD77" s="6"/>
      <c r="AE77" s="6"/>
      <c r="AF77" s="6"/>
    </row>
    <row r="78" spans="1:32" x14ac:dyDescent="0.2">
      <c r="A78" s="283">
        <f>'Berekening trap 1'!A78</f>
        <v>0.39382021432549091</v>
      </c>
      <c r="B78" s="6">
        <f>(A77+A78)/2</f>
        <v>0.38462797179170033</v>
      </c>
      <c r="C78" s="169">
        <f>B78/$B$51</f>
        <v>0.55881880302175746</v>
      </c>
      <c r="D78" s="202">
        <f t="shared" ref="D78:D87" si="10">IF(C78-$K$35&gt;0,EXP(-(((C78-$K$35)/$K$37)^$K$39)),1)</f>
        <v>0.94560684018396812</v>
      </c>
      <c r="E78" s="199">
        <f t="shared" ref="E78:E141" si="11">IF(C78-$K$36&gt;0,EXP(-(((C78-$K$36)/$K$38)^$K$40)),1)</f>
        <v>0.63413931962586678</v>
      </c>
      <c r="F78" s="43">
        <f>D78^($B$54*$B$63)</f>
        <v>0.94560684018396812</v>
      </c>
      <c r="G78" s="156">
        <f t="shared" si="4"/>
        <v>0.63413931962586678</v>
      </c>
      <c r="H78" s="171">
        <f>IF(C78&lt;$K$41,D78,E78)</f>
        <v>0.94560684018396812</v>
      </c>
      <c r="I78" s="181">
        <f>IF(C78&lt;$K$41,F78,G78)</f>
        <v>0.94560684018396812</v>
      </c>
      <c r="J78" s="332">
        <f>IF(INVOER!$T$36=1,100-H78*100,100-I78*100)</f>
        <v>5.4393159816031869</v>
      </c>
      <c r="K78" s="334">
        <f>IF('Berekening trap 1'!$B$64=1,'Berekening trap 1'!U78,'Berekening trap 1'!V78)</f>
        <v>3.568210501737721E-8</v>
      </c>
      <c r="L78" s="350">
        <f t="shared" si="5"/>
        <v>4.0749994729956167E-6</v>
      </c>
      <c r="M78" s="350">
        <f t="shared" si="8"/>
        <v>99.999993600080899</v>
      </c>
      <c r="N78" s="220">
        <f>'Berekening trap 2'!H78*$L78</f>
        <v>3.8533473754107208E-6</v>
      </c>
      <c r="O78" s="245">
        <f>'Berekening trap 2'!I78*$L78</f>
        <v>3.8533473754107208E-6</v>
      </c>
      <c r="Q78" s="55">
        <f t="shared" si="6"/>
        <v>10.198386333168513</v>
      </c>
      <c r="R78">
        <f t="shared" si="9"/>
        <v>0.38462797179170033</v>
      </c>
      <c r="S78" s="71">
        <f>1/100*'Berekening trap 1'!T78*INVOER!$W$19*1000</f>
        <v>1.0817816849876469E-8</v>
      </c>
      <c r="T78">
        <f>IF(INVOER!$T$36=1,1/100*N78*INVOER!$W$20*1000,1/100*O78*INVOER!$W$20*1000)</f>
        <v>9.7145740947114666E-9</v>
      </c>
      <c r="X78" s="6"/>
      <c r="Y78" s="6"/>
      <c r="Z78" s="6"/>
      <c r="AA78" s="6"/>
      <c r="AB78" s="6"/>
      <c r="AC78" s="6"/>
      <c r="AD78" s="6"/>
      <c r="AE78" s="6"/>
      <c r="AF78" s="6"/>
    </row>
    <row r="79" spans="1:32" x14ac:dyDescent="0.2">
      <c r="A79" s="283">
        <f>'Berekening trap 1'!A79</f>
        <v>0.4131049581187618</v>
      </c>
      <c r="B79" s="6">
        <f>(A78+A79)/2</f>
        <v>0.40346258622212638</v>
      </c>
      <c r="C79" s="169">
        <f t="shared" ref="C79:C142" si="12">B79/$B$51</f>
        <v>0.58618326287203326</v>
      </c>
      <c r="D79" s="202">
        <f>IF(C79-$K$35&gt;0,EXP(-(((C79-$K$35)/$K$37)^$K$39)),1)</f>
        <v>0.92046834539304168</v>
      </c>
      <c r="E79" s="199">
        <f>IF(C79-$K$36&gt;0,EXP(-(((C79-$K$36)/$K$38)^$K$40)),1)</f>
        <v>0.62583015815353893</v>
      </c>
      <c r="F79" s="43">
        <f>D79^($B$54*$B$63)</f>
        <v>0.92046834539304168</v>
      </c>
      <c r="G79" s="156">
        <f t="shared" si="4"/>
        <v>0.62583015815353893</v>
      </c>
      <c r="H79" s="171">
        <f>IF(C79&lt;$K$41,D79,E79)</f>
        <v>0.92046834539304168</v>
      </c>
      <c r="I79" s="181">
        <f t="shared" si="7"/>
        <v>0.92046834539304168</v>
      </c>
      <c r="J79" s="332">
        <f>IF(INVOER!$T$36=1,100-H79*100,100-I79*100)</f>
        <v>7.9531654606958284</v>
      </c>
      <c r="K79" s="334">
        <f>IF('Berekening trap 1'!$B$64=1,'Berekening trap 1'!U79,'Berekening trap 1'!V79)</f>
        <v>9.7996652588948899E-8</v>
      </c>
      <c r="L79" s="350">
        <f t="shared" si="5"/>
        <v>1.1191500822634322E-5</v>
      </c>
      <c r="M79" s="350">
        <f t="shared" si="8"/>
        <v>99.999982408580081</v>
      </c>
      <c r="N79" s="220">
        <f>'Berekening trap 2'!H79*$L79</f>
        <v>1.0301422244675078E-5</v>
      </c>
      <c r="O79" s="245">
        <f>'Berekening trap 2'!I79*$L79</f>
        <v>1.0301422244675078E-5</v>
      </c>
      <c r="Q79" s="55">
        <f t="shared" si="6"/>
        <v>15.011595333931671</v>
      </c>
      <c r="R79">
        <f t="shared" si="9"/>
        <v>0.40346258622212638</v>
      </c>
      <c r="S79" s="71">
        <f>1/100*'Berekening trap 1'!T79*INVOER!$W$19*1000</f>
        <v>3.0557872520532054E-8</v>
      </c>
      <c r="T79">
        <f>IF(INVOER!$T$36=1,1/100*N79*INVOER!$W$20*1000,1/100*O79*INVOER!$W$20*1000)</f>
        <v>2.5970648355091076E-8</v>
      </c>
      <c r="X79" s="6"/>
      <c r="Y79" s="6"/>
      <c r="Z79" s="6"/>
      <c r="AA79" s="6"/>
      <c r="AB79" s="6"/>
      <c r="AC79" s="6"/>
      <c r="AD79" s="6"/>
      <c r="AE79" s="6"/>
      <c r="AF79" s="6"/>
    </row>
    <row r="80" spans="1:32" x14ac:dyDescent="0.2">
      <c r="A80" s="283">
        <f>'Berekening trap 1'!A80</f>
        <v>0.43333404486255661</v>
      </c>
      <c r="B80" s="6">
        <f t="shared" ref="B80:B143" si="13">(A79+A80)/2</f>
        <v>0.42321950149065923</v>
      </c>
      <c r="C80" s="169">
        <f t="shared" si="12"/>
        <v>0.61488771639977347</v>
      </c>
      <c r="D80" s="202">
        <f t="shared" si="10"/>
        <v>0.89755887904938103</v>
      </c>
      <c r="E80" s="199">
        <f t="shared" si="11"/>
        <v>0.61733156083052843</v>
      </c>
      <c r="F80" s="43">
        <f t="shared" si="4"/>
        <v>0.89755887904938103</v>
      </c>
      <c r="G80" s="156">
        <f t="shared" si="4"/>
        <v>0.61733156083052843</v>
      </c>
      <c r="H80" s="171">
        <f>IF(C80&lt;$K$41,D80,E80)</f>
        <v>0.89755887904938103</v>
      </c>
      <c r="I80" s="181">
        <f>IF(C80&lt;$K$41,F80,G80)</f>
        <v>0.89755887904938103</v>
      </c>
      <c r="J80" s="332">
        <f>IF(INVOER!$T$36=1,100-H80*100,100-I80*100)</f>
        <v>10.244112095061894</v>
      </c>
      <c r="K80" s="334">
        <f>IF('Berekening trap 1'!$B$64=1,'Berekening trap 1'!U80,'Berekening trap 1'!V80)</f>
        <v>2.6969403421759381E-7</v>
      </c>
      <c r="L80" s="350">
        <f t="shared" si="5"/>
        <v>3.0799837811461552E-5</v>
      </c>
      <c r="M80" s="350">
        <f t="shared" si="8"/>
        <v>99.999951608742265</v>
      </c>
      <c r="N80" s="220">
        <f>'Berekening trap 2'!H80*$L80</f>
        <v>2.7644667900958171E-5</v>
      </c>
      <c r="O80" s="245">
        <f>'Berekening trap 2'!I80*$L80</f>
        <v>2.7644667900958171E-5</v>
      </c>
      <c r="Q80" s="55">
        <f t="shared" si="6"/>
        <v>19.2597092983384</v>
      </c>
      <c r="R80">
        <f t="shared" si="9"/>
        <v>0.42321950149065923</v>
      </c>
      <c r="S80" s="71">
        <f>1/100*'Berekening trap 1'!T80*INVOER!$W$19*1000</f>
        <v>8.6319053858298923E-8</v>
      </c>
      <c r="T80">
        <f>IF(INVOER!$T$36=1,1/100*N80*INVOER!$W$20*1000,1/100*O80*INVOER!$W$20*1000)</f>
        <v>6.9694255016114392E-8</v>
      </c>
      <c r="X80" s="6"/>
      <c r="Y80" s="6"/>
      <c r="Z80" s="6"/>
      <c r="AA80" s="6"/>
      <c r="AB80" s="6"/>
      <c r="AC80" s="6"/>
      <c r="AD80" s="6"/>
      <c r="AE80" s="6"/>
      <c r="AF80" s="6"/>
    </row>
    <row r="81" spans="1:32" x14ac:dyDescent="0.2">
      <c r="A81" s="283">
        <f>'Berekening trap 1'!A81</f>
        <v>0.45455371751544221</v>
      </c>
      <c r="B81" s="46">
        <f>(A80+A81)/2</f>
        <v>0.44394388118899941</v>
      </c>
      <c r="C81" s="184">
        <f t="shared" si="12"/>
        <v>0.64499778094460269</v>
      </c>
      <c r="D81" s="203">
        <f>IF(C81-$K$35&gt;0,EXP(-(((C81-$K$35)/$K$37)^$K$39)),1)</f>
        <v>0.87597377444905666</v>
      </c>
      <c r="E81" s="168">
        <f t="shared" si="11"/>
        <v>0.60864421868227803</v>
      </c>
      <c r="F81" s="45">
        <f t="shared" si="4"/>
        <v>0.87597377444905666</v>
      </c>
      <c r="G81" s="185">
        <f t="shared" si="4"/>
        <v>0.60864421868227803</v>
      </c>
      <c r="H81" s="172">
        <f t="shared" ref="H81:H144" si="14">IF(C81&lt;$K$41,D81,E81)</f>
        <v>0.87597377444905666</v>
      </c>
      <c r="I81" s="243">
        <f>IF(C81&lt;$K$41,F81,G81)</f>
        <v>0.87597377444905666</v>
      </c>
      <c r="J81" s="332">
        <f>IF(INVOER!$T$36=1,100-H81*100,100-I81*100)</f>
        <v>12.402622555094339</v>
      </c>
      <c r="K81" s="336">
        <f>IF('Berekening trap 1'!$B$64=1,'Berekening trap 1'!U81,'Berekening trap 1'!V81)</f>
        <v>7.429644800452354E-7</v>
      </c>
      <c r="L81" s="329">
        <f t="shared" si="5"/>
        <v>8.4848689929149725E-5</v>
      </c>
      <c r="M81" s="329">
        <f t="shared" si="8"/>
        <v>99.999866760052342</v>
      </c>
      <c r="N81" s="223">
        <f>'Berekening trap 2'!H81*$L81</f>
        <v>7.432522717429495E-5</v>
      </c>
      <c r="O81" s="246">
        <f>'Berekening trap 2'!I81*$L81</f>
        <v>7.432522717429495E-5</v>
      </c>
      <c r="Q81" s="55">
        <f t="shared" si="6"/>
        <v>23.152160207103584</v>
      </c>
      <c r="R81">
        <f t="shared" si="9"/>
        <v>0.44394388118899941</v>
      </c>
      <c r="S81" s="71">
        <f>1/100*'Berekening trap 1'!T81*INVOER!$W$19*1000</f>
        <v>2.4383171003651023E-7</v>
      </c>
      <c r="T81">
        <f>IF(INVOER!$T$36=1,1/100*N81*INVOER!$W$20*1000,1/100*O81*INVOER!$W$20*1000)</f>
        <v>1.8737940189313711E-7</v>
      </c>
      <c r="X81" s="6"/>
      <c r="Y81" s="6"/>
      <c r="Z81" s="6"/>
      <c r="AA81" s="6"/>
      <c r="AB81" s="6"/>
      <c r="AC81" s="6"/>
      <c r="AD81" s="6"/>
      <c r="AE81" s="6"/>
      <c r="AF81" s="6"/>
    </row>
    <row r="82" spans="1:32" x14ac:dyDescent="0.2">
      <c r="A82" s="282">
        <f>'Berekening trap 1'!A82</f>
        <v>0.47681248347944405</v>
      </c>
      <c r="B82" s="6">
        <f>(A81+A82)/2</f>
        <v>0.4656831004974431</v>
      </c>
      <c r="C82" s="169">
        <f t="shared" si="12"/>
        <v>0.67658228702194811</v>
      </c>
      <c r="D82" s="202">
        <f t="shared" si="10"/>
        <v>0.85527025087388242</v>
      </c>
      <c r="E82" s="199">
        <f t="shared" si="11"/>
        <v>0.59976918175431937</v>
      </c>
      <c r="F82" s="43">
        <f t="shared" si="4"/>
        <v>0.85527025087388242</v>
      </c>
      <c r="G82" s="156">
        <f t="shared" si="4"/>
        <v>0.59976918175431937</v>
      </c>
      <c r="H82" s="171">
        <f t="shared" si="14"/>
        <v>0.85527025087388242</v>
      </c>
      <c r="I82" s="181">
        <f t="shared" si="7"/>
        <v>0.85527025087388242</v>
      </c>
      <c r="J82" s="331">
        <f>IF(INVOER!$T$36=1,100-H82*100,100-I82*100)</f>
        <v>14.472974912611761</v>
      </c>
      <c r="K82" s="335">
        <f>IF('Berekening trap 1'!$B$64=1,'Berekening trap 1'!U82,'Berekening trap 1'!V82)</f>
        <v>2.0477777166172369E-6</v>
      </c>
      <c r="L82" s="327">
        <f t="shared" si="5"/>
        <v>2.3386213094668982E-4</v>
      </c>
      <c r="M82" s="327">
        <f t="shared" si="8"/>
        <v>99.999632897921401</v>
      </c>
      <c r="N82" s="220">
        <f>'Berekening trap 2'!H82*$L82</f>
        <v>2.0001532340467614E-4</v>
      </c>
      <c r="O82" s="245">
        <f>'Berekening trap 2'!I82*$L82</f>
        <v>2.0001532340467614E-4</v>
      </c>
      <c r="Q82" s="55">
        <f t="shared" si="6"/>
        <v>26.789198725938494</v>
      </c>
      <c r="R82">
        <f t="shared" si="9"/>
        <v>0.4656831004974431</v>
      </c>
      <c r="S82" s="71">
        <f>1/100*'Berekening trap 1'!T82*INVOER!$W$19*1000</f>
        <v>6.8876918944861365E-7</v>
      </c>
      <c r="T82">
        <f>IF(INVOER!$T$36=1,1/100*N82*INVOER!$W$20*1000,1/100*O82*INVOER!$W$20*1000)</f>
        <v>5.0425344252418875E-7</v>
      </c>
      <c r="X82" s="6"/>
      <c r="Y82" s="6"/>
      <c r="Z82" s="6"/>
      <c r="AA82" s="6"/>
      <c r="AB82" s="6"/>
      <c r="AC82" s="6"/>
      <c r="AD82" s="6"/>
      <c r="AE82" s="6"/>
      <c r="AF82" s="6"/>
    </row>
    <row r="83" spans="1:32" x14ac:dyDescent="0.2">
      <c r="A83" s="283">
        <f>'Berekening trap 1'!A83</f>
        <v>0.50016122548620778</v>
      </c>
      <c r="B83" s="6">
        <f>(A82+A83)/2</f>
        <v>0.48848685448282592</v>
      </c>
      <c r="C83" s="169">
        <f t="shared" si="12"/>
        <v>0.70971343566710032</v>
      </c>
      <c r="D83" s="202">
        <f t="shared" si="10"/>
        <v>0.83519106656057729</v>
      </c>
      <c r="E83" s="199">
        <f t="shared" si="11"/>
        <v>0.59070787862462937</v>
      </c>
      <c r="F83" s="43">
        <f t="shared" si="4"/>
        <v>0.83519106656057729</v>
      </c>
      <c r="G83" s="156">
        <f t="shared" si="4"/>
        <v>0.59070787862462937</v>
      </c>
      <c r="H83" s="171">
        <f>IF(C83&lt;$K$41,D83,E83)</f>
        <v>0.83519106656057729</v>
      </c>
      <c r="I83" s="181">
        <f t="shared" si="7"/>
        <v>0.83519106656057729</v>
      </c>
      <c r="J83" s="332">
        <f>IF(INVOER!$T$36=1,100-H83*100,100-I83*100)</f>
        <v>16.48089334394227</v>
      </c>
      <c r="K83" s="335">
        <f>IF('Berekening trap 1'!$B$64=1,'Berekening trap 1'!U83,'Berekening trap 1'!V83)</f>
        <v>5.6453150197895231E-6</v>
      </c>
      <c r="L83" s="327">
        <f t="shared" si="5"/>
        <v>6.447112836906136E-4</v>
      </c>
      <c r="M83" s="327">
        <f t="shared" si="8"/>
        <v>99.998988186637717</v>
      </c>
      <c r="N83" s="220">
        <f>'Berekening trap 2'!H83*$L83</f>
        <v>5.384571046492025E-4</v>
      </c>
      <c r="O83" s="245">
        <f>'Berekening trap 2'!I83*$L83</f>
        <v>5.384571046492025E-4</v>
      </c>
      <c r="Q83" s="55">
        <f t="shared" si="6"/>
        <v>30.228270065779387</v>
      </c>
      <c r="R83">
        <f t="shared" si="9"/>
        <v>0.48848685448282592</v>
      </c>
      <c r="S83" s="71">
        <f>1/100*'Berekening trap 1'!T83*INVOER!$W$19*1000</f>
        <v>1.9456164234045281E-6</v>
      </c>
      <c r="T83">
        <f>IF(INVOER!$T$36=1,1/100*N83*INVOER!$W$20*1000,1/100*O83*INVOER!$W$20*1000)</f>
        <v>1.3574902364936496E-6</v>
      </c>
      <c r="X83" s="6"/>
      <c r="Y83" s="6"/>
      <c r="Z83" s="6"/>
      <c r="AA83" s="6"/>
      <c r="AB83" s="6"/>
      <c r="AC83" s="6"/>
      <c r="AD83" s="6"/>
      <c r="AE83" s="6"/>
      <c r="AF83" s="6"/>
    </row>
    <row r="84" spans="1:32" x14ac:dyDescent="0.2">
      <c r="A84" s="283">
        <f>'Berekening trap 1'!A84</f>
        <v>0.52465331791307834</v>
      </c>
      <c r="B84" s="6">
        <f t="shared" si="13"/>
        <v>0.51240727169964306</v>
      </c>
      <c r="C84" s="169">
        <f>B84/$B$51</f>
        <v>0.74446696348416186</v>
      </c>
      <c r="D84" s="202">
        <f>IF(C84-$K$35&gt;0,EXP(-(((C84-$K$35)/$K$37)^$K$39)),1)</f>
        <v>0.81557127774391536</v>
      </c>
      <c r="E84" s="199">
        <f t="shared" si="11"/>
        <v>0.58146213599154917</v>
      </c>
      <c r="F84" s="43">
        <f t="shared" si="4"/>
        <v>0.81557127774391536</v>
      </c>
      <c r="G84" s="156">
        <f t="shared" si="4"/>
        <v>0.58146213599154917</v>
      </c>
      <c r="H84" s="171">
        <f t="shared" si="14"/>
        <v>0.81557127774391536</v>
      </c>
      <c r="I84" s="181">
        <f t="shared" si="7"/>
        <v>0.81557127774391536</v>
      </c>
      <c r="J84" s="332">
        <f>IF(INVOER!$T$36=1,100-H84*100,100-I84*100)</f>
        <v>18.442872225608468</v>
      </c>
      <c r="K84" s="335">
        <f>IF('Berekening trap 1'!$B$64=1,'Berekening trap 1'!U84,'Berekening trap 1'!V84)</f>
        <v>1.5563240613190494E-5</v>
      </c>
      <c r="L84" s="327">
        <f t="shared" si="5"/>
        <v>1.7773670377902191E-3</v>
      </c>
      <c r="M84" s="327">
        <f t="shared" si="8"/>
        <v>99.997210819599928</v>
      </c>
      <c r="N84" s="220">
        <f>'Berekening trap 2'!H84*$L84</f>
        <v>1.4495695060304868E-3</v>
      </c>
      <c r="O84" s="245">
        <f>'Berekening trap 2'!I84*$L84</f>
        <v>1.4495695060304868E-3</v>
      </c>
      <c r="Q84" s="55">
        <f t="shared" si="6"/>
        <v>33.505772067588808</v>
      </c>
      <c r="R84">
        <f t="shared" si="9"/>
        <v>0.51240727169964306</v>
      </c>
      <c r="S84" s="71">
        <f>1/100*'Berekening trap 1'!T84*INVOER!$W$19*1000</f>
        <v>5.4959237618521654E-6</v>
      </c>
      <c r="T84">
        <f>IF(INVOER!$T$36=1,1/100*N84*INVOER!$W$20*1000,1/100*O84*INVOER!$W$20*1000)</f>
        <v>3.6544720731975265E-6</v>
      </c>
      <c r="X84" s="6"/>
      <c r="Y84" s="6"/>
      <c r="Z84" s="6"/>
      <c r="AA84" s="6"/>
      <c r="AB84" s="6"/>
      <c r="AC84" s="6"/>
      <c r="AD84" s="6"/>
      <c r="AE84" s="6"/>
      <c r="AF84" s="6"/>
    </row>
    <row r="85" spans="1:32" x14ac:dyDescent="0.2">
      <c r="A85" s="283">
        <f>'Berekening trap 1'!A85</f>
        <v>0.55034474879499062</v>
      </c>
      <c r="B85" s="6">
        <f t="shared" si="13"/>
        <v>0.53749903335403448</v>
      </c>
      <c r="C85" s="169">
        <f>B85/$B$51</f>
        <v>0.78092231577717675</v>
      </c>
      <c r="D85" s="202">
        <f t="shared" si="10"/>
        <v>0.79629822153602825</v>
      </c>
      <c r="E85" s="199">
        <f t="shared" si="11"/>
        <v>0.57203419823600976</v>
      </c>
      <c r="F85" s="43">
        <f t="shared" si="4"/>
        <v>0.79629822153602825</v>
      </c>
      <c r="G85" s="156">
        <f t="shared" si="4"/>
        <v>0.57203419823600976</v>
      </c>
      <c r="H85" s="171">
        <f t="shared" si="14"/>
        <v>0.79629822153602825</v>
      </c>
      <c r="I85" s="181">
        <f t="shared" si="7"/>
        <v>0.79629822153602825</v>
      </c>
      <c r="J85" s="332">
        <f>IF(INVOER!$T$36=1,100-H85*100,100-I85*100)</f>
        <v>20.370177846397169</v>
      </c>
      <c r="K85" s="335">
        <f>IF('Berekening trap 1'!$B$64=1,'Berekening trap 1'!U85,'Berekening trap 1'!V85)</f>
        <v>4.2900049801602613E-5</v>
      </c>
      <c r="L85" s="327">
        <f t="shared" si="5"/>
        <v>4.8993096188658155E-3</v>
      </c>
      <c r="M85" s="327">
        <f t="shared" si="8"/>
        <v>99.992311509981064</v>
      </c>
      <c r="N85" s="220">
        <f>'Berekening trap 2'!H85*$L85</f>
        <v>3.9013115362572051E-3</v>
      </c>
      <c r="O85" s="245">
        <f>'Berekening trap 2'!I85*$L85</f>
        <v>3.9013115362572051E-3</v>
      </c>
      <c r="Q85" s="55">
        <f t="shared" si="6"/>
        <v>36.64627397944335</v>
      </c>
      <c r="R85">
        <f t="shared" si="9"/>
        <v>0.53749903335403448</v>
      </c>
      <c r="S85" s="71">
        <f>1/100*'Berekening trap 1'!T85*INVOER!$W$19*1000</f>
        <v>1.5524730610194413E-5</v>
      </c>
      <c r="T85">
        <f>IF(INVOER!$T$36=1,1/100*N85*INVOER!$W$20*1000,1/100*O85*INVOER!$W$20*1000)</f>
        <v>9.8354952962120606E-6</v>
      </c>
      <c r="X85" s="6"/>
      <c r="Y85" s="6"/>
      <c r="Z85" s="6"/>
      <c r="AA85" s="6"/>
      <c r="AB85" s="6"/>
      <c r="AC85" s="6"/>
      <c r="AD85" s="6"/>
      <c r="AE85" s="6"/>
      <c r="AF85" s="6"/>
    </row>
    <row r="86" spans="1:32" x14ac:dyDescent="0.2">
      <c r="A86" s="284">
        <f>'Berekening trap 1'!A86</f>
        <v>0.5772942478110864</v>
      </c>
      <c r="B86" s="46">
        <f t="shared" si="13"/>
        <v>0.56381949830303846</v>
      </c>
      <c r="C86" s="184">
        <f t="shared" si="12"/>
        <v>0.81916282815921437</v>
      </c>
      <c r="D86" s="203">
        <f t="shared" si="10"/>
        <v>0.77729161336716757</v>
      </c>
      <c r="E86" s="168">
        <f t="shared" si="11"/>
        <v>0.56242674684519556</v>
      </c>
      <c r="F86" s="45">
        <f t="shared" si="4"/>
        <v>0.77729161336716757</v>
      </c>
      <c r="G86" s="185">
        <f t="shared" si="4"/>
        <v>0.56242674684519556</v>
      </c>
      <c r="H86" s="172">
        <f t="shared" si="14"/>
        <v>0.77729161336716757</v>
      </c>
      <c r="I86" s="243">
        <f t="shared" si="7"/>
        <v>0.77729161336716757</v>
      </c>
      <c r="J86" s="333">
        <f>IF(INVOER!$T$36=1,100-H86*100,100-I86*100)</f>
        <v>22.270838663283243</v>
      </c>
      <c r="K86" s="335">
        <f>IF('Berekening trap 1'!$B$64=1,'Berekening trap 1'!U86,'Berekening trap 1'!V86)</f>
        <v>1.1822650901541715E-4</v>
      </c>
      <c r="L86" s="327">
        <f t="shared" si="5"/>
        <v>1.3501808867422834E-2</v>
      </c>
      <c r="M86" s="327">
        <f t="shared" si="8"/>
        <v>99.978809701113647</v>
      </c>
      <c r="N86" s="220">
        <f>'Berekening trap 2'!H86*$L86</f>
        <v>1.0494842797934225E-2</v>
      </c>
      <c r="O86" s="245">
        <f>'Berekening trap 2'!I86*$L86</f>
        <v>1.0494842797934225E-2</v>
      </c>
      <c r="Q86" s="55">
        <f t="shared" si="6"/>
        <v>39.667074602424535</v>
      </c>
      <c r="R86">
        <f t="shared" si="9"/>
        <v>0.56381949830303846</v>
      </c>
      <c r="S86" s="71">
        <f>1/100*'Berekening trap 1'!T86*INVOER!$W$19*1000</f>
        <v>4.3853792467956628E-5</v>
      </c>
      <c r="T86">
        <f>IF(INVOER!$T$36=1,1/100*N86*INVOER!$W$20*1000,1/100*O86*INVOER!$W$20*1000)</f>
        <v>2.645827589369984E-5</v>
      </c>
      <c r="X86" s="6"/>
      <c r="Y86" s="6"/>
      <c r="Z86" s="6"/>
      <c r="AA86" s="6"/>
      <c r="AB86" s="6"/>
      <c r="AC86" s="6"/>
      <c r="AD86" s="6"/>
      <c r="AE86" s="6"/>
      <c r="AF86" s="6"/>
    </row>
    <row r="87" spans="1:32" x14ac:dyDescent="0.2">
      <c r="A87" s="283">
        <f>'Berekening trap 1'!A87</f>
        <v>0.60556342053863077</v>
      </c>
      <c r="B87" s="6">
        <f t="shared" si="13"/>
        <v>0.59142883417485859</v>
      </c>
      <c r="C87" s="169">
        <f t="shared" si="12"/>
        <v>0.85927591705455797</v>
      </c>
      <c r="D87" s="202">
        <f t="shared" si="10"/>
        <v>0.75849259398440505</v>
      </c>
      <c r="E87" s="199">
        <f t="shared" si="11"/>
        <v>0.5526429195727075</v>
      </c>
      <c r="F87" s="43">
        <f t="shared" si="4"/>
        <v>0.75849259398440505</v>
      </c>
      <c r="G87" s="156">
        <f t="shared" si="4"/>
        <v>0.5526429195727075</v>
      </c>
      <c r="H87" s="171">
        <f t="shared" si="14"/>
        <v>0.75849259398440505</v>
      </c>
      <c r="I87" s="181">
        <f t="shared" si="7"/>
        <v>0.75849259398440505</v>
      </c>
      <c r="J87" s="332">
        <f>IF(INVOER!$T$36=1,100-H87*100,100-I87*100)</f>
        <v>24.150740601559491</v>
      </c>
      <c r="K87" s="343">
        <f>IF('Berekening trap 1'!$B$64=1,'Berekening trap 1'!U87,'Berekening trap 1'!V87)</f>
        <v>3.2571160282200581E-4</v>
      </c>
      <c r="L87" s="328">
        <f t="shared" si="5"/>
        <v>3.7197205972064926E-2</v>
      </c>
      <c r="M87" s="328">
        <f t="shared" si="8"/>
        <v>99.941612495141584</v>
      </c>
      <c r="N87" s="222">
        <f>'Berekening trap 2'!H87*$L87</f>
        <v>2.821380524672373E-2</v>
      </c>
      <c r="O87" s="244">
        <f>'Berekening trap 2'!I87*$L87</f>
        <v>2.821380524672373E-2</v>
      </c>
      <c r="Q87" s="55">
        <f t="shared" si="6"/>
        <v>42.580706658252922</v>
      </c>
      <c r="R87">
        <f t="shared" si="9"/>
        <v>0.59142883417485859</v>
      </c>
      <c r="S87" s="71">
        <f>1/100*'Berekening trap 1'!T87*INVOER!$W$19*1000</f>
        <v>1.2387664193140807E-4</v>
      </c>
      <c r="T87">
        <f>IF(INVOER!$T$36=1,1/100*N87*INVOER!$W$20*1000,1/100*O87*INVOER!$W$20*1000)</f>
        <v>7.1129092412500859E-5</v>
      </c>
      <c r="X87" s="6"/>
      <c r="Y87" s="6"/>
      <c r="Z87" s="6"/>
      <c r="AA87" s="6"/>
      <c r="AB87" s="6"/>
      <c r="AC87" s="6"/>
      <c r="AD87" s="6"/>
      <c r="AE87" s="6"/>
      <c r="AF87" s="6"/>
    </row>
    <row r="88" spans="1:32" x14ac:dyDescent="0.2">
      <c r="A88" s="283">
        <f>'Berekening trap 1'!A88</f>
        <v>0.63521688928112741</v>
      </c>
      <c r="B88" s="6">
        <f t="shared" si="13"/>
        <v>0.62039015490987914</v>
      </c>
      <c r="C88" s="169">
        <f t="shared" si="12"/>
        <v>0.90135327952947986</v>
      </c>
      <c r="D88" s="202">
        <f>IF(C88-$K$35&gt;0,EXP(-(((C88-$K$35)/$K$37)^$K$39)),1)</f>
        <v>0.7398572367462326</v>
      </c>
      <c r="E88" s="199">
        <f t="shared" si="11"/>
        <v>0.54268632919782167</v>
      </c>
      <c r="F88" s="43">
        <f t="shared" si="4"/>
        <v>0.7398572367462326</v>
      </c>
      <c r="G88" s="156">
        <f t="shared" si="4"/>
        <v>0.54268632919782167</v>
      </c>
      <c r="H88" s="171">
        <f t="shared" si="14"/>
        <v>0.7398572367462326</v>
      </c>
      <c r="I88" s="181">
        <f t="shared" si="7"/>
        <v>0.7398572367462326</v>
      </c>
      <c r="J88" s="332">
        <f>IF(INVOER!$T$36=1,100-H88*100,100-I88*100)</f>
        <v>26.014276325376741</v>
      </c>
      <c r="K88" s="335">
        <f>IF('Berekening trap 1'!$B$64=1,'Berekening trap 1'!U88,'Berekening trap 1'!V88)</f>
        <v>8.9697399273174026E-4</v>
      </c>
      <c r="L88" s="327">
        <f t="shared" si="5"/>
        <v>0.10243702118730232</v>
      </c>
      <c r="M88" s="327">
        <f t="shared" si="8"/>
        <v>99.839175473954285</v>
      </c>
      <c r="N88" s="220">
        <f>'Berekening trap 2'!H88*$L88</f>
        <v>7.5788771436152771E-2</v>
      </c>
      <c r="O88" s="245">
        <f>'Berekening trap 2'!I88*$L88</f>
        <v>7.5788771436152771E-2</v>
      </c>
      <c r="Q88" s="55">
        <f t="shared" si="6"/>
        <v>45.396423739522973</v>
      </c>
      <c r="R88">
        <f t="shared" si="9"/>
        <v>0.62039015490987914</v>
      </c>
      <c r="S88" s="71">
        <f>1/100*'Berekening trap 1'!T88*INVOER!$W$19*1000</f>
        <v>3.4992049687225508E-4</v>
      </c>
      <c r="T88">
        <f>IF(INVOER!$T$36=1,1/100*N88*INVOER!$W$20*1000,1/100*O88*INVOER!$W$20*1000)</f>
        <v>1.9106910536068191E-4</v>
      </c>
      <c r="X88" s="6"/>
      <c r="Y88" s="6"/>
      <c r="Z88" s="6"/>
      <c r="AA88" s="6"/>
      <c r="AB88" s="6"/>
      <c r="AC88" s="6"/>
      <c r="AD88" s="6"/>
      <c r="AE88" s="6"/>
      <c r="AF88" s="6"/>
    </row>
    <row r="89" spans="1:32" x14ac:dyDescent="0.2">
      <c r="A89" s="283">
        <f>'Berekening trap 1'!A89</f>
        <v>0.6663224407925602</v>
      </c>
      <c r="B89" s="6">
        <f t="shared" si="13"/>
        <v>0.65076966503684375</v>
      </c>
      <c r="C89" s="169">
        <f t="shared" si="12"/>
        <v>0.94549110290840876</v>
      </c>
      <c r="D89" s="202">
        <f>IF(C89-$K$35&gt;0,EXP(-(((C89-$K$35)/$K$37)^$K$39)),1)</f>
        <v>0.72135247293037108</v>
      </c>
      <c r="E89" s="199">
        <f t="shared" si="11"/>
        <v>0.532561081733678</v>
      </c>
      <c r="F89" s="43">
        <f t="shared" si="4"/>
        <v>0.72135247293037108</v>
      </c>
      <c r="G89" s="156">
        <f t="shared" si="4"/>
        <v>0.532561081733678</v>
      </c>
      <c r="H89" s="171">
        <f t="shared" si="14"/>
        <v>0.72135247293037108</v>
      </c>
      <c r="I89" s="181">
        <f t="shared" si="7"/>
        <v>0.72135247293037108</v>
      </c>
      <c r="J89" s="332">
        <f>IF(INVOER!$T$36=1,100-H89*100,100-I89*100)</f>
        <v>27.864752706962889</v>
      </c>
      <c r="K89" s="335">
        <f>IF('Berekening trap 1'!$B$64=1,'Berekening trap 1'!U89,'Berekening trap 1'!V89)</f>
        <v>2.4690111100552012E-3</v>
      </c>
      <c r="L89" s="327">
        <f t="shared" si="5"/>
        <v>0.28196820135458506</v>
      </c>
      <c r="M89" s="327">
        <f t="shared" si="8"/>
        <v>99.557207272599697</v>
      </c>
      <c r="N89" s="220">
        <f>'Berekening trap 2'!H89*$L89</f>
        <v>0.20339845933485873</v>
      </c>
      <c r="O89" s="245">
        <f>'Berekening trap 2'!I89*$L89</f>
        <v>0.20339845933485873</v>
      </c>
      <c r="Q89" s="55">
        <f t="shared" si="6"/>
        <v>48.121137875827323</v>
      </c>
      <c r="R89">
        <f t="shared" si="9"/>
        <v>0.65076966503684375</v>
      </c>
      <c r="S89" s="71">
        <f>1/100*'Berekening trap 1'!T89*INVOER!$W$19*1000</f>
        <v>9.8842294866918518E-4</v>
      </c>
      <c r="T89">
        <f>IF(INVOER!$T$36=1,1/100*N89*INVOER!$W$20*1000,1/100*O89*INVOER!$W$20*1000)</f>
        <v>5.1278257874376866E-4</v>
      </c>
      <c r="X89" s="6"/>
      <c r="Y89" s="6"/>
      <c r="Z89" s="6"/>
      <c r="AA89" s="6"/>
      <c r="AB89" s="6"/>
      <c r="AC89" s="6"/>
      <c r="AD89" s="6"/>
      <c r="AE89" s="6"/>
      <c r="AF89" s="6"/>
    </row>
    <row r="90" spans="1:32" x14ac:dyDescent="0.2">
      <c r="A90" s="283">
        <f>'Berekening trap 1'!A90</f>
        <v>0.69895118123545452</v>
      </c>
      <c r="B90" s="6">
        <f t="shared" si="13"/>
        <v>0.68263681101400731</v>
      </c>
      <c r="C90" s="169">
        <f t="shared" si="12"/>
        <v>0.99179028465466579</v>
      </c>
      <c r="D90" s="202">
        <f t="shared" ref="D90:D153" si="15">IF(C90-$K$35&gt;0,EXP(-(((C90-$K$35)/$K$37)^$K$39)),1)</f>
        <v>0.70295341604504447</v>
      </c>
      <c r="E90" s="199">
        <f t="shared" si="11"/>
        <v>0.52227179392125733</v>
      </c>
      <c r="F90" s="43">
        <f t="shared" si="4"/>
        <v>0.70295341604504447</v>
      </c>
      <c r="G90" s="156">
        <f t="shared" si="4"/>
        <v>0.52227179392125733</v>
      </c>
      <c r="H90" s="171">
        <f t="shared" si="14"/>
        <v>0.70295341604504447</v>
      </c>
      <c r="I90" s="181">
        <f t="shared" si="7"/>
        <v>0.70295341604504447</v>
      </c>
      <c r="J90" s="332">
        <f>IF(INVOER!$T$36=1,100-H90*100,100-I90*100)</f>
        <v>29.704658395495557</v>
      </c>
      <c r="K90" s="335">
        <f>IF('Berekening trap 1'!$B$64=1,'Berekening trap 1'!U90,'Berekening trap 1'!V90)</f>
        <v>4.4142875827709689E-3</v>
      </c>
      <c r="L90" s="327">
        <f t="shared" si="5"/>
        <v>0.50412439413769217</v>
      </c>
      <c r="M90" s="327">
        <f t="shared" si="8"/>
        <v>99.053082878462007</v>
      </c>
      <c r="N90" s="220">
        <f>'Berekening trap 2'!H90*$L90</f>
        <v>0.3543759649707291</v>
      </c>
      <c r="O90" s="245">
        <f>'Berekening trap 2'!I90*$L90</f>
        <v>0.3543759649707291</v>
      </c>
      <c r="Q90" s="55">
        <f t="shared" si="6"/>
        <v>50.760040085532324</v>
      </c>
      <c r="R90">
        <f t="shared" si="9"/>
        <v>0.68263681101400731</v>
      </c>
      <c r="S90" s="71">
        <f>1/100*'Berekening trap 1'!T90*INVOER!$W$19*1000</f>
        <v>1.8143963819384878E-3</v>
      </c>
      <c r="T90">
        <f>IF(INVOER!$T$36=1,1/100*N90*INVOER!$W$20*1000,1/100*O90*INVOER!$W$20*1000)</f>
        <v>8.9340805115606316E-4</v>
      </c>
      <c r="X90" s="6"/>
      <c r="Y90" s="6"/>
      <c r="Z90" s="6"/>
      <c r="AA90" s="6"/>
      <c r="AB90" s="6"/>
      <c r="AC90" s="6"/>
      <c r="AD90" s="6"/>
      <c r="AE90" s="6"/>
      <c r="AF90" s="6"/>
    </row>
    <row r="91" spans="1:32" x14ac:dyDescent="0.2">
      <c r="A91" s="283">
        <f>'Berekening trap 1'!A91</f>
        <v>0.73317769872698524</v>
      </c>
      <c r="B91" s="46">
        <f t="shared" si="13"/>
        <v>0.71606443998121994</v>
      </c>
      <c r="C91" s="184">
        <f t="shared" si="12"/>
        <v>1.0403566630184047</v>
      </c>
      <c r="D91" s="203">
        <f t="shared" si="15"/>
        <v>0.68464153865945465</v>
      </c>
      <c r="E91" s="168">
        <f t="shared" si="11"/>
        <v>0.51182360983295494</v>
      </c>
      <c r="F91" s="45">
        <f t="shared" si="4"/>
        <v>0.68464153865945465</v>
      </c>
      <c r="G91" s="185">
        <f t="shared" si="4"/>
        <v>0.51182360983295494</v>
      </c>
      <c r="H91" s="172">
        <f t="shared" si="14"/>
        <v>0.68464153865945465</v>
      </c>
      <c r="I91" s="243">
        <f t="shared" si="7"/>
        <v>0.68464153865945465</v>
      </c>
      <c r="J91" s="332">
        <f>IF(INVOER!$T$36=1,100-H91*100,100-I91*100)</f>
        <v>31.535846134054538</v>
      </c>
      <c r="K91" s="336">
        <f>IF('Berekening trap 1'!$B$64=1,'Berekening trap 1'!U91,'Berekening trap 1'!V91)</f>
        <v>3.6961880366099256E-3</v>
      </c>
      <c r="L91" s="329">
        <f t="shared" si="5"/>
        <v>0.42211535148901563</v>
      </c>
      <c r="M91" s="329">
        <f t="shared" si="8"/>
        <v>98.630967526972995</v>
      </c>
      <c r="N91" s="223">
        <f>'Berekening trap 2'!H91*$L91</f>
        <v>0.28899770373521616</v>
      </c>
      <c r="O91" s="246">
        <f>'Berekening trap 2'!I91*$L91</f>
        <v>0.28899770373521616</v>
      </c>
      <c r="Q91" s="55">
        <f t="shared" si="6"/>
        <v>53.317028084528076</v>
      </c>
      <c r="R91">
        <f t="shared" si="9"/>
        <v>0.71606443998121994</v>
      </c>
      <c r="S91" s="71">
        <f>1/100*'Berekening trap 1'!T91*INVOER!$W$19*1000</f>
        <v>1.5607074337196248E-3</v>
      </c>
      <c r="T91">
        <f>IF(INVOER!$T$36=1,1/100*N91*INVOER!$W$20*1000,1/100*O91*INVOER!$W$20*1000)</f>
        <v>7.2858461296601497E-4</v>
      </c>
      <c r="X91" s="6"/>
      <c r="Y91" s="6"/>
      <c r="Z91" s="6"/>
      <c r="AA91" s="6"/>
      <c r="AB91" s="6"/>
      <c r="AC91" s="6"/>
      <c r="AD91" s="6"/>
      <c r="AE91" s="6"/>
      <c r="AF91" s="6"/>
    </row>
    <row r="92" spans="1:32" x14ac:dyDescent="0.2">
      <c r="A92" s="282">
        <f>'Berekening trap 1'!A92</f>
        <v>0.76908023384470758</v>
      </c>
      <c r="B92" s="6">
        <f t="shared" si="13"/>
        <v>0.75112896628584647</v>
      </c>
      <c r="C92" s="169">
        <f t="shared" si="12"/>
        <v>1.0913012589790128</v>
      </c>
      <c r="D92" s="202">
        <f t="shared" si="15"/>
        <v>0.66640339112844793</v>
      </c>
      <c r="E92" s="199">
        <f t="shared" si="11"/>
        <v>0.50122221639655129</v>
      </c>
      <c r="F92" s="43">
        <f t="shared" si="4"/>
        <v>0.66640339112844793</v>
      </c>
      <c r="G92" s="156">
        <f t="shared" si="4"/>
        <v>0.50122221639655129</v>
      </c>
      <c r="H92" s="171">
        <f t="shared" si="14"/>
        <v>0.66640339112844793</v>
      </c>
      <c r="I92" s="181">
        <f t="shared" si="7"/>
        <v>0.66640339112844793</v>
      </c>
      <c r="J92" s="331">
        <f>IF(INVOER!$T$36=1,100-H92*100,100-I92*100)</f>
        <v>33.359660887155201</v>
      </c>
      <c r="K92" s="335">
        <f>IF('Berekening trap 1'!$B$64=1,'Berekening trap 1'!U92,'Berekening trap 1'!V92)</f>
        <v>5.5447945310765677E-3</v>
      </c>
      <c r="L92" s="327">
        <f t="shared" si="5"/>
        <v>0.63323155349165061</v>
      </c>
      <c r="M92" s="327">
        <f t="shared" si="8"/>
        <v>97.99773597348134</v>
      </c>
      <c r="N92" s="220">
        <f>'Berekening trap 2'!H92*$L92</f>
        <v>0.42198765461637117</v>
      </c>
      <c r="O92" s="245">
        <f>'Berekening trap 2'!I92*$L92</f>
        <v>0.42198765461637117</v>
      </c>
      <c r="Q92" s="55">
        <f t="shared" si="6"/>
        <v>55.795011530555293</v>
      </c>
      <c r="R92">
        <f t="shared" si="9"/>
        <v>0.75112896628584647</v>
      </c>
      <c r="S92" s="71">
        <f>1/100*'Berekening trap 1'!T92*INVOER!$W$19*1000</f>
        <v>2.406656272517549E-3</v>
      </c>
      <c r="T92">
        <f>IF(INVOER!$T$36=1,1/100*N92*INVOER!$W$20*1000,1/100*O92*INVOER!$W$20*1000)</f>
        <v>1.0638621277655504E-3</v>
      </c>
      <c r="X92" s="6"/>
      <c r="Y92" s="6"/>
      <c r="Z92" s="6"/>
      <c r="AA92" s="6"/>
      <c r="AB92" s="6"/>
      <c r="AC92" s="6"/>
      <c r="AD92" s="6"/>
      <c r="AE92" s="6"/>
      <c r="AF92" s="6"/>
    </row>
    <row r="93" spans="1:32" x14ac:dyDescent="0.2">
      <c r="A93" s="283">
        <f>'Berekening trap 1'!A93</f>
        <v>0.80674085848167931</v>
      </c>
      <c r="B93" s="6">
        <f t="shared" si="13"/>
        <v>0.78791054616319345</v>
      </c>
      <c r="C93" s="169">
        <f t="shared" si="12"/>
        <v>1.1447405300350439</v>
      </c>
      <c r="D93" s="202">
        <f t="shared" si="15"/>
        <v>0.6482296769588507</v>
      </c>
      <c r="E93" s="199">
        <f t="shared" si="11"/>
        <v>0.49047385763761353</v>
      </c>
      <c r="F93" s="43">
        <f t="shared" si="4"/>
        <v>0.6482296769588507</v>
      </c>
      <c r="G93" s="156">
        <f t="shared" si="4"/>
        <v>0.49047385763761353</v>
      </c>
      <c r="H93" s="171">
        <f t="shared" si="14"/>
        <v>0.6482296769588507</v>
      </c>
      <c r="I93" s="181">
        <f t="shared" si="7"/>
        <v>0.6482296769588507</v>
      </c>
      <c r="J93" s="332">
        <f>IF(INVOER!$T$36=1,100-H93*100,100-I93*100)</f>
        <v>35.177032304114931</v>
      </c>
      <c r="K93" s="335">
        <f>IF('Berekening trap 1'!$B$64=1,'Berekening trap 1'!U93,'Berekening trap 1'!V93)</f>
        <v>8.3219909685630124E-3</v>
      </c>
      <c r="L93" s="327">
        <f t="shared" si="5"/>
        <v>0.95039540953801172</v>
      </c>
      <c r="M93" s="327">
        <f t="shared" si="8"/>
        <v>97.047340563943322</v>
      </c>
      <c r="N93" s="220">
        <f>'Berekening trap 2'!H93*$L93</f>
        <v>0.6160745093079999</v>
      </c>
      <c r="O93" s="245">
        <f>'Berekening trap 2'!I93*$L93</f>
        <v>0.6160745093079999</v>
      </c>
      <c r="Q93" s="55">
        <f t="shared" si="6"/>
        <v>58.196136663882349</v>
      </c>
      <c r="R93">
        <f t="shared" si="9"/>
        <v>0.78791054616319345</v>
      </c>
      <c r="S93" s="71">
        <f>1/100*'Berekening trap 1'!T93*INVOER!$W$19*1000</f>
        <v>3.7153730245953966E-3</v>
      </c>
      <c r="T93">
        <f>IF(INVOER!$T$36=1,1/100*N93*INVOER!$W$20*1000,1/100*O93*INVOER!$W$20*1000)</f>
        <v>1.5531694616288403E-3</v>
      </c>
      <c r="X93" s="6"/>
      <c r="Y93" s="6"/>
      <c r="Z93" s="6"/>
      <c r="AA93" s="6"/>
      <c r="AB93" s="6"/>
      <c r="AC93" s="6"/>
      <c r="AD93" s="6"/>
      <c r="AE93" s="6"/>
      <c r="AF93" s="6"/>
    </row>
    <row r="94" spans="1:32" x14ac:dyDescent="0.2">
      <c r="A94" s="283">
        <f>'Berekening trap 1'!A94</f>
        <v>0.84624566345983143</v>
      </c>
      <c r="B94" s="6">
        <f t="shared" si="13"/>
        <v>0.82649326097075537</v>
      </c>
      <c r="C94" s="169">
        <f t="shared" si="12"/>
        <v>1.2007966364218359</v>
      </c>
      <c r="D94" s="202">
        <f t="shared" si="15"/>
        <v>0.63011456976713409</v>
      </c>
      <c r="E94" s="199">
        <f t="shared" si="11"/>
        <v>0.4795853474259798</v>
      </c>
      <c r="F94" s="43">
        <f t="shared" si="4"/>
        <v>0.63011456976713409</v>
      </c>
      <c r="G94" s="156">
        <f t="shared" si="4"/>
        <v>0.4795853474259798</v>
      </c>
      <c r="H94" s="171">
        <f t="shared" si="14"/>
        <v>0.63011456976713409</v>
      </c>
      <c r="I94" s="181">
        <f t="shared" si="7"/>
        <v>0.63011456976713409</v>
      </c>
      <c r="J94" s="332">
        <f>IF(INVOER!$T$36=1,100-H94*100,100-I94*100)</f>
        <v>36.988543023286589</v>
      </c>
      <c r="K94" s="335">
        <f>IF('Berekening trap 1'!$B$64=1,'Berekening trap 1'!U94,'Berekening trap 1'!V94)</f>
        <v>1.219192017040493E-2</v>
      </c>
      <c r="L94" s="327">
        <f t="shared" si="5"/>
        <v>1.3923525040075275</v>
      </c>
      <c r="M94" s="327">
        <f t="shared" si="8"/>
        <v>95.654988059935789</v>
      </c>
      <c r="N94" s="220">
        <f>'Berekening trap 2'!H94*$L94</f>
        <v>0.87734159902689501</v>
      </c>
      <c r="O94" s="245">
        <f>'Berekening trap 2'!I94*$L94</f>
        <v>0.87734159902689501</v>
      </c>
      <c r="Q94" s="55">
        <f t="shared" si="6"/>
        <v>60.521956262391718</v>
      </c>
      <c r="R94">
        <f t="shared" si="9"/>
        <v>0.82649326097075537</v>
      </c>
      <c r="S94" s="71">
        <f>1/100*'Berekening trap 1'!T94*INVOER!$W$19*1000</f>
        <v>5.6027171907458238E-3</v>
      </c>
      <c r="T94">
        <f>IF(INVOER!$T$36=1,1/100*N94*INVOER!$W$20*1000,1/100*O94*INVOER!$W$20*1000)</f>
        <v>2.2118431430571345E-3</v>
      </c>
      <c r="X94" s="6"/>
      <c r="Y94" s="6"/>
      <c r="Z94" s="6"/>
      <c r="AA94" s="6"/>
      <c r="AB94" s="6"/>
      <c r="AC94" s="6"/>
      <c r="AD94" s="6"/>
      <c r="AE94" s="6"/>
      <c r="AF94" s="6"/>
    </row>
    <row r="95" spans="1:32" x14ac:dyDescent="0.2">
      <c r="A95" s="283">
        <f>'Berekening trap 1'!A95</f>
        <v>0.88768495533046476</v>
      </c>
      <c r="B95" s="6">
        <f t="shared" si="13"/>
        <v>0.86696530939514815</v>
      </c>
      <c r="C95" s="169">
        <f t="shared" si="12"/>
        <v>1.2595977203653772</v>
      </c>
      <c r="D95" s="202">
        <f t="shared" si="15"/>
        <v>0.61205519784896401</v>
      </c>
      <c r="E95" s="199">
        <f t="shared" si="11"/>
        <v>0.46856408050023196</v>
      </c>
      <c r="F95" s="43">
        <f t="shared" si="4"/>
        <v>0.61205519784896401</v>
      </c>
      <c r="G95" s="156">
        <f t="shared" si="4"/>
        <v>0.46856408050023196</v>
      </c>
      <c r="H95" s="171">
        <f t="shared" si="14"/>
        <v>0.61205519784896401</v>
      </c>
      <c r="I95" s="181">
        <f t="shared" si="7"/>
        <v>0.61205519784896401</v>
      </c>
      <c r="J95" s="332">
        <f>IF(INVOER!$T$36=1,100-H95*100,100-I95*100)</f>
        <v>38.794480215103597</v>
      </c>
      <c r="K95" s="335">
        <f>IF('Berekening trap 1'!$B$64=1,'Berekening trap 1'!U95,'Berekening trap 1'!V95)</f>
        <v>9.6686009085516396E-3</v>
      </c>
      <c r="L95" s="327">
        <f t="shared" si="5"/>
        <v>1.1041821548298585</v>
      </c>
      <c r="M95" s="327">
        <f t="shared" si="8"/>
        <v>94.550805905105932</v>
      </c>
      <c r="N95" s="220">
        <f>'Berekening trap 2'!H95*$L95</f>
        <v>0.67582042723568447</v>
      </c>
      <c r="O95" s="245">
        <f>'Berekening trap 2'!I95*$L95</f>
        <v>0.67582042723568447</v>
      </c>
      <c r="Q95" s="55">
        <f t="shared" si="6"/>
        <v>62.773561508588379</v>
      </c>
      <c r="R95">
        <f t="shared" si="9"/>
        <v>0.86696530939514815</v>
      </c>
      <c r="S95" s="71">
        <f>1/100*'Berekening trap 1'!T95*INVOER!$W$19*1000</f>
        <v>4.5768368242568181E-3</v>
      </c>
      <c r="T95">
        <f>IF(INVOER!$T$36=1,1/100*N95*INVOER!$W$20*1000,1/100*O95*INVOER!$W$20*1000)</f>
        <v>1.7037933452342413E-3</v>
      </c>
      <c r="X95" s="6"/>
      <c r="Y95" s="6"/>
      <c r="Z95" s="6"/>
      <c r="AA95" s="6"/>
      <c r="AB95" s="6"/>
      <c r="AC95" s="6"/>
      <c r="AD95" s="6"/>
      <c r="AE95" s="6"/>
      <c r="AF95" s="6"/>
    </row>
    <row r="96" spans="1:32" x14ac:dyDescent="0.2">
      <c r="A96" s="284">
        <f>'Berekening trap 1'!A96</f>
        <v>0.93115346281175049</v>
      </c>
      <c r="B96" s="46">
        <f t="shared" si="13"/>
        <v>0.90941920907110763</v>
      </c>
      <c r="C96" s="184">
        <f t="shared" si="12"/>
        <v>1.3212781990107874</v>
      </c>
      <c r="D96" s="203">
        <f t="shared" si="15"/>
        <v>0.59405124732672721</v>
      </c>
      <c r="E96" s="168">
        <f t="shared" si="11"/>
        <v>0.45741804153316185</v>
      </c>
      <c r="F96" s="45">
        <f t="shared" si="4"/>
        <v>0.59405124732672721</v>
      </c>
      <c r="G96" s="185">
        <f t="shared" si="4"/>
        <v>0.45741804153316185</v>
      </c>
      <c r="H96" s="172">
        <f t="shared" si="14"/>
        <v>0.59405124732672721</v>
      </c>
      <c r="I96" s="243">
        <f t="shared" si="7"/>
        <v>0.59405124732672721</v>
      </c>
      <c r="J96" s="333">
        <f>IF(INVOER!$T$36=1,100-H96*100,100-I96*100)</f>
        <v>40.594875267327282</v>
      </c>
      <c r="K96" s="335">
        <f>IF('Berekening trap 1'!$B$64=1,'Berekening trap 1'!U96,'Berekening trap 1'!V96)</f>
        <v>1.1018740511699522E-2</v>
      </c>
      <c r="L96" s="327">
        <f t="shared" si="5"/>
        <v>1.2583719978511361</v>
      </c>
      <c r="M96" s="327">
        <f t="shared" si="8"/>
        <v>93.292433907254789</v>
      </c>
      <c r="N96" s="220">
        <f>'Berekening trap 2'!H96*$L96</f>
        <v>0.74753745492449308</v>
      </c>
      <c r="O96" s="245">
        <f>'Berekening trap 2'!I96*$L96</f>
        <v>0.74753745492449308</v>
      </c>
      <c r="Q96" s="55">
        <f t="shared" si="6"/>
        <v>64.95168670394014</v>
      </c>
      <c r="R96">
        <f t="shared" si="9"/>
        <v>0.90941920907110763</v>
      </c>
      <c r="S96" s="71">
        <f>1/100*'Berekening trap 1'!T96*INVOER!$W$19*1000</f>
        <v>5.377141168402523E-3</v>
      </c>
      <c r="T96">
        <f>IF(INVOER!$T$36=1,1/100*N96*INVOER!$W$20*1000,1/100*O96*INVOER!$W$20*1000)</f>
        <v>1.88459728307313E-3</v>
      </c>
      <c r="X96" s="6"/>
      <c r="Y96" s="6"/>
      <c r="Z96" s="6"/>
      <c r="AA96" s="6"/>
      <c r="AB96" s="6"/>
      <c r="AC96" s="6"/>
      <c r="AD96" s="6"/>
      <c r="AE96" s="6"/>
      <c r="AF96" s="6"/>
    </row>
    <row r="97" spans="1:32" x14ac:dyDescent="0.2">
      <c r="A97" s="283">
        <f>'Berekening trap 1'!A97</f>
        <v>0.97675055333514393</v>
      </c>
      <c r="B97" s="6">
        <f t="shared" si="13"/>
        <v>0.95395200807344716</v>
      </c>
      <c r="C97" s="169">
        <f t="shared" si="12"/>
        <v>1.3859790716950369</v>
      </c>
      <c r="D97" s="202">
        <f t="shared" si="15"/>
        <v>0.57610465049235049</v>
      </c>
      <c r="E97" s="199">
        <f t="shared" si="11"/>
        <v>0.44615581199145393</v>
      </c>
      <c r="F97" s="43">
        <f t="shared" si="4"/>
        <v>0.57610465049235049</v>
      </c>
      <c r="G97" s="156">
        <f t="shared" si="4"/>
        <v>0.44615581199145393</v>
      </c>
      <c r="H97" s="171">
        <f t="shared" si="14"/>
        <v>0.57610465049235049</v>
      </c>
      <c r="I97" s="181">
        <f t="shared" si="7"/>
        <v>0.57610465049235049</v>
      </c>
      <c r="J97" s="332">
        <f>IF(INVOER!$T$36=1,100-H97*100,100-I97*100)</f>
        <v>42.389534950764954</v>
      </c>
      <c r="K97" s="343">
        <f>IF('Berekening trap 1'!$B$64=1,'Berekening trap 1'!U97,'Berekening trap 1'!V97)</f>
        <v>1.2702754428995934E-2</v>
      </c>
      <c r="L97" s="328">
        <f t="shared" si="5"/>
        <v>1.4506912520587618</v>
      </c>
      <c r="M97" s="328">
        <f t="shared" si="8"/>
        <v>91.841742655196029</v>
      </c>
      <c r="N97" s="222">
        <f>'Berekening trap 2'!H97*$L97</f>
        <v>0.83574997673962326</v>
      </c>
      <c r="O97" s="244">
        <f>'Berekening trap 2'!I97*$L97</f>
        <v>0.83574997673962326</v>
      </c>
      <c r="Q97" s="55">
        <f t="shared" si="6"/>
        <v>67.056794209654484</v>
      </c>
      <c r="R97">
        <f t="shared" si="9"/>
        <v>0.95395200807344716</v>
      </c>
      <c r="S97" s="71">
        <f>1/100*'Berekening trap 1'!T97*INVOER!$W$19*1000</f>
        <v>6.3958182958711533E-3</v>
      </c>
      <c r="T97">
        <f>IF(INVOER!$T$36=1,1/100*N97*INVOER!$W$20*1000,1/100*O97*INVOER!$W$20*1000)</f>
        <v>2.1069875831854039E-3</v>
      </c>
      <c r="X97" s="6"/>
      <c r="Y97" s="6"/>
      <c r="Z97" s="6"/>
      <c r="AA97" s="6"/>
      <c r="AB97" s="6"/>
      <c r="AC97" s="6"/>
      <c r="AD97" s="6"/>
      <c r="AE97" s="6"/>
      <c r="AF97" s="6"/>
    </row>
    <row r="98" spans="1:32" x14ac:dyDescent="0.2">
      <c r="A98" s="283">
        <f>'Berekening trap 1'!A98</f>
        <v>1.0245804601957289</v>
      </c>
      <c r="B98" s="6">
        <f t="shared" si="13"/>
        <v>1.0006655067654364</v>
      </c>
      <c r="C98" s="169">
        <f t="shared" si="12"/>
        <v>1.4538482422663155</v>
      </c>
      <c r="D98" s="202">
        <f t="shared" si="15"/>
        <v>0.55821933606600638</v>
      </c>
      <c r="E98" s="199">
        <f t="shared" si="11"/>
        <v>0.4347865745344337</v>
      </c>
      <c r="F98" s="43">
        <f t="shared" ref="F98:G138" si="16">D98^($B$54*$B$63)</f>
        <v>0.55821933606600638</v>
      </c>
      <c r="G98" s="156">
        <f t="shared" si="16"/>
        <v>0.4347865745344337</v>
      </c>
      <c r="H98" s="171">
        <f t="shared" si="14"/>
        <v>0.55821933606600638</v>
      </c>
      <c r="I98" s="181">
        <f t="shared" si="7"/>
        <v>0.55821933606600638</v>
      </c>
      <c r="J98" s="332">
        <f>IF(INVOER!$T$36=1,100-H98*100,100-I98*100)</f>
        <v>44.178066393399362</v>
      </c>
      <c r="K98" s="335">
        <f>IF('Berekening trap 1'!$B$64=1,'Berekening trap 1'!U98,'Berekening trap 1'!V98)</f>
        <v>1.481429535653358E-2</v>
      </c>
      <c r="L98" s="327">
        <f t="shared" si="5"/>
        <v>1.6918353258944889</v>
      </c>
      <c r="M98" s="327">
        <f t="shared" si="8"/>
        <v>90.149907329301541</v>
      </c>
      <c r="N98" s="220">
        <f>'Berekening trap 2'!H98*$L98</f>
        <v>0.94441519235383709</v>
      </c>
      <c r="O98" s="245">
        <f>'Berekening trap 2'!I98*$L98</f>
        <v>0.94441519235383709</v>
      </c>
      <c r="Q98" s="55">
        <f t="shared" si="6"/>
        <v>69.089144692741613</v>
      </c>
      <c r="R98">
        <f t="shared" si="9"/>
        <v>1.0006655067654364</v>
      </c>
      <c r="S98" s="71">
        <f>1/100*'Berekening trap 1'!T98*INVOER!$W$19*1000</f>
        <v>7.7026035524780136E-3</v>
      </c>
      <c r="T98">
        <f>IF(INVOER!$T$36=1,1/100*N98*INVOER!$W$20*1000,1/100*O98*INVOER!$W$20*1000)</f>
        <v>2.3809406389982244E-3</v>
      </c>
      <c r="X98" s="6"/>
      <c r="Y98" s="6"/>
      <c r="Z98" s="6"/>
      <c r="AA98" s="6"/>
      <c r="AB98" s="6"/>
      <c r="AC98" s="6"/>
      <c r="AD98" s="6"/>
      <c r="AE98" s="6"/>
      <c r="AF98" s="6"/>
    </row>
    <row r="99" spans="1:32" x14ac:dyDescent="0.2">
      <c r="A99" s="283">
        <f>'Berekening trap 1'!A99</f>
        <v>1.0747525208257496</v>
      </c>
      <c r="B99" s="6">
        <f t="shared" si="13"/>
        <v>1.0496664905107393</v>
      </c>
      <c r="C99" s="169">
        <f t="shared" si="12"/>
        <v>1.5250408571868659</v>
      </c>
      <c r="D99" s="202">
        <f t="shared" si="15"/>
        <v>0.54040102477999463</v>
      </c>
      <c r="E99" s="199">
        <f t="shared" si="11"/>
        <v>0.42332011469006869</v>
      </c>
      <c r="F99" s="43">
        <f t="shared" si="16"/>
        <v>0.54040102477999463</v>
      </c>
      <c r="G99" s="156">
        <f t="shared" si="16"/>
        <v>0.42332011469006869</v>
      </c>
      <c r="H99" s="171">
        <f t="shared" si="14"/>
        <v>0.54040102477999463</v>
      </c>
      <c r="I99" s="181">
        <f t="shared" si="7"/>
        <v>0.54040102477999463</v>
      </c>
      <c r="J99" s="332">
        <f>IF(INVOER!$T$36=1,100-H99*100,100-I99*100)</f>
        <v>45.959897522000539</v>
      </c>
      <c r="K99" s="335">
        <f>IF('Berekening trap 1'!$B$64=1,'Berekening trap 1'!U99,'Berekening trap 1'!V99)</f>
        <v>1.5648583825783931E-2</v>
      </c>
      <c r="L99" s="327">
        <f t="shared" si="5"/>
        <v>1.7871134792115599</v>
      </c>
      <c r="M99" s="327">
        <f t="shared" si="8"/>
        <v>88.362793850089986</v>
      </c>
      <c r="N99" s="220">
        <f>'Berekening trap 2'!H99*$L99</f>
        <v>0.96575795556406863</v>
      </c>
      <c r="O99" s="245">
        <f>'Berekening trap 2'!I99*$L99</f>
        <v>0.96575795556406863</v>
      </c>
      <c r="Q99" s="55">
        <f t="shared" si="6"/>
        <v>71.048856228993898</v>
      </c>
      <c r="R99">
        <f t="shared" si="9"/>
        <v>1.0496664905107393</v>
      </c>
      <c r="S99" s="71">
        <f>1/100*'Berekening trap 1'!T99*INVOER!$W$19*1000</f>
        <v>8.4098484842491522E-3</v>
      </c>
      <c r="T99">
        <f>IF(INVOER!$T$36=1,1/100*N99*INVOER!$W$20*1000,1/100*O99*INVOER!$W$20*1000)</f>
        <v>2.4347473255987482E-3</v>
      </c>
      <c r="X99" s="6"/>
      <c r="Y99" s="6"/>
      <c r="Z99" s="6"/>
      <c r="AA99" s="6"/>
      <c r="AB99" s="6"/>
      <c r="AC99" s="6"/>
      <c r="AD99" s="6"/>
      <c r="AE99" s="6"/>
      <c r="AF99" s="6"/>
    </row>
    <row r="100" spans="1:32" x14ac:dyDescent="0.2">
      <c r="A100" s="283">
        <f>'Berekening trap 1'!A100</f>
        <v>1.1273814267360145</v>
      </c>
      <c r="B100" s="6">
        <f t="shared" si="13"/>
        <v>1.101066973780882</v>
      </c>
      <c r="C100" s="169">
        <f t="shared" si="12"/>
        <v>1.5997196601921673</v>
      </c>
      <c r="D100" s="202">
        <f t="shared" si="15"/>
        <v>0.5226570582269725</v>
      </c>
      <c r="E100" s="199">
        <f t="shared" si="11"/>
        <v>0.41176681954181188</v>
      </c>
      <c r="F100" s="43">
        <f t="shared" si="16"/>
        <v>0.5226570582269725</v>
      </c>
      <c r="G100" s="156">
        <f t="shared" si="16"/>
        <v>0.41176681954181188</v>
      </c>
      <c r="H100" s="171">
        <f t="shared" si="14"/>
        <v>0.5226570582269725</v>
      </c>
      <c r="I100" s="181">
        <f t="shared" si="7"/>
        <v>0.5226570582269725</v>
      </c>
      <c r="J100" s="332">
        <f>IF(INVOER!$T$36=1,100-H100*100,100-I100*100)</f>
        <v>47.73429417730275</v>
      </c>
      <c r="K100" s="335">
        <f>IF('Berekening trap 1'!$B$64=1,'Berekening trap 1'!U100,'Berekening trap 1'!V100)</f>
        <v>1.4905247441182785E-2</v>
      </c>
      <c r="L100" s="327">
        <f t="shared" si="5"/>
        <v>1.7022223167077513</v>
      </c>
      <c r="M100" s="327">
        <f t="shared" si="8"/>
        <v>86.660571533382239</v>
      </c>
      <c r="N100" s="220">
        <f>'Berekening trap 2'!H100*$L100</f>
        <v>0.88967850849877517</v>
      </c>
      <c r="O100" s="245">
        <f>'Berekening trap 2'!I100*$L100</f>
        <v>0.88967850849877517</v>
      </c>
      <c r="Q100" s="55">
        <f t="shared" si="6"/>
        <v>72.935954776521498</v>
      </c>
      <c r="R100">
        <f t="shared" si="9"/>
        <v>1.101066973780882</v>
      </c>
      <c r="S100" s="71">
        <f>1/100*'Berekening trap 1'!T100*INVOER!$W$19*1000</f>
        <v>8.2875467688958097E-3</v>
      </c>
      <c r="T100">
        <f>IF(INVOER!$T$36=1,1/100*N100*INVOER!$W$20*1000,1/100*O100*INVOER!$W$20*1000)</f>
        <v>2.2429454054508939E-3</v>
      </c>
      <c r="X100" s="6"/>
      <c r="Y100" s="6"/>
      <c r="Z100" s="6"/>
      <c r="AA100" s="6"/>
      <c r="AB100" s="6"/>
      <c r="AC100" s="6"/>
      <c r="AD100" s="6"/>
      <c r="AE100" s="6"/>
      <c r="AF100" s="6"/>
    </row>
    <row r="101" spans="1:32" x14ac:dyDescent="0.2">
      <c r="A101" s="283">
        <f>'Berekening trap 1'!A101</f>
        <v>1.1825874856965308</v>
      </c>
      <c r="B101" s="46">
        <f t="shared" si="13"/>
        <v>1.1549844562162725</v>
      </c>
      <c r="C101" s="184">
        <f t="shared" si="12"/>
        <v>1.6780553643172142</v>
      </c>
      <c r="D101" s="203">
        <f t="shared" si="15"/>
        <v>0.50499625204396437</v>
      </c>
      <c r="E101" s="168">
        <f t="shared" si="11"/>
        <v>0.40013767315768045</v>
      </c>
      <c r="F101" s="45">
        <f t="shared" si="16"/>
        <v>0.50499625204396437</v>
      </c>
      <c r="G101" s="185">
        <f t="shared" si="16"/>
        <v>0.40013767315768045</v>
      </c>
      <c r="H101" s="172">
        <f t="shared" si="14"/>
        <v>0.50499625204396437</v>
      </c>
      <c r="I101" s="243">
        <f t="shared" si="7"/>
        <v>0.50499625204396437</v>
      </c>
      <c r="J101" s="332">
        <f>IF(INVOER!$T$36=1,100-H101*100,100-I101*100)</f>
        <v>49.500374795603562</v>
      </c>
      <c r="K101" s="336">
        <f>IF('Berekening trap 1'!$B$64=1,'Berekening trap 1'!U101,'Berekening trap 1'!V101)</f>
        <v>1.6517721849600559E-2</v>
      </c>
      <c r="L101" s="329">
        <f t="shared" si="5"/>
        <v>1.8863715523350033</v>
      </c>
      <c r="M101" s="329">
        <f t="shared" si="8"/>
        <v>84.774199981047232</v>
      </c>
      <c r="N101" s="223">
        <f>'Berekening trap 2'!H101*$L101</f>
        <v>0.95261056389153165</v>
      </c>
      <c r="O101" s="246">
        <f>'Berekening trap 2'!I101*$L101</f>
        <v>0.95261056389153165</v>
      </c>
      <c r="Q101" s="55">
        <f t="shared" si="6"/>
        <v>74.750417813023859</v>
      </c>
      <c r="R101">
        <f t="shared" si="9"/>
        <v>1.1549844562162725</v>
      </c>
      <c r="S101" s="71">
        <f>1/100*'Berekening trap 1'!T101*INVOER!$W$19*1000</f>
        <v>9.5114515550094245E-3</v>
      </c>
      <c r="T101">
        <f>IF(INVOER!$T$36=1,1/100*N101*INVOER!$W$20*1000,1/100*O101*INVOER!$W$20*1000)</f>
        <v>2.4016017775565245E-3</v>
      </c>
      <c r="X101" s="6"/>
      <c r="Y101" s="6"/>
      <c r="Z101" s="6"/>
      <c r="AA101" s="6"/>
      <c r="AB101" s="6"/>
      <c r="AC101" s="6"/>
      <c r="AD101" s="6"/>
      <c r="AE101" s="6"/>
      <c r="AF101" s="6"/>
    </row>
    <row r="102" spans="1:32" x14ac:dyDescent="0.2">
      <c r="A102" s="282">
        <f>'Berekening trap 1'!A102</f>
        <v>1.2404968967557026</v>
      </c>
      <c r="B102" s="6">
        <f t="shared" si="13"/>
        <v>1.2115421912261168</v>
      </c>
      <c r="C102" s="169">
        <f t="shared" si="12"/>
        <v>1.7602270421403219</v>
      </c>
      <c r="D102" s="202">
        <f t="shared" si="15"/>
        <v>0.48742876671191926</v>
      </c>
      <c r="E102" s="199">
        <f t="shared" si="11"/>
        <v>0.38844424849357673</v>
      </c>
      <c r="F102" s="43">
        <f t="shared" si="16"/>
        <v>0.48742876671191926</v>
      </c>
      <c r="G102" s="156">
        <f t="shared" si="16"/>
        <v>0.38844424849357673</v>
      </c>
      <c r="H102" s="171">
        <f t="shared" si="14"/>
        <v>0.48742876671191926</v>
      </c>
      <c r="I102" s="181">
        <f t="shared" si="7"/>
        <v>0.48742876671191926</v>
      </c>
      <c r="J102" s="331">
        <f>IF(INVOER!$T$36=1,100-H102*100,100-I102*100)</f>
        <v>51.257123328808078</v>
      </c>
      <c r="K102" s="335">
        <f>IF('Berekening trap 1'!$B$64=1,'Berekening trap 1'!U102,'Berekening trap 1'!V102)</f>
        <v>1.4801892318729854E-2</v>
      </c>
      <c r="L102" s="327">
        <f t="shared" si="5"/>
        <v>1.6904188631468704</v>
      </c>
      <c r="M102" s="327">
        <f t="shared" si="8"/>
        <v>83.083781117900358</v>
      </c>
      <c r="N102" s="220">
        <f>'Berekening trap 2'!H102*$L102</f>
        <v>0.82395878169024361</v>
      </c>
      <c r="O102" s="245">
        <f>'Berekening trap 2'!I102*$L102</f>
        <v>0.82395878169024361</v>
      </c>
      <c r="Q102" s="55">
        <f t="shared" si="6"/>
        <v>76.492212420478467</v>
      </c>
      <c r="R102">
        <f t="shared" si="9"/>
        <v>1.2115421912261168</v>
      </c>
      <c r="S102" s="71">
        <f>1/100*'Berekening trap 1'!T102*INVOER!$W$19*1000</f>
        <v>8.8364806778901666E-3</v>
      </c>
      <c r="T102">
        <f>IF(INVOER!$T$36=1,1/100*N102*INVOER!$W$20*1000,1/100*O102*INVOER!$W$20*1000)</f>
        <v>2.0772611072638857E-3</v>
      </c>
      <c r="X102" s="6"/>
      <c r="Y102" s="6"/>
      <c r="Z102" s="6"/>
      <c r="AA102" s="6"/>
      <c r="AB102" s="6"/>
      <c r="AC102" s="6"/>
      <c r="AD102" s="6"/>
      <c r="AE102" s="6"/>
      <c r="AF102" s="6"/>
    </row>
    <row r="103" spans="1:32" x14ac:dyDescent="0.2">
      <c r="A103" s="283">
        <f>'Berekening trap 1'!A103</f>
        <v>1.3012420387267782</v>
      </c>
      <c r="B103" s="6">
        <f t="shared" si="13"/>
        <v>1.2708694677412404</v>
      </c>
      <c r="C103" s="169">
        <f t="shared" si="12"/>
        <v>1.8464225351365429</v>
      </c>
      <c r="D103" s="202">
        <f t="shared" si="15"/>
        <v>0.46996599083688184</v>
      </c>
      <c r="E103" s="199">
        <f t="shared" si="11"/>
        <v>0.37669869550664115</v>
      </c>
      <c r="F103" s="43">
        <f t="shared" si="16"/>
        <v>0.46996599083688184</v>
      </c>
      <c r="G103" s="156">
        <f t="shared" si="16"/>
        <v>0.37669869550664115</v>
      </c>
      <c r="H103" s="171">
        <f t="shared" si="14"/>
        <v>0.46996599083688184</v>
      </c>
      <c r="I103" s="181">
        <f t="shared" si="7"/>
        <v>0.46996599083688184</v>
      </c>
      <c r="J103" s="332">
        <f>IF(INVOER!$T$36=1,100-H103*100,100-I103*100)</f>
        <v>53.003400916311818</v>
      </c>
      <c r="K103" s="335">
        <f>IF('Berekening trap 1'!$B$64=1,'Berekening trap 1'!U103,'Berekening trap 1'!V103)</f>
        <v>1.6143080372778104E-2</v>
      </c>
      <c r="L103" s="327">
        <f t="shared" si="5"/>
        <v>1.8435864134013469</v>
      </c>
      <c r="M103" s="327">
        <f t="shared" si="8"/>
        <v>81.240194704499018</v>
      </c>
      <c r="N103" s="220">
        <f>'Berekening trap 2'!H103*$L103</f>
        <v>0.86642291546757721</v>
      </c>
      <c r="O103" s="245">
        <f>'Berekening trap 2'!I103*$L103</f>
        <v>0.86642291546757721</v>
      </c>
      <c r="Q103" s="55">
        <f t="shared" si="6"/>
        <v>78.161328734701343</v>
      </c>
      <c r="R103">
        <f t="shared" si="9"/>
        <v>1.2708694677412404</v>
      </c>
      <c r="S103" s="71">
        <f>1/100*'Berekening trap 1'!T103*INVOER!$W$19*1000</f>
        <v>1.0002056932314948E-2</v>
      </c>
      <c r="T103">
        <f>IF(INVOER!$T$36=1,1/100*N103*INVOER!$W$20*1000,1/100*O103*INVOER!$W$20*1000)</f>
        <v>2.1843163332162766E-3</v>
      </c>
      <c r="X103" s="6"/>
      <c r="Y103" s="6"/>
      <c r="Z103" s="6"/>
      <c r="AA103" s="6"/>
      <c r="AB103" s="6"/>
      <c r="AC103" s="6"/>
      <c r="AD103" s="6"/>
      <c r="AE103" s="6"/>
      <c r="AF103" s="6"/>
    </row>
    <row r="104" spans="1:32" x14ac:dyDescent="0.2">
      <c r="A104" s="283">
        <f>'Berekening trap 1'!A104</f>
        <v>1.3649617728010155</v>
      </c>
      <c r="B104" s="6">
        <f t="shared" si="13"/>
        <v>1.3331019057638969</v>
      </c>
      <c r="C104" s="169">
        <f t="shared" si="12"/>
        <v>1.9368388830764691</v>
      </c>
      <c r="D104" s="202">
        <f t="shared" si="15"/>
        <v>0.45262043293964899</v>
      </c>
      <c r="E104" s="199">
        <f t="shared" si="11"/>
        <v>0.36491372522181603</v>
      </c>
      <c r="F104" s="43">
        <f t="shared" si="16"/>
        <v>0.45262043293964899</v>
      </c>
      <c r="G104" s="156">
        <f t="shared" si="16"/>
        <v>0.36491372522181603</v>
      </c>
      <c r="H104" s="171">
        <f t="shared" si="14"/>
        <v>0.45262043293964899</v>
      </c>
      <c r="I104" s="181">
        <f t="shared" si="7"/>
        <v>0.45262043293964899</v>
      </c>
      <c r="J104" s="332">
        <f>IF(INVOER!$T$36=1,100-H104*100,100-I104*100)</f>
        <v>54.737956706035099</v>
      </c>
      <c r="K104" s="335">
        <f>IF('Berekening trap 1'!$B$64=1,'Berekening trap 1'!U104,'Berekening trap 1'!V104)</f>
        <v>1.6560022224317385E-2</v>
      </c>
      <c r="L104" s="327">
        <f t="shared" si="5"/>
        <v>1.8912023773268203</v>
      </c>
      <c r="M104" s="327">
        <f t="shared" si="8"/>
        <v>79.348992327172198</v>
      </c>
      <c r="N104" s="220">
        <f>'Berekening trap 2'!H104*$L104</f>
        <v>0.85599683880215882</v>
      </c>
      <c r="O104" s="245">
        <f>'Berekening trap 2'!I104*$L104</f>
        <v>0.85599683880215882</v>
      </c>
      <c r="Q104" s="55">
        <f t="shared" si="6"/>
        <v>79.757809410438952</v>
      </c>
      <c r="R104">
        <f t="shared" si="9"/>
        <v>1.3331019057638969</v>
      </c>
      <c r="S104" s="71">
        <f>1/100*'Berekening trap 1'!T104*INVOER!$W$19*1000</f>
        <v>1.0661056728455355E-2</v>
      </c>
      <c r="T104">
        <f>IF(INVOER!$T$36=1,1/100*N104*INVOER!$W$20*1000,1/100*O104*INVOER!$W$20*1000)</f>
        <v>2.1580314218351544E-3</v>
      </c>
      <c r="X104" s="6"/>
      <c r="Y104" s="6"/>
      <c r="Z104" s="6"/>
      <c r="AA104" s="6"/>
      <c r="AB104" s="6"/>
      <c r="AC104" s="6"/>
      <c r="AD104" s="6"/>
      <c r="AE104" s="6"/>
      <c r="AF104" s="6"/>
    </row>
    <row r="105" spans="1:32" x14ac:dyDescent="0.2">
      <c r="A105" s="283">
        <f>'Berekening trap 1'!A105</f>
        <v>1.4318017599793289</v>
      </c>
      <c r="B105" s="6">
        <f t="shared" si="13"/>
        <v>1.3983817663901723</v>
      </c>
      <c r="C105" s="169">
        <f t="shared" si="12"/>
        <v>2.031682774451999</v>
      </c>
      <c r="D105" s="202">
        <f t="shared" si="15"/>
        <v>0.43540561864663635</v>
      </c>
      <c r="E105" s="199">
        <f t="shared" si="11"/>
        <v>0.35310258950618073</v>
      </c>
      <c r="F105" s="43">
        <f t="shared" si="16"/>
        <v>0.43540561864663635</v>
      </c>
      <c r="G105" s="156">
        <f t="shared" si="16"/>
        <v>0.35310258950618073</v>
      </c>
      <c r="H105" s="171">
        <f t="shared" si="14"/>
        <v>0.43540561864663635</v>
      </c>
      <c r="I105" s="181">
        <f t="shared" si="7"/>
        <v>0.43540561864663635</v>
      </c>
      <c r="J105" s="332">
        <f>IF(INVOER!$T$36=1,100-H105*100,100-I105*100)</f>
        <v>56.459438135336363</v>
      </c>
      <c r="K105" s="335">
        <f>IF('Berekening trap 1'!$B$64=1,'Berekening trap 1'!U105,'Berekening trap 1'!V105)</f>
        <v>1.7823741649533514E-2</v>
      </c>
      <c r="L105" s="327">
        <f t="shared" si="5"/>
        <v>2.0355227863739369</v>
      </c>
      <c r="M105" s="327">
        <f t="shared" si="8"/>
        <v>77.313469540798266</v>
      </c>
      <c r="N105" s="220">
        <f>'Berekening trap 2'!H105*$L105</f>
        <v>0.886278058070469</v>
      </c>
      <c r="O105" s="245">
        <f>'Berekening trap 2'!I105*$L105</f>
        <v>0.886278058070469</v>
      </c>
      <c r="Q105" s="55">
        <f t="shared" si="6"/>
        <v>81.281775556360643</v>
      </c>
      <c r="R105">
        <f t="shared" si="9"/>
        <v>1.3983817663901723</v>
      </c>
      <c r="S105" s="71">
        <f>1/100*'Berekening trap 1'!T105*INVOER!$W$19*1000</f>
        <v>1.1936883355721134E-2</v>
      </c>
      <c r="T105">
        <f>IF(INVOER!$T$36=1,1/100*N105*INVOER!$W$20*1000,1/100*O105*INVOER!$W$20*1000)</f>
        <v>2.2343726180993114E-3</v>
      </c>
      <c r="X105" s="6"/>
      <c r="Y105" s="6"/>
      <c r="Z105" s="6"/>
      <c r="AA105" s="6"/>
      <c r="AB105" s="6"/>
      <c r="AC105" s="6"/>
      <c r="AD105" s="6"/>
      <c r="AE105" s="6"/>
      <c r="AF105" s="6"/>
    </row>
    <row r="106" spans="1:32" x14ac:dyDescent="0.2">
      <c r="A106" s="284">
        <f>'Berekening trap 1'!A106</f>
        <v>1.5019147940480539</v>
      </c>
      <c r="B106" s="46">
        <f t="shared" si="13"/>
        <v>1.4668582770136913</v>
      </c>
      <c r="C106" s="184">
        <f t="shared" si="12"/>
        <v>2.1311710189587321</v>
      </c>
      <c r="D106" s="203">
        <f t="shared" si="15"/>
        <v>0.41833599083381939</v>
      </c>
      <c r="E106" s="168">
        <f t="shared" si="11"/>
        <v>0.34127905632141342</v>
      </c>
      <c r="F106" s="45">
        <f t="shared" si="16"/>
        <v>0.41833599083381939</v>
      </c>
      <c r="G106" s="185">
        <f t="shared" si="16"/>
        <v>0.34127905632141342</v>
      </c>
      <c r="H106" s="172">
        <f t="shared" si="14"/>
        <v>0.41833599083381939</v>
      </c>
      <c r="I106" s="243">
        <f t="shared" si="7"/>
        <v>0.41833599083381939</v>
      </c>
      <c r="J106" s="333">
        <f>IF(INVOER!$T$36=1,100-H106*100,100-I106*100)</f>
        <v>58.166400916618059</v>
      </c>
      <c r="K106" s="335">
        <f>IF('Berekening trap 1'!$B$64=1,'Berekening trap 1'!U106,'Berekening trap 1'!V106)</f>
        <v>1.7463686982042783E-2</v>
      </c>
      <c r="L106" s="327">
        <f t="shared" si="5"/>
        <v>1.9944035032049701</v>
      </c>
      <c r="M106" s="327">
        <f t="shared" si="8"/>
        <v>75.319066037593302</v>
      </c>
      <c r="N106" s="220">
        <f>'Berekening trap 2'!H106*$L106</f>
        <v>0.83433076563569164</v>
      </c>
      <c r="O106" s="245">
        <f>'Berekening trap 2'!I106*$L106</f>
        <v>0.83433076563569164</v>
      </c>
      <c r="Q106" s="55">
        <f t="shared" si="6"/>
        <v>82.733449449170706</v>
      </c>
      <c r="R106">
        <f t="shared" si="9"/>
        <v>1.4668582770136913</v>
      </c>
      <c r="S106" s="71">
        <f>1/100*'Berekening trap 1'!T106*INVOER!$W$19*1000</f>
        <v>1.2181991074013795E-2</v>
      </c>
      <c r="T106">
        <f>IF(INVOER!$T$36=1,1/100*N106*INVOER!$W$20*1000,1/100*O106*INVOER!$W$20*1000)</f>
        <v>2.1034096468921025E-3</v>
      </c>
      <c r="X106" s="6"/>
      <c r="Y106" s="6"/>
      <c r="Z106" s="6"/>
      <c r="AA106" s="6"/>
      <c r="AB106" s="6"/>
      <c r="AC106" s="6"/>
      <c r="AD106" s="6"/>
      <c r="AE106" s="6"/>
      <c r="AF106" s="6"/>
    </row>
    <row r="107" spans="1:32" x14ac:dyDescent="0.2">
      <c r="A107" s="283">
        <f>'Berekening trap 1'!A107</f>
        <v>1.5754611508600009</v>
      </c>
      <c r="B107" s="6">
        <f t="shared" si="13"/>
        <v>1.5386879724540274</v>
      </c>
      <c r="C107" s="169">
        <f t="shared" si="12"/>
        <v>2.2355310431150728</v>
      </c>
      <c r="D107" s="202">
        <f t="shared" si="15"/>
        <v>0.40142681078870945</v>
      </c>
      <c r="E107" s="199">
        <f t="shared" si="11"/>
        <v>0.3294573802453255</v>
      </c>
      <c r="F107" s="43">
        <f t="shared" si="16"/>
        <v>0.40142681078870945</v>
      </c>
      <c r="G107" s="156">
        <f t="shared" si="16"/>
        <v>0.3294573802453255</v>
      </c>
      <c r="H107" s="171">
        <f t="shared" si="14"/>
        <v>0.40142681078870945</v>
      </c>
      <c r="I107" s="181">
        <f t="shared" si="7"/>
        <v>0.40142681078870945</v>
      </c>
      <c r="J107" s="332">
        <f>IF(INVOER!$T$36=1,100-H107*100,100-I107*100)</f>
        <v>59.857318921129057</v>
      </c>
      <c r="K107" s="343">
        <f>IF('Berekening trap 1'!$B$64=1,'Berekening trap 1'!U107,'Berekening trap 1'!V107)</f>
        <v>1.7795152297475178E-2</v>
      </c>
      <c r="L107" s="328">
        <f t="shared" si="5"/>
        <v>2.0322577997787157</v>
      </c>
      <c r="M107" s="328">
        <f t="shared" si="8"/>
        <v>73.286808237814583</v>
      </c>
      <c r="N107" s="222">
        <f>'Berekening trap 2'!H107*$L107</f>
        <v>0.81580276726564949</v>
      </c>
      <c r="O107" s="244">
        <f>'Berekening trap 2'!I107*$L107</f>
        <v>0.81580276726564949</v>
      </c>
      <c r="Q107" s="55">
        <f t="shared" si="6"/>
        <v>84.11317422888942</v>
      </c>
      <c r="R107">
        <f t="shared" si="9"/>
        <v>1.5386879724540274</v>
      </c>
      <c r="S107" s="71">
        <f>1/100*'Berekening trap 1'!T107*INVOER!$W$19*1000</f>
        <v>1.2945941628203207E-2</v>
      </c>
      <c r="T107">
        <f>IF(INVOER!$T$36=1,1/100*N107*INVOER!$W$20*1000,1/100*O107*INVOER!$W$20*1000)</f>
        <v>2.0566991909023195E-3</v>
      </c>
      <c r="X107" s="6"/>
      <c r="Y107" s="6"/>
      <c r="Z107" s="6"/>
      <c r="AA107" s="6"/>
      <c r="AB107" s="6"/>
      <c r="AC107" s="6"/>
      <c r="AD107" s="6"/>
      <c r="AE107" s="6"/>
      <c r="AF107" s="6"/>
    </row>
    <row r="108" spans="1:32" x14ac:dyDescent="0.2">
      <c r="A108" s="283">
        <f>'Berekening trap 1'!A108</f>
        <v>1.6526089547192409</v>
      </c>
      <c r="B108" s="6">
        <f t="shared" si="13"/>
        <v>1.614035052789621</v>
      </c>
      <c r="C108" s="169">
        <f t="shared" si="12"/>
        <v>2.3450014101509971</v>
      </c>
      <c r="D108" s="202">
        <f t="shared" si="15"/>
        <v>0.38469405886468827</v>
      </c>
      <c r="E108" s="199">
        <f t="shared" si="11"/>
        <v>0.31765226807919306</v>
      </c>
      <c r="F108" s="43">
        <f t="shared" si="16"/>
        <v>0.38469405886468827</v>
      </c>
      <c r="G108" s="156">
        <f t="shared" si="16"/>
        <v>0.31765226807919306</v>
      </c>
      <c r="H108" s="171">
        <f t="shared" si="14"/>
        <v>0.38469405886468827</v>
      </c>
      <c r="I108" s="181">
        <f t="shared" si="7"/>
        <v>0.38469405886468827</v>
      </c>
      <c r="J108" s="332">
        <f>IF(INVOER!$T$36=1,100-H108*100,100-I108*100)</f>
        <v>61.530594113531173</v>
      </c>
      <c r="K108" s="335">
        <f>IF('Berekening trap 1'!$B$64=1,'Berekening trap 1'!U108,'Berekening trap 1'!V108)</f>
        <v>1.783322013580408E-2</v>
      </c>
      <c r="L108" s="327">
        <f t="shared" ref="L108:L139" si="17">100*K108/$K$187</f>
        <v>2.0366052568878974</v>
      </c>
      <c r="M108" s="327">
        <f t="shared" si="8"/>
        <v>71.250202980926687</v>
      </c>
      <c r="N108" s="220">
        <f>'Berekening trap 2'!H108*$L108</f>
        <v>0.78346994257736635</v>
      </c>
      <c r="O108" s="245">
        <f>'Berekening trap 2'!I108*$L108</f>
        <v>0.78346994257736635</v>
      </c>
      <c r="Q108" s="55">
        <f t="shared" ref="Q108:Q139" si="18">100*(S108-T108)/S108</f>
        <v>85.421430699115248</v>
      </c>
      <c r="R108">
        <f t="shared" si="9"/>
        <v>1.614035052789621</v>
      </c>
      <c r="S108" s="71">
        <f>1/100*'Berekening trap 1'!T108*INVOER!$W$19*1000</f>
        <v>1.354855682115539E-2</v>
      </c>
      <c r="T108">
        <f>IF(INVOER!$T$36=1,1/100*N108*INVOER!$W$20*1000,1/100*O108*INVOER!$W$20*1000)</f>
        <v>1.975185745441887E-3</v>
      </c>
      <c r="X108" s="6"/>
      <c r="Y108" s="6"/>
      <c r="Z108" s="6"/>
      <c r="AA108" s="6"/>
      <c r="AB108" s="6"/>
      <c r="AC108" s="6"/>
      <c r="AD108" s="6"/>
      <c r="AE108" s="6"/>
      <c r="AF108" s="6"/>
    </row>
    <row r="109" spans="1:32" x14ac:dyDescent="0.2">
      <c r="A109" s="283">
        <f>'Berekening trap 1'!A109</f>
        <v>1.7335345627071672</v>
      </c>
      <c r="B109" s="6">
        <f t="shared" si="13"/>
        <v>1.693071758713204</v>
      </c>
      <c r="C109" s="169">
        <f t="shared" si="12"/>
        <v>2.4598323653549481</v>
      </c>
      <c r="D109" s="202">
        <f t="shared" si="15"/>
        <v>0.36815433343756038</v>
      </c>
      <c r="E109" s="199">
        <f t="shared" si="11"/>
        <v>0.30587883938888782</v>
      </c>
      <c r="F109" s="43">
        <f t="shared" si="16"/>
        <v>0.36815433343756038</v>
      </c>
      <c r="G109" s="156">
        <f t="shared" si="16"/>
        <v>0.30587883938888782</v>
      </c>
      <c r="H109" s="171">
        <f t="shared" si="14"/>
        <v>0.36815433343756038</v>
      </c>
      <c r="I109" s="181">
        <f t="shared" si="7"/>
        <v>0.36815433343756038</v>
      </c>
      <c r="J109" s="332">
        <f>IF(INVOER!$T$36=1,100-H109*100,100-I109*100)</f>
        <v>63.184566656243959</v>
      </c>
      <c r="K109" s="335">
        <f>IF('Berekening trap 1'!$B$64=1,'Berekening trap 1'!U109,'Berekening trap 1'!V109)</f>
        <v>1.7487440991383052E-2</v>
      </c>
      <c r="L109" s="327">
        <f t="shared" si="17"/>
        <v>1.9971162796932405</v>
      </c>
      <c r="M109" s="327">
        <f t="shared" ref="M109:M140" si="19">M108-L109</f>
        <v>69.253086701233443</v>
      </c>
      <c r="N109" s="220">
        <f>'Berekening trap 2'!H109*$L109</f>
        <v>0.73524701274776538</v>
      </c>
      <c r="O109" s="245">
        <f>'Berekening trap 2'!I109*$L109</f>
        <v>0.73524701274776538</v>
      </c>
      <c r="Q109" s="55">
        <f t="shared" si="18"/>
        <v>86.658851300471383</v>
      </c>
      <c r="R109">
        <f t="shared" si="9"/>
        <v>1.693071758713204</v>
      </c>
      <c r="S109" s="71">
        <f>1/100*'Berekening trap 1'!T109*INVOER!$W$19*1000</f>
        <v>1.3893947289839451E-2</v>
      </c>
      <c r="T109">
        <f>IF(INVOER!$T$36=1,1/100*N109*INVOER!$W$20*1000,1/100*O109*INVOER!$W$20*1000)</f>
        <v>1.8536121681716059E-3</v>
      </c>
      <c r="X109" s="6"/>
      <c r="Y109" s="6"/>
      <c r="Z109" s="6"/>
      <c r="AA109" s="6"/>
      <c r="AB109" s="6"/>
      <c r="AC109" s="6"/>
      <c r="AD109" s="6"/>
      <c r="AE109" s="6"/>
      <c r="AF109" s="6"/>
    </row>
    <row r="110" spans="1:32" x14ac:dyDescent="0.2">
      <c r="A110" s="283">
        <f>'Berekening trap 1'!A110</f>
        <v>1.8184229678283863</v>
      </c>
      <c r="B110" s="6">
        <f t="shared" si="13"/>
        <v>1.7759787652677768</v>
      </c>
      <c r="C110" s="169">
        <f t="shared" si="12"/>
        <v>2.5802864081254877</v>
      </c>
      <c r="D110" s="202">
        <f t="shared" si="15"/>
        <v>0.35182474725726848</v>
      </c>
      <c r="E110" s="199">
        <f t="shared" si="11"/>
        <v>0.294152581864915</v>
      </c>
      <c r="F110" s="43">
        <f t="shared" si="16"/>
        <v>0.35182474725726848</v>
      </c>
      <c r="G110" s="156">
        <f t="shared" si="16"/>
        <v>0.294152581864915</v>
      </c>
      <c r="H110" s="171">
        <f t="shared" si="14"/>
        <v>0.35182474725726848</v>
      </c>
      <c r="I110" s="181">
        <f t="shared" si="7"/>
        <v>0.35182474725726848</v>
      </c>
      <c r="J110" s="332">
        <f>IF(INVOER!$T$36=1,100-H110*100,100-I110*100)</f>
        <v>64.817525274273152</v>
      </c>
      <c r="K110" s="335">
        <f>IF('Berekening trap 1'!$B$64=1,'Berekening trap 1'!U110,'Berekening trap 1'!V110)</f>
        <v>1.8157921413543804E-2</v>
      </c>
      <c r="L110" s="327">
        <f t="shared" si="17"/>
        <v>2.0736870808168946</v>
      </c>
      <c r="M110" s="327">
        <f t="shared" si="19"/>
        <v>67.179399620416547</v>
      </c>
      <c r="N110" s="220">
        <f>'Berekening trap 2'!H110*$L110</f>
        <v>0.72957443309906678</v>
      </c>
      <c r="O110" s="245">
        <f>'Berekening trap 2'!I110*$L110</f>
        <v>0.72957443309906678</v>
      </c>
      <c r="Q110" s="55">
        <f t="shared" si="18"/>
        <v>87.826231287998738</v>
      </c>
      <c r="R110">
        <f t="shared" si="9"/>
        <v>1.7759787652677768</v>
      </c>
      <c r="S110" s="71">
        <f>1/100*'Berekening trap 1'!T110*INVOER!$W$19*1000</f>
        <v>1.510880663420733E-2</v>
      </c>
      <c r="T110">
        <f>IF(INVOER!$T$36=1,1/100*N110*INVOER!$W$20*1000,1/100*O110*INVOER!$W$20*1000)</f>
        <v>1.8393111747919053E-3</v>
      </c>
      <c r="X110" s="6"/>
      <c r="Y110" s="6"/>
      <c r="Z110" s="6"/>
      <c r="AA110" s="6"/>
      <c r="AB110" s="6"/>
      <c r="AC110" s="6"/>
      <c r="AD110" s="6"/>
      <c r="AE110" s="6"/>
      <c r="AF110" s="6"/>
    </row>
    <row r="111" spans="1:32" x14ac:dyDescent="0.2">
      <c r="A111" s="283">
        <f>'Berekening trap 1'!A111</f>
        <v>1.907468221898017</v>
      </c>
      <c r="B111" s="46">
        <f t="shared" si="13"/>
        <v>1.8629455948632017</v>
      </c>
      <c r="C111" s="184">
        <f t="shared" si="12"/>
        <v>2.7066388920353983</v>
      </c>
      <c r="D111" s="203">
        <f t="shared" si="15"/>
        <v>0.33572282053372193</v>
      </c>
      <c r="E111" s="168">
        <f t="shared" si="11"/>
        <v>0.28248930142959605</v>
      </c>
      <c r="F111" s="45">
        <f t="shared" si="16"/>
        <v>0.33572282053372193</v>
      </c>
      <c r="G111" s="185">
        <f t="shared" si="16"/>
        <v>0.28248930142959605</v>
      </c>
      <c r="H111" s="172">
        <f t="shared" si="14"/>
        <v>0.33572282053372193</v>
      </c>
      <c r="I111" s="243">
        <f t="shared" si="7"/>
        <v>0.33572282053372193</v>
      </c>
      <c r="J111" s="332">
        <f>IF(INVOER!$T$36=1,100-H111*100,100-I111*100)</f>
        <v>66.427717946627808</v>
      </c>
      <c r="K111" s="336">
        <f>IF('Berekening trap 1'!$B$64=1,'Berekening trap 1'!U111,'Berekening trap 1'!V111)</f>
        <v>1.8496325719714806E-2</v>
      </c>
      <c r="L111" s="329">
        <f t="shared" si="17"/>
        <v>2.1123338301786463</v>
      </c>
      <c r="M111" s="329">
        <f t="shared" si="19"/>
        <v>65.067065790237905</v>
      </c>
      <c r="N111" s="223">
        <f>'Berekening trap 2'!H111*$L111</f>
        <v>0.70915867137637512</v>
      </c>
      <c r="O111" s="246">
        <f>'Berekening trap 2'!I111*$L111</f>
        <v>0.70915867137637512</v>
      </c>
      <c r="Q111" s="55">
        <f t="shared" si="18"/>
        <v>88.924537120776606</v>
      </c>
      <c r="R111">
        <f t="shared" si="9"/>
        <v>1.8629455948632017</v>
      </c>
      <c r="S111" s="71">
        <f>1/100*'Berekening trap 1'!T111*INVOER!$W$19*1000</f>
        <v>1.6142363954330059E-2</v>
      </c>
      <c r="T111">
        <f>IF(INVOER!$T$36=1,1/100*N111*INVOER!$W$20*1000,1/100*O111*INVOER!$W$20*1000)</f>
        <v>1.7878415275909643E-3</v>
      </c>
      <c r="X111" s="6"/>
      <c r="Y111" s="6"/>
      <c r="Z111" s="6"/>
      <c r="AA111" s="6"/>
      <c r="AB111" s="6"/>
      <c r="AC111" s="6"/>
      <c r="AD111" s="6"/>
      <c r="AE111" s="6"/>
      <c r="AF111" s="6"/>
    </row>
    <row r="112" spans="1:32" x14ac:dyDescent="0.2">
      <c r="A112" s="282">
        <f>'Berekening trap 1'!A112</f>
        <v>2.0008738791371008</v>
      </c>
      <c r="B112" s="6">
        <f t="shared" si="13"/>
        <v>1.9541710505175589</v>
      </c>
      <c r="C112" s="169">
        <f t="shared" si="12"/>
        <v>2.8391786542799662</v>
      </c>
      <c r="D112" s="202">
        <f t="shared" si="15"/>
        <v>0.31986637031572684</v>
      </c>
      <c r="E112" s="199">
        <f t="shared" si="11"/>
        <v>0.27090506706896861</v>
      </c>
      <c r="F112" s="43">
        <f t="shared" si="16"/>
        <v>0.31986637031572684</v>
      </c>
      <c r="G112" s="156">
        <f t="shared" si="16"/>
        <v>0.27090506706896861</v>
      </c>
      <c r="H112" s="171">
        <f t="shared" si="14"/>
        <v>0.31986637031572684</v>
      </c>
      <c r="I112" s="181">
        <f t="shared" si="7"/>
        <v>0.31986637031572684</v>
      </c>
      <c r="J112" s="331">
        <f>IF(INVOER!$T$36=1,100-H112*100,100-I112*100)</f>
        <v>68.013362968427316</v>
      </c>
      <c r="K112" s="335">
        <f>IF('Berekening trap 1'!$B$64=1,'Berekening trap 1'!U112,'Berekening trap 1'!V112)</f>
        <v>1.9216075321639527E-2</v>
      </c>
      <c r="L112" s="327">
        <f t="shared" si="17"/>
        <v>2.1945313139622877</v>
      </c>
      <c r="M112" s="327">
        <f t="shared" si="19"/>
        <v>62.872534476275618</v>
      </c>
      <c r="N112" s="220">
        <f>'Berekening trap 2'!H112*$L112</f>
        <v>0.70195676594131973</v>
      </c>
      <c r="O112" s="245">
        <f>'Berekening trap 2'!I112*$L112</f>
        <v>0.70195676594131973</v>
      </c>
      <c r="Q112" s="55">
        <f t="shared" si="18"/>
        <v>89.954912062152204</v>
      </c>
      <c r="R112">
        <f t="shared" si="9"/>
        <v>1.9541710505175589</v>
      </c>
      <c r="S112" s="71">
        <f>1/100*'Berekening trap 1'!T112*INVOER!$W$19*1000</f>
        <v>1.7617416607983816E-2</v>
      </c>
      <c r="T112">
        <f>IF(INVOER!$T$36=1,1/100*N112*INVOER!$W$20*1000,1/100*O112*INVOER!$W$20*1000)</f>
        <v>1.7696849906489779E-3</v>
      </c>
      <c r="X112" s="6"/>
      <c r="Y112" s="6"/>
      <c r="Z112" s="6"/>
      <c r="AA112" s="6"/>
      <c r="AB112" s="6"/>
      <c r="AC112" s="6"/>
      <c r="AD112" s="6"/>
      <c r="AE112" s="6"/>
      <c r="AF112" s="6"/>
    </row>
    <row r="113" spans="1:32" x14ac:dyDescent="0.2">
      <c r="A113" s="283">
        <f>'Berekening trap 1'!A113</f>
        <v>2.0988534614901684</v>
      </c>
      <c r="B113" s="6">
        <f t="shared" si="13"/>
        <v>2.0498636703136346</v>
      </c>
      <c r="C113" s="169">
        <f t="shared" si="12"/>
        <v>2.9782086759483306</v>
      </c>
      <c r="D113" s="202">
        <f t="shared" si="15"/>
        <v>0.30427339592406993</v>
      </c>
      <c r="E113" s="199">
        <f t="shared" si="11"/>
        <v>0.25941615042256544</v>
      </c>
      <c r="F113" s="43">
        <f t="shared" si="16"/>
        <v>0.30427339592406993</v>
      </c>
      <c r="G113" s="156">
        <f t="shared" si="16"/>
        <v>0.25941615042256544</v>
      </c>
      <c r="H113" s="171">
        <f t="shared" si="14"/>
        <v>0.30427339592406993</v>
      </c>
      <c r="I113" s="181">
        <f t="shared" si="7"/>
        <v>0.30427339592406993</v>
      </c>
      <c r="J113" s="332">
        <f>IF(INVOER!$T$36=1,100-H113*100,100-I113*100)</f>
        <v>69.572660407593006</v>
      </c>
      <c r="K113" s="335">
        <f>IF('Berekening trap 1'!$B$64=1,'Berekening trap 1'!U113,'Berekening trap 1'!V113)</f>
        <v>1.8898046530082136E-2</v>
      </c>
      <c r="L113" s="327">
        <f t="shared" si="17"/>
        <v>2.1582115072310799</v>
      </c>
      <c r="M113" s="327">
        <f t="shared" si="19"/>
        <v>60.714322969044538</v>
      </c>
      <c r="N113" s="220">
        <f>'Berekening trap 2'!H113*$L113</f>
        <v>0.65668634442760609</v>
      </c>
      <c r="O113" s="245">
        <f>'Berekening trap 2'!I113*$L113</f>
        <v>0.65668634442760609</v>
      </c>
      <c r="Q113" s="55">
        <f t="shared" si="18"/>
        <v>90.918678989805684</v>
      </c>
      <c r="R113">
        <f t="shared" si="9"/>
        <v>2.0498636703136346</v>
      </c>
      <c r="S113" s="71">
        <f>1/100*'Berekening trap 1'!T113*INVOER!$W$19*1000</f>
        <v>1.8230331288078737E-2</v>
      </c>
      <c r="T113">
        <f>IF(INVOER!$T$36=1,1/100*N113*INVOER!$W$20*1000,1/100*O113*INVOER!$W$20*1000)</f>
        <v>1.6555549054923248E-3</v>
      </c>
      <c r="X113" s="6"/>
      <c r="Y113" s="6"/>
      <c r="Z113" s="6"/>
      <c r="AA113" s="6"/>
      <c r="AB113" s="6"/>
      <c r="AC113" s="6"/>
      <c r="AD113" s="6"/>
      <c r="AE113" s="6"/>
      <c r="AF113" s="6"/>
    </row>
    <row r="114" spans="1:32" x14ac:dyDescent="0.2">
      <c r="A114" s="283">
        <f>'Berekening trap 1'!A114</f>
        <v>2.2016309467286597</v>
      </c>
      <c r="B114" s="6">
        <f t="shared" si="13"/>
        <v>2.1502422041094142</v>
      </c>
      <c r="C114" s="169">
        <f t="shared" si="12"/>
        <v>3.1240467746272658</v>
      </c>
      <c r="D114" s="202">
        <f t="shared" si="15"/>
        <v>0.28896196038955052</v>
      </c>
      <c r="E114" s="199">
        <f t="shared" si="11"/>
        <v>0.24803896022602306</v>
      </c>
      <c r="F114" s="43">
        <f t="shared" si="16"/>
        <v>0.28896196038955052</v>
      </c>
      <c r="G114" s="156">
        <f t="shared" si="16"/>
        <v>0.24803896022602306</v>
      </c>
      <c r="H114" s="171">
        <f t="shared" si="14"/>
        <v>0.28896196038955052</v>
      </c>
      <c r="I114" s="181">
        <f t="shared" si="7"/>
        <v>0.28896196038955052</v>
      </c>
      <c r="J114" s="332">
        <f>IF(INVOER!$T$36=1,100-H114*100,100-I114*100)</f>
        <v>71.103803961044946</v>
      </c>
      <c r="K114" s="335">
        <f>IF('Berekening trap 1'!$B$64=1,'Berekening trap 1'!U114,'Berekening trap 1'!V114)</f>
        <v>1.9457604649157589E-2</v>
      </c>
      <c r="L114" s="327">
        <f t="shared" si="17"/>
        <v>2.2221146609052376</v>
      </c>
      <c r="M114" s="327">
        <f t="shared" si="19"/>
        <v>58.492208308139297</v>
      </c>
      <c r="N114" s="220">
        <f>'Berekening trap 2'!H114*$L114</f>
        <v>0.6421066086255387</v>
      </c>
      <c r="O114" s="245">
        <f>'Berekening trap 2'!I114*$L114</f>
        <v>0.6421066086255387</v>
      </c>
      <c r="Q114" s="55">
        <f t="shared" si="18"/>
        <v>91.817340424982845</v>
      </c>
      <c r="R114">
        <f t="shared" si="9"/>
        <v>2.1502422041094142</v>
      </c>
      <c r="S114" s="71">
        <f>1/100*'Berekening trap 1'!T114*INVOER!$W$19*1000</f>
        <v>1.9783278248176397E-2</v>
      </c>
      <c r="T114">
        <f>IF(INVOER!$T$36=1,1/100*N114*INVOER!$W$20*1000,1/100*O114*INVOER!$W$20*1000)</f>
        <v>1.618798311826693E-3</v>
      </c>
      <c r="X114" s="6"/>
      <c r="Y114" s="6"/>
      <c r="Z114" s="6"/>
      <c r="AA114" s="6"/>
      <c r="AB114" s="6"/>
      <c r="AC114" s="6"/>
      <c r="AD114" s="6"/>
      <c r="AE114" s="6"/>
      <c r="AF114" s="6"/>
    </row>
    <row r="115" spans="1:32" x14ac:dyDescent="0.2">
      <c r="A115" s="283">
        <f>'Berekening trap 1'!A115</f>
        <v>2.309441280455987</v>
      </c>
      <c r="B115" s="6">
        <f t="shared" si="13"/>
        <v>2.2555361135923233</v>
      </c>
      <c r="C115" s="169">
        <f t="shared" si="12"/>
        <v>3.2770263309206551</v>
      </c>
      <c r="D115" s="202">
        <f t="shared" si="15"/>
        <v>0.2739500680280636</v>
      </c>
      <c r="E115" s="199">
        <f t="shared" si="11"/>
        <v>0.23678997176928682</v>
      </c>
      <c r="F115" s="43">
        <f t="shared" si="16"/>
        <v>0.2739500680280636</v>
      </c>
      <c r="G115" s="156">
        <f t="shared" si="16"/>
        <v>0.23678997176928682</v>
      </c>
      <c r="H115" s="171">
        <f t="shared" si="14"/>
        <v>0.2739500680280636</v>
      </c>
      <c r="I115" s="181">
        <f t="shared" si="7"/>
        <v>0.2739500680280636</v>
      </c>
      <c r="J115" s="332">
        <f>IF(INVOER!$T$36=1,100-H115*100,100-I115*100)</f>
        <v>72.604993197193636</v>
      </c>
      <c r="K115" s="335">
        <f>IF('Berekening trap 1'!$B$64=1,'Berekening trap 1'!U115,'Berekening trap 1'!V115)</f>
        <v>2.1549919013267471E-2</v>
      </c>
      <c r="L115" s="327">
        <f t="shared" si="17"/>
        <v>2.4610630056549847</v>
      </c>
      <c r="M115" s="327">
        <f t="shared" si="19"/>
        <v>56.031145302484312</v>
      </c>
      <c r="N115" s="220">
        <f>'Berekening trap 2'!H115*$L115</f>
        <v>0.67420837782053378</v>
      </c>
      <c r="O115" s="245">
        <f>'Berekening trap 2'!I115*$L115</f>
        <v>0.67420837782053378</v>
      </c>
      <c r="Q115" s="55">
        <f t="shared" si="18"/>
        <v>92.652575808292283</v>
      </c>
      <c r="R115">
        <f t="shared" si="9"/>
        <v>2.2555361135923233</v>
      </c>
      <c r="S115" s="71">
        <f>1/100*'Berekening trap 1'!T115*INVOER!$W$19*1000</f>
        <v>2.3133675216356005E-2</v>
      </c>
      <c r="T115">
        <f>IF(INVOER!$T$36=1,1/100*N115*INVOER!$W$20*1000,1/100*O115*INVOER!$W$20*1000)</f>
        <v>1.699729249277632E-3</v>
      </c>
      <c r="X115" s="6"/>
      <c r="Y115" s="6"/>
      <c r="Z115" s="6"/>
      <c r="AA115" s="6"/>
      <c r="AB115" s="6"/>
      <c r="AC115" s="6"/>
      <c r="AD115" s="6"/>
      <c r="AE115" s="6"/>
      <c r="AF115" s="6"/>
    </row>
    <row r="116" spans="1:32" x14ac:dyDescent="0.2">
      <c r="A116" s="284">
        <f>'Berekening trap 1'!A116</f>
        <v>2.4225309131846604</v>
      </c>
      <c r="B116" s="46">
        <f t="shared" si="13"/>
        <v>2.3659860968203237</v>
      </c>
      <c r="C116" s="184">
        <f t="shared" si="12"/>
        <v>3.4374970505454625</v>
      </c>
      <c r="D116" s="203">
        <f t="shared" si="15"/>
        <v>0.25925553846017557</v>
      </c>
      <c r="E116" s="168">
        <f t="shared" si="11"/>
        <v>0.2256856516066785</v>
      </c>
      <c r="F116" s="45">
        <f t="shared" si="16"/>
        <v>0.25925553846017557</v>
      </c>
      <c r="G116" s="185">
        <f t="shared" si="16"/>
        <v>0.2256856516066785</v>
      </c>
      <c r="H116" s="172">
        <f t="shared" si="14"/>
        <v>0.25925553846017557</v>
      </c>
      <c r="I116" s="243">
        <f t="shared" si="7"/>
        <v>0.25925553846017557</v>
      </c>
      <c r="J116" s="333">
        <f>IF(INVOER!$T$36=1,100-H116*100,100-I116*100)</f>
        <v>74.07444615398245</v>
      </c>
      <c r="K116" s="335">
        <f>IF('Berekening trap 1'!$B$64=1,'Berekening trap 1'!U116,'Berekening trap 1'!V116)</f>
        <v>2.284626678177026E-2</v>
      </c>
      <c r="L116" s="327">
        <f t="shared" si="17"/>
        <v>2.6091096657636097</v>
      </c>
      <c r="M116" s="327">
        <f t="shared" si="19"/>
        <v>53.4220356367207</v>
      </c>
      <c r="N116" s="220">
        <f>'Berekening trap 2'!H116*$L116</f>
        <v>0.67642613129919338</v>
      </c>
      <c r="O116" s="245">
        <f>'Berekening trap 2'!I116*$L116</f>
        <v>0.67642613129919338</v>
      </c>
      <c r="Q116" s="55">
        <f t="shared" si="18"/>
        <v>93.426236074285057</v>
      </c>
      <c r="R116">
        <f t="shared" si="9"/>
        <v>2.3659860968203237</v>
      </c>
      <c r="S116" s="71">
        <f>1/100*'Berekening trap 1'!T116*INVOER!$W$19*1000</f>
        <v>2.5941308347919675E-2</v>
      </c>
      <c r="T116">
        <f>IF(INVOER!$T$36=1,1/100*N116*INVOER!$W$20*1000,1/100*O116*INVOER!$W$20*1000)</f>
        <v>1.7053203700340229E-3</v>
      </c>
      <c r="X116" s="6"/>
      <c r="Y116" s="6"/>
      <c r="Z116" s="6"/>
      <c r="AA116" s="6"/>
      <c r="AB116" s="6"/>
      <c r="AC116" s="6"/>
      <c r="AD116" s="6"/>
      <c r="AE116" s="6"/>
      <c r="AF116" s="6"/>
    </row>
    <row r="117" spans="1:32" x14ac:dyDescent="0.2">
      <c r="A117" s="283">
        <f>'Berekening trap 1'!A117</f>
        <v>2.541158363713222</v>
      </c>
      <c r="B117" s="6">
        <f t="shared" si="13"/>
        <v>2.4818446384489414</v>
      </c>
      <c r="C117" s="169">
        <f t="shared" si="12"/>
        <v>3.6058257637463149</v>
      </c>
      <c r="D117" s="202">
        <f t="shared" si="15"/>
        <v>0.24489587755334005</v>
      </c>
      <c r="E117" s="199">
        <f t="shared" si="11"/>
        <v>0.21474237783378866</v>
      </c>
      <c r="F117" s="43">
        <f t="shared" si="16"/>
        <v>0.24489587755334005</v>
      </c>
      <c r="G117" s="156">
        <f t="shared" si="16"/>
        <v>0.21474237783378866</v>
      </c>
      <c r="H117" s="171">
        <f t="shared" si="14"/>
        <v>0.24489587755334005</v>
      </c>
      <c r="I117" s="181">
        <f t="shared" si="7"/>
        <v>0.24489587755334005</v>
      </c>
      <c r="J117" s="332">
        <f>IF(INVOER!$T$36=1,100-H117*100,100-I117*100)</f>
        <v>75.510412244666</v>
      </c>
      <c r="K117" s="343">
        <f>IF('Berekening trap 1'!$B$64=1,'Berekening trap 1'!U117,'Berekening trap 1'!V117)</f>
        <v>2.0641575436739671E-2</v>
      </c>
      <c r="L117" s="328">
        <f t="shared" si="17"/>
        <v>2.3573275451532258</v>
      </c>
      <c r="M117" s="328">
        <f t="shared" si="19"/>
        <v>51.064708091567475</v>
      </c>
      <c r="N117" s="222">
        <f>'Berekening trap 2'!H117*$L117</f>
        <v>0.57729979785096008</v>
      </c>
      <c r="O117" s="244">
        <f>'Berekening trap 2'!I117*$L117</f>
        <v>0.57729979785096008</v>
      </c>
      <c r="Q117" s="55">
        <f t="shared" si="18"/>
        <v>94.140335607423083</v>
      </c>
      <c r="R117">
        <f t="shared" si="9"/>
        <v>2.4818446384489414</v>
      </c>
      <c r="S117" s="71">
        <f>1/100*'Berekening trap 1'!T117*INVOER!$W$19*1000</f>
        <v>2.4837865192610786E-2</v>
      </c>
      <c r="T117">
        <f>IF(INVOER!$T$36=1,1/100*N117*INVOER!$W$20*1000,1/100*O117*INVOER!$W$20*1000)</f>
        <v>1.4554155425676703E-3</v>
      </c>
      <c r="X117" s="6"/>
      <c r="Y117" s="6"/>
      <c r="Z117" s="6"/>
      <c r="AA117" s="6"/>
      <c r="AB117" s="6"/>
      <c r="AC117" s="6"/>
      <c r="AD117" s="6"/>
      <c r="AE117" s="6"/>
      <c r="AF117" s="6"/>
    </row>
    <row r="118" spans="1:32" x14ac:dyDescent="0.2">
      <c r="A118" s="283">
        <f>'Berekening trap 1'!A118</f>
        <v>2.6655948100908424</v>
      </c>
      <c r="B118" s="6">
        <f t="shared" si="13"/>
        <v>2.6033765869020322</v>
      </c>
      <c r="C118" s="169">
        <f t="shared" si="12"/>
        <v>3.7823972638561352</v>
      </c>
      <c r="D118" s="202">
        <f t="shared" si="15"/>
        <v>0.23088814593133589</v>
      </c>
      <c r="E118" s="199">
        <f t="shared" si="11"/>
        <v>0.20397635632935071</v>
      </c>
      <c r="F118" s="43">
        <f t="shared" si="16"/>
        <v>0.23088814593133589</v>
      </c>
      <c r="G118" s="156">
        <f t="shared" si="16"/>
        <v>0.20397635632935071</v>
      </c>
      <c r="H118" s="171">
        <f t="shared" si="14"/>
        <v>0.23088814593133589</v>
      </c>
      <c r="I118" s="181">
        <f t="shared" si="7"/>
        <v>0.23088814593133589</v>
      </c>
      <c r="J118" s="332">
        <f>IF(INVOER!$T$36=1,100-H118*100,100-I118*100)</f>
        <v>76.911185406866409</v>
      </c>
      <c r="K118" s="335">
        <f>IF('Berekening trap 1'!$B$64=1,'Berekening trap 1'!U118,'Berekening trap 1'!V118)</f>
        <v>1.7972567597642135E-2</v>
      </c>
      <c r="L118" s="327">
        <f t="shared" si="17"/>
        <v>2.0525191395827891</v>
      </c>
      <c r="M118" s="327">
        <f t="shared" si="19"/>
        <v>49.012188951984683</v>
      </c>
      <c r="N118" s="220">
        <f>'Berekening trap 2'!H118*$L118</f>
        <v>0.47390233862685099</v>
      </c>
      <c r="O118" s="245">
        <f>'Berekening trap 2'!I118*$L118</f>
        <v>0.47390233862685099</v>
      </c>
      <c r="Q118" s="55">
        <f t="shared" si="18"/>
        <v>94.797041696772709</v>
      </c>
      <c r="R118">
        <f t="shared" si="9"/>
        <v>2.6033765869020322</v>
      </c>
      <c r="S118" s="71">
        <f>1/100*'Berekening trap 1'!T118*INVOER!$W$19*1000</f>
        <v>2.2962761204124906E-2</v>
      </c>
      <c r="T118">
        <f>IF(INVOER!$T$36=1,1/100*N118*INVOER!$W$20*1000,1/100*O118*INVOER!$W$20*1000)</f>
        <v>1.1947428907202748E-3</v>
      </c>
      <c r="X118" s="6"/>
      <c r="Y118" s="6"/>
      <c r="Z118" s="6"/>
      <c r="AA118" s="6"/>
      <c r="AB118" s="6"/>
      <c r="AC118" s="6"/>
      <c r="AD118" s="6"/>
      <c r="AE118" s="6"/>
      <c r="AF118" s="6"/>
    </row>
    <row r="119" spans="1:32" x14ac:dyDescent="0.2">
      <c r="A119" s="283">
        <f>'Berekening trap 1'!A119</f>
        <v>2.7961247095205048</v>
      </c>
      <c r="B119" s="6">
        <f t="shared" si="13"/>
        <v>2.7308597598056736</v>
      </c>
      <c r="C119" s="169">
        <f t="shared" si="12"/>
        <v>3.967615186919748</v>
      </c>
      <c r="D119" s="202">
        <f t="shared" si="15"/>
        <v>0.21724882585724703</v>
      </c>
      <c r="E119" s="199">
        <f t="shared" si="11"/>
        <v>0.1934035334470787</v>
      </c>
      <c r="F119" s="43">
        <f t="shared" si="16"/>
        <v>0.21724882585724703</v>
      </c>
      <c r="G119" s="156">
        <f t="shared" si="16"/>
        <v>0.1934035334470787</v>
      </c>
      <c r="H119" s="171">
        <f t="shared" si="14"/>
        <v>0.21724882585724703</v>
      </c>
      <c r="I119" s="181">
        <f t="shared" si="7"/>
        <v>0.21724882585724703</v>
      </c>
      <c r="J119" s="332">
        <f>IF(INVOER!$T$36=1,100-H119*100,100-I119*100)</f>
        <v>78.2751174142753</v>
      </c>
      <c r="K119" s="335">
        <f>IF('Berekening trap 1'!$B$64=1,'Berekening trap 1'!U119,'Berekening trap 1'!V119)</f>
        <v>1.8494983148202793E-2</v>
      </c>
      <c r="L119" s="327">
        <f t="shared" si="17"/>
        <v>2.1121805046334958</v>
      </c>
      <c r="M119" s="327">
        <f t="shared" si="19"/>
        <v>46.90000844735119</v>
      </c>
      <c r="N119" s="220">
        <f>'Berekening trap 2'!H119*$L119</f>
        <v>0.45886873463019451</v>
      </c>
      <c r="O119" s="245">
        <f>'Berekening trap 2'!I119*$L119</f>
        <v>0.45886873463019451</v>
      </c>
      <c r="Q119" s="55">
        <f t="shared" si="18"/>
        <v>95.39866164454132</v>
      </c>
      <c r="R119">
        <f t="shared" si="9"/>
        <v>2.7308597598056736</v>
      </c>
      <c r="S119" s="71">
        <f>1/100*'Berekening trap 1'!T119*INVOER!$W$19*1000</f>
        <v>2.5141425653957602E-2</v>
      </c>
      <c r="T119">
        <f>IF(INVOER!$T$36=1,1/100*N119*INVOER!$W$20*1000,1/100*O119*INVOER!$W$20*1000)</f>
        <v>1.1568420617246789E-3</v>
      </c>
      <c r="X119" s="6"/>
      <c r="Y119" s="6"/>
      <c r="Z119" s="6"/>
      <c r="AA119" s="6"/>
      <c r="AB119" s="6"/>
      <c r="AC119" s="6"/>
      <c r="AD119" s="6"/>
      <c r="AE119" s="6"/>
      <c r="AF119" s="6"/>
    </row>
    <row r="120" spans="1:32" x14ac:dyDescent="0.2">
      <c r="A120" s="283">
        <f>'Berekening trap 1'!A120</f>
        <v>2.933046448617854</v>
      </c>
      <c r="B120" s="6">
        <f t="shared" si="13"/>
        <v>2.8645855790691792</v>
      </c>
      <c r="C120" s="169">
        <f t="shared" si="12"/>
        <v>4.161902934391235</v>
      </c>
      <c r="D120" s="202">
        <f t="shared" si="15"/>
        <v>0.203993687452176</v>
      </c>
      <c r="E120" s="199">
        <f t="shared" si="11"/>
        <v>0.18303950573180433</v>
      </c>
      <c r="F120" s="43">
        <f t="shared" si="16"/>
        <v>0.203993687452176</v>
      </c>
      <c r="G120" s="156">
        <f t="shared" si="16"/>
        <v>0.18303950573180433</v>
      </c>
      <c r="H120" s="171">
        <f t="shared" si="14"/>
        <v>0.203993687452176</v>
      </c>
      <c r="I120" s="181">
        <f t="shared" si="7"/>
        <v>0.203993687452176</v>
      </c>
      <c r="J120" s="332">
        <f>IF(INVOER!$T$36=1,100-H120*100,100-I120*100)</f>
        <v>79.6006312547824</v>
      </c>
      <c r="K120" s="335">
        <f>IF('Berekening trap 1'!$B$64=1,'Berekening trap 1'!U120,'Berekening trap 1'!V120)</f>
        <v>1.9784667158332468E-2</v>
      </c>
      <c r="L120" s="327">
        <f t="shared" si="17"/>
        <v>2.2594661442853572</v>
      </c>
      <c r="M120" s="327">
        <f t="shared" si="19"/>
        <v>44.640542303065835</v>
      </c>
      <c r="N120" s="220">
        <f>'Berekening trap 2'!H120*$L120</f>
        <v>0.46091683044612036</v>
      </c>
      <c r="O120" s="245">
        <f>'Berekening trap 2'!I120*$L120</f>
        <v>0.46091683044612036</v>
      </c>
      <c r="Q120" s="55">
        <f t="shared" si="18"/>
        <v>95.947627723039588</v>
      </c>
      <c r="R120">
        <f t="shared" si="9"/>
        <v>2.8645855790691792</v>
      </c>
      <c r="S120" s="71">
        <f>1/100*'Berekening trap 1'!T120*INVOER!$W$19*1000</f>
        <v>2.86746967833084E-2</v>
      </c>
      <c r="T120">
        <f>IF(INVOER!$T$36=1,1/100*N120*INVOER!$W$20*1000,1/100*O120*INVOER!$W$20*1000)</f>
        <v>1.1620054629492465E-3</v>
      </c>
      <c r="X120" s="6"/>
      <c r="Y120" s="6"/>
      <c r="Z120" s="6"/>
      <c r="AA120" s="6"/>
      <c r="AB120" s="6"/>
      <c r="AC120" s="6"/>
      <c r="AD120" s="6"/>
      <c r="AE120" s="6"/>
      <c r="AF120" s="6"/>
    </row>
    <row r="121" spans="1:32" x14ac:dyDescent="0.2">
      <c r="A121" s="283">
        <f>'Berekening trap 1'!A121</f>
        <v>3.0766730255121759</v>
      </c>
      <c r="B121" s="46">
        <f t="shared" si="13"/>
        <v>3.004859737065015</v>
      </c>
      <c r="C121" s="184">
        <f t="shared" si="12"/>
        <v>4.365704641014303</v>
      </c>
      <c r="D121" s="203">
        <f t="shared" si="15"/>
        <v>0.19113765536011051</v>
      </c>
      <c r="E121" s="168">
        <f t="shared" si="11"/>
        <v>0.17289942732481031</v>
      </c>
      <c r="F121" s="45">
        <f t="shared" si="16"/>
        <v>0.19113765536011051</v>
      </c>
      <c r="G121" s="185">
        <f t="shared" si="16"/>
        <v>0.17289942732481031</v>
      </c>
      <c r="H121" s="172">
        <f t="shared" si="14"/>
        <v>0.19113765536011051</v>
      </c>
      <c r="I121" s="243">
        <f t="shared" si="7"/>
        <v>0.19113765536011051</v>
      </c>
      <c r="J121" s="332">
        <f>IF(INVOER!$T$36=1,100-H121*100,100-I121*100)</f>
        <v>80.886234463988956</v>
      </c>
      <c r="K121" s="336">
        <f>IF('Berekening trap 1'!$B$64=1,'Berekening trap 1'!U121,'Berekening trap 1'!V121)</f>
        <v>1.9940608053561605E-2</v>
      </c>
      <c r="L121" s="329">
        <f t="shared" si="17"/>
        <v>2.2772750450093402</v>
      </c>
      <c r="M121" s="329">
        <f t="shared" si="19"/>
        <v>42.363267258056496</v>
      </c>
      <c r="N121" s="223">
        <f>'Berekening trap 2'!H121*$L121</f>
        <v>0.43527301271317542</v>
      </c>
      <c r="O121" s="246">
        <f>'Berekening trap 2'!I121*$L121</f>
        <v>0.43527301271317542</v>
      </c>
      <c r="Q121" s="55">
        <f t="shared" si="18"/>
        <v>96.446480214348966</v>
      </c>
      <c r="R121">
        <f t="shared" si="9"/>
        <v>3.004859737065015</v>
      </c>
      <c r="S121" s="71">
        <f>1/100*'Berekening trap 1'!T121*INVOER!$W$19*1000</f>
        <v>3.0880804542346801E-2</v>
      </c>
      <c r="T121">
        <f>IF(INVOER!$T$36=1,1/100*N121*INVOER!$W$20*1000,1/100*O121*INVOER!$W$20*1000)</f>
        <v>1.0973554993805152E-3</v>
      </c>
      <c r="X121" s="6"/>
      <c r="Y121" s="6"/>
      <c r="Z121" s="6"/>
      <c r="AA121" s="6"/>
      <c r="AB121" s="6"/>
      <c r="AC121" s="6"/>
      <c r="AD121" s="6"/>
      <c r="AE121" s="6"/>
      <c r="AF121" s="6"/>
    </row>
    <row r="122" spans="1:32" x14ac:dyDescent="0.2">
      <c r="A122" s="282">
        <f>'Berekening trap 1'!A122</f>
        <v>3.2273327653487693</v>
      </c>
      <c r="B122" s="6">
        <f t="shared" si="13"/>
        <v>3.1520028954304724</v>
      </c>
      <c r="C122" s="169">
        <f t="shared" si="12"/>
        <v>4.5794861900981969</v>
      </c>
      <c r="D122" s="202">
        <f t="shared" si="15"/>
        <v>0.1786946771076226</v>
      </c>
      <c r="E122" s="199">
        <f t="shared" si="11"/>
        <v>0.16299791581350997</v>
      </c>
      <c r="F122" s="43">
        <f t="shared" si="16"/>
        <v>0.1786946771076226</v>
      </c>
      <c r="G122" s="156">
        <f t="shared" si="16"/>
        <v>0.16299791581350997</v>
      </c>
      <c r="H122" s="171">
        <f t="shared" si="14"/>
        <v>0.1786946771076226</v>
      </c>
      <c r="I122" s="181">
        <f t="shared" si="7"/>
        <v>0.1786946771076226</v>
      </c>
      <c r="J122" s="331">
        <f>IF(INVOER!$T$36=1,100-H122*100,100-I122*100)</f>
        <v>82.130532289237735</v>
      </c>
      <c r="K122" s="335">
        <f>IF('Berekening trap 1'!$B$64=1,'Berekening trap 1'!U122,'Berekening trap 1'!V122)</f>
        <v>2.0021035195108412E-2</v>
      </c>
      <c r="L122" s="327">
        <f t="shared" si="17"/>
        <v>2.2864600569153968</v>
      </c>
      <c r="M122" s="327">
        <f t="shared" si="19"/>
        <v>40.076807201141101</v>
      </c>
      <c r="N122" s="220">
        <f>'Berekening trap 2'!H122*$L122</f>
        <v>0.40857824158997325</v>
      </c>
      <c r="O122" s="245">
        <f>'Berekening trap 2'!I122*$L122</f>
        <v>0.40857824158997325</v>
      </c>
      <c r="Q122" s="55">
        <f t="shared" si="18"/>
        <v>96.897848805395228</v>
      </c>
      <c r="R122">
        <f t="shared" si="9"/>
        <v>3.1520028954304724</v>
      </c>
      <c r="S122" s="71">
        <f>1/100*'Berekening trap 1'!T122*INVOER!$W$19*1000</f>
        <v>3.3204571275494393E-2</v>
      </c>
      <c r="T122">
        <f>IF(INVOER!$T$36=1,1/100*N122*INVOER!$W$20*1000,1/100*O122*INVOER!$W$20*1000)</f>
        <v>1.030056004486139E-3</v>
      </c>
      <c r="X122" s="6"/>
      <c r="Y122" s="6"/>
      <c r="Z122" s="6"/>
      <c r="AA122" s="6"/>
      <c r="AB122" s="6"/>
      <c r="AC122" s="6"/>
      <c r="AD122" s="6"/>
      <c r="AE122" s="6"/>
      <c r="AF122" s="6"/>
    </row>
    <row r="123" spans="1:32" x14ac:dyDescent="0.2">
      <c r="A123" s="283">
        <f>'Berekening trap 1'!A123</f>
        <v>3.3853700708283196</v>
      </c>
      <c r="B123" s="6">
        <f t="shared" si="13"/>
        <v>3.3063514180885445</v>
      </c>
      <c r="C123" s="169">
        <f t="shared" si="12"/>
        <v>4.8037362785100495</v>
      </c>
      <c r="D123" s="202">
        <f t="shared" si="15"/>
        <v>0.1666775945325574</v>
      </c>
      <c r="E123" s="199">
        <f t="shared" si="11"/>
        <v>0.15334895736877688</v>
      </c>
      <c r="F123" s="43">
        <f t="shared" si="16"/>
        <v>0.1666775945325574</v>
      </c>
      <c r="G123" s="156">
        <f t="shared" si="16"/>
        <v>0.15334895736877688</v>
      </c>
      <c r="H123" s="171">
        <f t="shared" si="14"/>
        <v>0.1666775945325574</v>
      </c>
      <c r="I123" s="181">
        <f t="shared" si="7"/>
        <v>0.1666775945325574</v>
      </c>
      <c r="J123" s="332">
        <f>IF(INVOER!$T$36=1,100-H123*100,100-I123*100)</f>
        <v>83.332240546744259</v>
      </c>
      <c r="K123" s="335">
        <f>IF('Berekening trap 1'!$B$64=1,'Berekening trap 1'!U123,'Berekening trap 1'!V123)</f>
        <v>2.0080965371564719E-2</v>
      </c>
      <c r="L123" s="327">
        <f t="shared" si="17"/>
        <v>2.2933042561955981</v>
      </c>
      <c r="M123" s="327">
        <f t="shared" si="19"/>
        <v>37.783502944945504</v>
      </c>
      <c r="N123" s="220">
        <f>'Berekening trap 2'!H123*$L123</f>
        <v>0.38224243695395804</v>
      </c>
      <c r="O123" s="245">
        <f>'Berekening trap 2'!I123*$L123</f>
        <v>0.38224243695395804</v>
      </c>
      <c r="Q123" s="55">
        <f t="shared" si="18"/>
        <v>97.304432646726198</v>
      </c>
      <c r="R123">
        <f t="shared" si="9"/>
        <v>3.3063514180885445</v>
      </c>
      <c r="S123" s="71">
        <f>1/100*'Berekening trap 1'!T123*INVOER!$W$19*1000</f>
        <v>3.5749857614167775E-2</v>
      </c>
      <c r="T123">
        <f>IF(INVOER!$T$36=1,1/100*N123*INVOER!$W$20*1000,1/100*O123*INVOER!$W$20*1000)</f>
        <v>9.6366149068937898E-4</v>
      </c>
      <c r="X123" s="6"/>
      <c r="Y123" s="6"/>
      <c r="Z123" s="6"/>
      <c r="AA123" s="6"/>
      <c r="AB123" s="6"/>
      <c r="AC123" s="6"/>
      <c r="AD123" s="6"/>
      <c r="AE123" s="6"/>
      <c r="AF123" s="6"/>
    </row>
    <row r="124" spans="1:32" x14ac:dyDescent="0.2">
      <c r="A124" s="283">
        <f>'Berekening trap 1'!A124</f>
        <v>3.5511462094989792</v>
      </c>
      <c r="B124" s="6">
        <f t="shared" si="13"/>
        <v>3.4682581401636492</v>
      </c>
      <c r="C124" s="169">
        <f t="shared" si="12"/>
        <v>5.0389675338181918</v>
      </c>
      <c r="D124" s="202">
        <f t="shared" si="15"/>
        <v>0.15509801976537865</v>
      </c>
      <c r="E124" s="199">
        <f t="shared" si="11"/>
        <v>0.14396581209734835</v>
      </c>
      <c r="F124" s="43">
        <f t="shared" si="16"/>
        <v>0.15509801976537865</v>
      </c>
      <c r="G124" s="156">
        <f t="shared" si="16"/>
        <v>0.14396581209734835</v>
      </c>
      <c r="H124" s="171">
        <f t="shared" si="14"/>
        <v>0.15509801976537865</v>
      </c>
      <c r="I124" s="181">
        <f t="shared" si="7"/>
        <v>0.15509801976537865</v>
      </c>
      <c r="J124" s="332">
        <f>IF(INVOER!$T$36=1,100-H124*100,100-I124*100)</f>
        <v>84.490198023462142</v>
      </c>
      <c r="K124" s="335">
        <f>IF('Berekening trap 1'!$B$64=1,'Berekening trap 1'!U124,'Berekening trap 1'!V124)</f>
        <v>1.9057832882398262E-2</v>
      </c>
      <c r="L124" s="327">
        <f t="shared" si="17"/>
        <v>2.17645957026332</v>
      </c>
      <c r="M124" s="327">
        <f t="shared" si="19"/>
        <v>35.607043374682185</v>
      </c>
      <c r="N124" s="220">
        <f>'Berekening trap 2'!H124*$L124</f>
        <v>0.33756456944724794</v>
      </c>
      <c r="O124" s="245">
        <f>'Berekening trap 2'!I124*$L124</f>
        <v>0.33756456944724794</v>
      </c>
      <c r="Q124" s="55">
        <f t="shared" si="18"/>
        <v>97.668979414526461</v>
      </c>
      <c r="R124">
        <f t="shared" si="9"/>
        <v>3.4682581401636492</v>
      </c>
      <c r="S124" s="71">
        <f>1/100*'Berekening trap 1'!T124*INVOER!$W$19*1000</f>
        <v>3.6508698523283929E-2</v>
      </c>
      <c r="T124">
        <f>IF(INVOER!$T$36=1,1/100*N124*INVOER!$W$20*1000,1/100*O124*INVOER!$W$20*1000)</f>
        <v>8.5102527806622439E-4</v>
      </c>
      <c r="X124" s="6"/>
      <c r="Y124" s="6"/>
      <c r="Z124" s="6"/>
      <c r="AA124" s="6"/>
      <c r="AB124" s="6"/>
      <c r="AC124" s="6"/>
      <c r="AD124" s="6"/>
      <c r="AE124" s="6"/>
      <c r="AF124" s="6"/>
    </row>
    <row r="125" spans="1:32" x14ac:dyDescent="0.2">
      <c r="A125" s="283">
        <f>'Berekening trap 1'!A125</f>
        <v>3.725040139600881</v>
      </c>
      <c r="B125" s="6">
        <f t="shared" si="13"/>
        <v>3.6380931745499301</v>
      </c>
      <c r="C125" s="169">
        <f t="shared" si="12"/>
        <v>5.2857176861401829</v>
      </c>
      <c r="D125" s="202">
        <f t="shared" si="15"/>
        <v>0.14396621733687356</v>
      </c>
      <c r="E125" s="199">
        <f t="shared" si="11"/>
        <v>0.13486092061461599</v>
      </c>
      <c r="F125" s="43">
        <f t="shared" si="16"/>
        <v>0.14396621733687356</v>
      </c>
      <c r="G125" s="156">
        <f t="shared" si="16"/>
        <v>0.13486092061461599</v>
      </c>
      <c r="H125" s="171">
        <f t="shared" si="14"/>
        <v>0.14396621733687356</v>
      </c>
      <c r="I125" s="181">
        <f t="shared" si="7"/>
        <v>0.14396621733687356</v>
      </c>
      <c r="J125" s="332">
        <f>IF(INVOER!$T$36=1,100-H125*100,100-I125*100)</f>
        <v>85.603378266312646</v>
      </c>
      <c r="K125" s="335">
        <f>IF('Berekening trap 1'!$B$64=1,'Berekening trap 1'!U125,'Berekening trap 1'!V125)</f>
        <v>1.8650016019980474E-2</v>
      </c>
      <c r="L125" s="327">
        <f t="shared" si="17"/>
        <v>2.1298857064561849</v>
      </c>
      <c r="M125" s="327">
        <f t="shared" si="19"/>
        <v>33.477157668225999</v>
      </c>
      <c r="N125" s="220">
        <f>'Berekening trap 2'!H125*$L125</f>
        <v>0.30663158851837163</v>
      </c>
      <c r="O125" s="245">
        <f>'Berekening trap 2'!I125*$L125</f>
        <v>0.30663158851837163</v>
      </c>
      <c r="Q125" s="55">
        <f t="shared" si="18"/>
        <v>97.994263740789592</v>
      </c>
      <c r="R125">
        <f t="shared" si="9"/>
        <v>3.6380931745499301</v>
      </c>
      <c r="S125" s="71">
        <f>1/100*'Berekening trap 1'!T125*INVOER!$W$19*1000</f>
        <v>3.8541505087693204E-2</v>
      </c>
      <c r="T125">
        <f>IF(INVOER!$T$36=1,1/100*N125*INVOER!$W$20*1000,1/100*O125*INVOER!$W$20*1000)</f>
        <v>7.7304094238928945E-4</v>
      </c>
      <c r="X125" s="6"/>
      <c r="Y125" s="6"/>
      <c r="Z125" s="6"/>
      <c r="AA125" s="6"/>
      <c r="AB125" s="6"/>
      <c r="AC125" s="6"/>
      <c r="AD125" s="6"/>
      <c r="AE125" s="6"/>
      <c r="AF125" s="6"/>
    </row>
    <row r="126" spans="1:32" x14ac:dyDescent="0.2">
      <c r="A126" s="284">
        <f>'Berekening trap 1'!A126</f>
        <v>3.9074493763509288</v>
      </c>
      <c r="B126" s="46">
        <f t="shared" si="13"/>
        <v>3.8162447579759049</v>
      </c>
      <c r="C126" s="184">
        <f t="shared" si="12"/>
        <v>5.5445507973743515</v>
      </c>
      <c r="D126" s="203">
        <f t="shared" si="15"/>
        <v>0.13329099405279835</v>
      </c>
      <c r="E126" s="168">
        <f t="shared" si="11"/>
        <v>0.12604581291247094</v>
      </c>
      <c r="F126" s="45">
        <f t="shared" si="16"/>
        <v>0.13329099405279835</v>
      </c>
      <c r="G126" s="185">
        <f t="shared" si="16"/>
        <v>0.12604581291247094</v>
      </c>
      <c r="H126" s="172">
        <f t="shared" si="14"/>
        <v>0.13329099405279835</v>
      </c>
      <c r="I126" s="243">
        <f t="shared" si="7"/>
        <v>0.13329099405279835</v>
      </c>
      <c r="J126" s="333">
        <f>IF(INVOER!$T$36=1,100-H126*100,100-I126*100)</f>
        <v>86.670900594720166</v>
      </c>
      <c r="K126" s="335">
        <f>IF('Berekening trap 1'!$B$64=1,'Berekening trap 1'!U126,'Berekening trap 1'!V126)</f>
        <v>1.7796939600033503E-2</v>
      </c>
      <c r="L126" s="327">
        <f t="shared" si="17"/>
        <v>2.0324619148941139</v>
      </c>
      <c r="M126" s="327">
        <f t="shared" si="19"/>
        <v>31.444695753331885</v>
      </c>
      <c r="N126" s="220">
        <f>'Berekening trap 2'!H126*$L126</f>
        <v>0.27090886901069045</v>
      </c>
      <c r="O126" s="245">
        <f>'Berekening trap 2'!I126*$L126</f>
        <v>0.27090886901069045</v>
      </c>
      <c r="Q126" s="55">
        <f t="shared" si="18"/>
        <v>98.283065394733526</v>
      </c>
      <c r="R126">
        <f t="shared" si="9"/>
        <v>3.8162447579759049</v>
      </c>
      <c r="S126" s="71">
        <f>1/100*'Berekening trap 1'!T126*INVOER!$W$19*1000</f>
        <v>3.9779110919779814E-2</v>
      </c>
      <c r="T126">
        <f>IF(INVOER!$T$36=1,1/100*N126*INVOER!$W$20*1000,1/100*O126*INVOER!$W$20*1000)</f>
        <v>6.8298132104903223E-4</v>
      </c>
      <c r="X126" s="6"/>
      <c r="Y126" s="6"/>
      <c r="Z126" s="6"/>
      <c r="AA126" s="6"/>
      <c r="AB126" s="6"/>
      <c r="AC126" s="6"/>
      <c r="AD126" s="6"/>
      <c r="AE126" s="6"/>
      <c r="AF126" s="6"/>
    </row>
    <row r="127" spans="1:32" x14ac:dyDescent="0.2">
      <c r="A127" s="283">
        <f>'Berekening trap 1'!A127</f>
        <v>4.0987909006481651</v>
      </c>
      <c r="B127" s="6">
        <f t="shared" si="13"/>
        <v>4.003120138499547</v>
      </c>
      <c r="C127" s="169">
        <f t="shared" si="12"/>
        <v>5.8160585506248408</v>
      </c>
      <c r="D127" s="202">
        <f t="shared" si="15"/>
        <v>0.12307959831597595</v>
      </c>
      <c r="E127" s="199">
        <f t="shared" si="11"/>
        <v>0.11753102065520998</v>
      </c>
      <c r="F127" s="43">
        <f t="shared" si="16"/>
        <v>0.12307959831597595</v>
      </c>
      <c r="G127" s="156">
        <f t="shared" si="16"/>
        <v>0.11753102065520998</v>
      </c>
      <c r="H127" s="171">
        <f t="shared" si="14"/>
        <v>0.12307959831597595</v>
      </c>
      <c r="I127" s="181">
        <f t="shared" si="7"/>
        <v>0.12307959831597595</v>
      </c>
      <c r="J127" s="332">
        <f>IF(INVOER!$T$36=1,100-H127*100,100-I127*100)</f>
        <v>87.6920401684024</v>
      </c>
      <c r="K127" s="343">
        <f>IF('Berekening trap 1'!$B$64=1,'Berekening trap 1'!U127,'Berekening trap 1'!V127)</f>
        <v>1.7060827035624095E-2</v>
      </c>
      <c r="L127" s="328">
        <f t="shared" si="17"/>
        <v>1.9483957335246862</v>
      </c>
      <c r="M127" s="328">
        <f t="shared" si="19"/>
        <v>29.496300019807197</v>
      </c>
      <c r="N127" s="222">
        <f>'Berekening trap 2'!H127*$L127</f>
        <v>0.23980776424277969</v>
      </c>
      <c r="O127" s="244">
        <f>'Berekening trap 2'!I127*$L127</f>
        <v>0.23980776424277969</v>
      </c>
      <c r="Q127" s="55">
        <f t="shared" si="18"/>
        <v>98.538147608293343</v>
      </c>
      <c r="R127">
        <f t="shared" si="9"/>
        <v>4.003120138499547</v>
      </c>
      <c r="S127" s="71">
        <f>1/100*'Berekening trap 1'!T127*INVOER!$W$19*1000</f>
        <v>4.1356646960613301E-2</v>
      </c>
      <c r="T127">
        <f>IF(INVOER!$T$36=1,1/100*N127*INVOER!$W$20*1000,1/100*O127*INVOER!$W$20*1000)</f>
        <v>6.0457313272340818E-4</v>
      </c>
      <c r="X127" s="6"/>
      <c r="Y127" s="6"/>
      <c r="Z127" s="6"/>
      <c r="AA127" s="6"/>
      <c r="AB127" s="6"/>
      <c r="AC127" s="6"/>
      <c r="AD127" s="6"/>
      <c r="AE127" s="6"/>
      <c r="AF127" s="6"/>
    </row>
    <row r="128" spans="1:32" x14ac:dyDescent="0.2">
      <c r="A128" s="283">
        <f>'Berekening trap 1'!A128</f>
        <v>4.2995021122769828</v>
      </c>
      <c r="B128" s="6">
        <f t="shared" si="13"/>
        <v>4.1991465064625739</v>
      </c>
      <c r="C128" s="169">
        <f t="shared" si="12"/>
        <v>6.1008616027677194</v>
      </c>
      <c r="D128" s="202">
        <f t="shared" si="15"/>
        <v>0.11333763058564458</v>
      </c>
      <c r="E128" s="199">
        <f t="shared" si="11"/>
        <v>0.10932599408131211</v>
      </c>
      <c r="F128" s="43">
        <f t="shared" si="16"/>
        <v>0.11333763058564458</v>
      </c>
      <c r="G128" s="156">
        <f t="shared" si="16"/>
        <v>0.10932599408131211</v>
      </c>
      <c r="H128" s="171">
        <f t="shared" si="14"/>
        <v>0.11333763058564458</v>
      </c>
      <c r="I128" s="181">
        <f t="shared" si="7"/>
        <v>0.11333763058564458</v>
      </c>
      <c r="J128" s="332">
        <f>IF(INVOER!$T$36=1,100-H128*100,100-I128*100)</f>
        <v>88.666236941435542</v>
      </c>
      <c r="K128" s="335">
        <f>IF('Berekening trap 1'!$B$64=1,'Berekening trap 1'!U128,'Berekening trap 1'!V128)</f>
        <v>1.6703194936204587E-2</v>
      </c>
      <c r="L128" s="327">
        <f t="shared" si="17"/>
        <v>1.9075531146278726</v>
      </c>
      <c r="M128" s="327">
        <f t="shared" si="19"/>
        <v>27.588746905179324</v>
      </c>
      <c r="N128" s="220">
        <f>'Berekening trap 2'!H128*$L128</f>
        <v>0.21619755022818957</v>
      </c>
      <c r="O128" s="245">
        <f>'Berekening trap 2'!I128*$L128</f>
        <v>0.21619755022818957</v>
      </c>
      <c r="Q128" s="55">
        <f t="shared" si="18"/>
        <v>98.762235938892786</v>
      </c>
      <c r="R128">
        <f t="shared" si="9"/>
        <v>4.1991465064625739</v>
      </c>
      <c r="S128" s="71">
        <f>1/100*'Berekening trap 1'!T128*INVOER!$W$19*1000</f>
        <v>4.4035050932120859E-2</v>
      </c>
      <c r="T128">
        <f>IF(INVOER!$T$36=1,1/100*N128*INVOER!$W$20*1000,1/100*O128*INVOER!$W$20*1000)</f>
        <v>5.4505003472804948E-4</v>
      </c>
      <c r="X128" s="6"/>
      <c r="Y128" s="6"/>
      <c r="Z128" s="6"/>
      <c r="AA128" s="6"/>
      <c r="AB128" s="6"/>
      <c r="AC128" s="6"/>
      <c r="AD128" s="6"/>
      <c r="AE128" s="6"/>
      <c r="AF128" s="6"/>
    </row>
    <row r="129" spans="1:32" x14ac:dyDescent="0.2">
      <c r="A129" s="283">
        <f>'Berekening trap 1'!A129</f>
        <v>4.5100418297871663</v>
      </c>
      <c r="B129" s="6">
        <f t="shared" si="13"/>
        <v>4.4047719710320745</v>
      </c>
      <c r="C129" s="169">
        <f t="shared" si="12"/>
        <v>6.3996110032500919</v>
      </c>
      <c r="D129" s="202">
        <f t="shared" si="15"/>
        <v>0.10406896663895987</v>
      </c>
      <c r="E129" s="199">
        <f t="shared" si="11"/>
        <v>0.10143902471757657</v>
      </c>
      <c r="F129" s="43">
        <f t="shared" si="16"/>
        <v>0.10406896663895987</v>
      </c>
      <c r="G129" s="156">
        <f t="shared" si="16"/>
        <v>0.10143902471757657</v>
      </c>
      <c r="H129" s="171">
        <f t="shared" si="14"/>
        <v>0.10406896663895987</v>
      </c>
      <c r="I129" s="181">
        <f t="shared" si="7"/>
        <v>0.10406896663895987</v>
      </c>
      <c r="J129" s="332">
        <f>IF(INVOER!$T$36=1,100-H129*100,100-I129*100)</f>
        <v>89.593103336104008</v>
      </c>
      <c r="K129" s="335">
        <f>IF('Berekening trap 1'!$B$64=1,'Berekening trap 1'!U129,'Berekening trap 1'!V129)</f>
        <v>1.6263186500691522E-2</v>
      </c>
      <c r="L129" s="327">
        <f t="shared" si="17"/>
        <v>1.8573028801768459</v>
      </c>
      <c r="M129" s="327">
        <f t="shared" si="19"/>
        <v>25.731444025002478</v>
      </c>
      <c r="N129" s="220">
        <f>'Berekening trap 2'!H129*$L129</f>
        <v>0.19328759147556826</v>
      </c>
      <c r="O129" s="245">
        <f>'Berekening trap 2'!I129*$L129</f>
        <v>0.19328759147556826</v>
      </c>
      <c r="Q129" s="55">
        <f t="shared" si="18"/>
        <v>98.957998053025094</v>
      </c>
      <c r="R129">
        <f t="shared" si="9"/>
        <v>4.4047719710320745</v>
      </c>
      <c r="S129" s="71">
        <f>1/100*'Berekening trap 1'!T129*INVOER!$W$19*1000</f>
        <v>4.6765011670132424E-2</v>
      </c>
      <c r="T129">
        <f>IF(INVOER!$T$36=1,1/100*N129*INVOER!$W$20*1000,1/100*O129*INVOER!$W$20*1000)</f>
        <v>4.8729233210581931E-4</v>
      </c>
      <c r="X129" s="6"/>
      <c r="Y129" s="6"/>
      <c r="Z129" s="6"/>
      <c r="AA129" s="6"/>
      <c r="AB129" s="6"/>
      <c r="AC129" s="6"/>
      <c r="AD129" s="6"/>
      <c r="AE129" s="6"/>
      <c r="AF129" s="6"/>
    </row>
    <row r="130" spans="1:32" x14ac:dyDescent="0.2">
      <c r="A130" s="283">
        <f>'Berekening trap 1'!A130</f>
        <v>4.7308913393364547</v>
      </c>
      <c r="B130" s="6">
        <f t="shared" si="13"/>
        <v>4.6204665845618109</v>
      </c>
      <c r="C130" s="169">
        <f t="shared" si="12"/>
        <v>6.7129896823655164</v>
      </c>
      <c r="D130" s="202">
        <f t="shared" si="15"/>
        <v>9.5275695237370048E-2</v>
      </c>
      <c r="E130" s="199">
        <f t="shared" si="11"/>
        <v>9.3877175122186615E-2</v>
      </c>
      <c r="F130" s="43">
        <f t="shared" si="16"/>
        <v>9.5275695237370048E-2</v>
      </c>
      <c r="G130" s="156">
        <f t="shared" si="16"/>
        <v>9.3877175122186615E-2</v>
      </c>
      <c r="H130" s="171">
        <f t="shared" si="14"/>
        <v>9.5275695237370048E-2</v>
      </c>
      <c r="I130" s="181">
        <f t="shared" si="7"/>
        <v>9.5275695237370048E-2</v>
      </c>
      <c r="J130" s="332">
        <f>IF(INVOER!$T$36=1,100-H130*100,100-I130*100)</f>
        <v>90.472430476263</v>
      </c>
      <c r="K130" s="335">
        <f>IF('Berekening trap 1'!$B$64=1,'Berekening trap 1'!U130,'Berekening trap 1'!V130)</f>
        <v>1.5774104992882926E-2</v>
      </c>
      <c r="L130" s="327">
        <f t="shared" si="17"/>
        <v>1.8014483591052517</v>
      </c>
      <c r="M130" s="327">
        <f t="shared" si="19"/>
        <v>23.929995665897227</v>
      </c>
      <c r="N130" s="220">
        <f>'Berekening trap 2'!H130*$L130</f>
        <v>0.17163424484797232</v>
      </c>
      <c r="O130" s="245">
        <f>'Berekening trap 2'!I130*$L130</f>
        <v>0.17163424484797232</v>
      </c>
      <c r="Q130" s="55">
        <f t="shared" si="18"/>
        <v>99.128024794153703</v>
      </c>
      <c r="R130">
        <f t="shared" si="9"/>
        <v>4.6204665845618109</v>
      </c>
      <c r="S130" s="71">
        <f>1/100*'Berekening trap 1'!T130*INVOER!$W$19*1000</f>
        <v>4.9623273552804104E-2</v>
      </c>
      <c r="T130">
        <f>IF(INVOER!$T$36=1,1/100*N130*INVOER!$W$20*1000,1/100*O130*INVOER!$W$20*1000)</f>
        <v>4.3270264170973085E-4</v>
      </c>
      <c r="X130" s="6"/>
      <c r="Y130" s="6"/>
      <c r="Z130" s="6"/>
      <c r="AA130" s="6"/>
      <c r="AB130" s="6"/>
      <c r="AC130" s="6"/>
      <c r="AD130" s="6"/>
      <c r="AE130" s="6"/>
      <c r="AF130" s="6"/>
    </row>
    <row r="131" spans="1:32" x14ac:dyDescent="0.2">
      <c r="A131" s="283">
        <f>'Berekening trap 1'!A131</f>
        <v>4.962555494893242</v>
      </c>
      <c r="B131" s="46">
        <f t="shared" si="13"/>
        <v>4.8467234171148483</v>
      </c>
      <c r="C131" s="184">
        <f t="shared" si="12"/>
        <v>7.041714012407887</v>
      </c>
      <c r="D131" s="203">
        <f t="shared" si="15"/>
        <v>8.6958071698493802E-2</v>
      </c>
      <c r="E131" s="168">
        <f t="shared" si="11"/>
        <v>8.6646216862325889E-2</v>
      </c>
      <c r="F131" s="45">
        <f t="shared" si="16"/>
        <v>8.6958071698493802E-2</v>
      </c>
      <c r="G131" s="185">
        <f t="shared" si="16"/>
        <v>8.6646216862325889E-2</v>
      </c>
      <c r="H131" s="172">
        <f t="shared" si="14"/>
        <v>8.6958071698493802E-2</v>
      </c>
      <c r="I131" s="243">
        <f t="shared" si="7"/>
        <v>8.6958071698493802E-2</v>
      </c>
      <c r="J131" s="332">
        <f>IF(INVOER!$T$36=1,100-H131*100,100-I131*100)</f>
        <v>91.304192830150612</v>
      </c>
      <c r="K131" s="336">
        <f>IF('Berekening trap 1'!$B$64=1,'Berekening trap 1'!U131,'Berekening trap 1'!V131)</f>
        <v>1.4321347507281649E-2</v>
      </c>
      <c r="L131" s="329">
        <f t="shared" si="17"/>
        <v>1.6355392574608112</v>
      </c>
      <c r="M131" s="329">
        <f t="shared" si="19"/>
        <v>22.294456408436417</v>
      </c>
      <c r="N131" s="223">
        <f>'Berekening trap 2'!H131*$L131</f>
        <v>0.14222334001597853</v>
      </c>
      <c r="O131" s="246">
        <f>'Berekening trap 2'!I131*$L131</f>
        <v>0.14222334001597853</v>
      </c>
      <c r="Q131" s="55">
        <f t="shared" si="18"/>
        <v>99.274812868169874</v>
      </c>
      <c r="R131">
        <f t="shared" si="9"/>
        <v>4.8467234171148483</v>
      </c>
      <c r="S131" s="71">
        <f>1/100*'Berekening trap 1'!T131*INVOER!$W$19*1000</f>
        <v>4.9443179126216159E-2</v>
      </c>
      <c r="T131">
        <f>IF(INVOER!$T$36=1,1/100*N131*INVOER!$W$20*1000,1/100*O131*INVOER!$W$20*1000)</f>
        <v>3.5855557259103832E-4</v>
      </c>
      <c r="X131" s="6"/>
      <c r="Y131" s="6"/>
      <c r="Z131" s="6"/>
      <c r="AA131" s="6"/>
      <c r="AB131" s="6"/>
      <c r="AC131" s="6"/>
      <c r="AD131" s="6"/>
      <c r="AE131" s="6"/>
      <c r="AF131" s="6"/>
    </row>
    <row r="132" spans="1:32" x14ac:dyDescent="0.2">
      <c r="A132" s="282">
        <f>'Berekening trap 1'!A132</f>
        <v>5.2055638723144373</v>
      </c>
      <c r="B132" s="6">
        <f t="shared" si="13"/>
        <v>5.0840596836038401</v>
      </c>
      <c r="C132" s="169">
        <f t="shared" si="12"/>
        <v>7.3865354452725187</v>
      </c>
      <c r="D132" s="202">
        <f t="shared" si="15"/>
        <v>7.9114488730317026E-2</v>
      </c>
      <c r="E132" s="199">
        <f t="shared" si="11"/>
        <v>7.9750577897881814E-2</v>
      </c>
      <c r="F132" s="43">
        <f t="shared" si="16"/>
        <v>7.9114488730317026E-2</v>
      </c>
      <c r="G132" s="156">
        <f t="shared" si="16"/>
        <v>7.9750577897881814E-2</v>
      </c>
      <c r="H132" s="171">
        <f t="shared" si="14"/>
        <v>7.9114488730317026E-2</v>
      </c>
      <c r="I132" s="181">
        <f t="shared" si="7"/>
        <v>7.9114488730317026E-2</v>
      </c>
      <c r="J132" s="331">
        <f>IF(INVOER!$T$36=1,100-H132*100,100-I132*100)</f>
        <v>92.088551126968298</v>
      </c>
      <c r="K132" s="335">
        <f>IF('Berekening trap 1'!$B$64=1,'Berekening trap 1'!U132,'Berekening trap 1'!V132)</f>
        <v>1.3803594153714552E-2</v>
      </c>
      <c r="L132" s="327">
        <f t="shared" si="17"/>
        <v>1.5764103287751257</v>
      </c>
      <c r="M132" s="327">
        <f t="shared" si="19"/>
        <v>20.718046079661292</v>
      </c>
      <c r="N132" s="220">
        <f>'Berekening trap 2'!H132*$L132</f>
        <v>0.12471689719023504</v>
      </c>
      <c r="O132" s="245">
        <f>'Berekening trap 2'!I132*$L132</f>
        <v>0.12471689719023504</v>
      </c>
      <c r="Q132" s="55">
        <f t="shared" si="18"/>
        <v>99.400749439630971</v>
      </c>
      <c r="R132">
        <f t="shared" si="9"/>
        <v>5.0840596836038401</v>
      </c>
      <c r="S132" s="71">
        <f>1/100*'Berekening trap 1'!T132*INVOER!$W$19*1000</f>
        <v>5.2468959492761161E-2</v>
      </c>
      <c r="T132">
        <f>IF(INVOER!$T$36=1,1/100*N132*INVOER!$W$20*1000,1/100*O132*INVOER!$W$20*1000)</f>
        <v>3.144205337801686E-4</v>
      </c>
      <c r="X132" s="6"/>
      <c r="Y132" s="6"/>
      <c r="Z132" s="6"/>
      <c r="AA132" s="6"/>
      <c r="AB132" s="6"/>
      <c r="AC132" s="6"/>
      <c r="AD132" s="6"/>
      <c r="AE132" s="6"/>
      <c r="AF132" s="6"/>
    </row>
    <row r="133" spans="1:32" x14ac:dyDescent="0.2">
      <c r="A133" s="283">
        <f>'Berekening trap 1'!A133</f>
        <v>5.4604719799366652</v>
      </c>
      <c r="B133" s="6">
        <f t="shared" si="13"/>
        <v>5.3330179261255513</v>
      </c>
      <c r="C133" s="169">
        <f t="shared" si="12"/>
        <v>7.7482422302479144</v>
      </c>
      <c r="D133" s="202">
        <f t="shared" si="15"/>
        <v>7.1741465698040061E-2</v>
      </c>
      <c r="E133" s="199">
        <f t="shared" si="11"/>
        <v>7.3193300483684068E-2</v>
      </c>
      <c r="F133" s="43">
        <f t="shared" si="16"/>
        <v>7.1741465698040061E-2</v>
      </c>
      <c r="G133" s="156">
        <f t="shared" si="16"/>
        <v>7.3193300483684068E-2</v>
      </c>
      <c r="H133" s="171">
        <f t="shared" si="14"/>
        <v>7.1741465698040061E-2</v>
      </c>
      <c r="I133" s="181">
        <f t="shared" si="7"/>
        <v>7.1741465698040061E-2</v>
      </c>
      <c r="J133" s="332">
        <f>IF(INVOER!$T$36=1,100-H133*100,100-I133*100)</f>
        <v>92.825853430195991</v>
      </c>
      <c r="K133" s="335">
        <f>IF('Berekening trap 1'!$B$64=1,'Berekening trap 1'!U133,'Berekening trap 1'!V133)</f>
        <v>1.33947350689144E-2</v>
      </c>
      <c r="L133" s="327">
        <f t="shared" si="17"/>
        <v>1.5297174401611078</v>
      </c>
      <c r="M133" s="327">
        <f t="shared" si="19"/>
        <v>19.188328639500185</v>
      </c>
      <c r="N133" s="220">
        <f>'Berekening trap 2'!H133*$L133</f>
        <v>0.10974417126101177</v>
      </c>
      <c r="O133" s="245">
        <f>'Berekening trap 2'!I133*$L133</f>
        <v>0.10974417126101177</v>
      </c>
      <c r="Q133" s="55">
        <f t="shared" si="18"/>
        <v>99.508098883206443</v>
      </c>
      <c r="R133">
        <f t="shared" si="9"/>
        <v>5.3330179261255513</v>
      </c>
      <c r="S133" s="71">
        <f>1/100*'Berekening trap 1'!T133*INVOER!$W$19*1000</f>
        <v>5.624569114711616E-2</v>
      </c>
      <c r="T133">
        <f>IF(INVOER!$T$36=1,1/100*N133*INVOER!$W$20*1000,1/100*O133*INVOER!$W$20*1000)</f>
        <v>2.7667318290092342E-4</v>
      </c>
      <c r="X133" s="6"/>
      <c r="Y133" s="6"/>
      <c r="Z133" s="6"/>
      <c r="AA133" s="6"/>
      <c r="AB133" s="6"/>
      <c r="AC133" s="6"/>
      <c r="AD133" s="6"/>
      <c r="AE133" s="6"/>
      <c r="AF133" s="6"/>
    </row>
    <row r="134" spans="1:32" x14ac:dyDescent="0.2">
      <c r="A134" s="283">
        <f>'Berekening trap 1'!A134</f>
        <v>5.727862528448175</v>
      </c>
      <c r="B134" s="6">
        <f t="shared" si="13"/>
        <v>5.5941672541924206</v>
      </c>
      <c r="C134" s="169">
        <f t="shared" si="12"/>
        <v>8.127661215925059</v>
      </c>
      <c r="D134" s="202">
        <f t="shared" si="15"/>
        <v>6.4833657264957198E-2</v>
      </c>
      <c r="E134" s="199">
        <f t="shared" si="11"/>
        <v>6.6976010617235932E-2</v>
      </c>
      <c r="F134" s="43">
        <f t="shared" si="16"/>
        <v>6.4833657264957198E-2</v>
      </c>
      <c r="G134" s="156">
        <f t="shared" si="16"/>
        <v>6.6976010617235932E-2</v>
      </c>
      <c r="H134" s="171">
        <f t="shared" si="14"/>
        <v>6.6976010617235932E-2</v>
      </c>
      <c r="I134" s="181">
        <f t="shared" si="7"/>
        <v>6.6976010617235932E-2</v>
      </c>
      <c r="J134" s="332">
        <f>IF(INVOER!$T$36=1,100-H134*100,100-I134*100)</f>
        <v>93.302398938276411</v>
      </c>
      <c r="K134" s="335">
        <f>IF('Berekening trap 1'!$B$64=1,'Berekening trap 1'!U134,'Berekening trap 1'!V134)</f>
        <v>1.3259252644720753E-2</v>
      </c>
      <c r="L134" s="327">
        <f t="shared" si="17"/>
        <v>1.5142449559306956</v>
      </c>
      <c r="M134" s="327">
        <f t="shared" si="19"/>
        <v>17.674083683569489</v>
      </c>
      <c r="N134" s="220">
        <f>'Berekening trap 2'!H134*$L134</f>
        <v>0.10141808624551023</v>
      </c>
      <c r="O134" s="245">
        <f>'Berekening trap 2'!I134*$L134</f>
        <v>0.10141808624551023</v>
      </c>
      <c r="Q134" s="55">
        <f t="shared" si="18"/>
        <v>99.57277567953922</v>
      </c>
      <c r="R134">
        <f t="shared" si="9"/>
        <v>5.5941672541924206</v>
      </c>
      <c r="S134" s="71">
        <f>1/100*'Berekening trap 1'!T134*INVOER!$W$19*1000</f>
        <v>5.98473667672451E-2</v>
      </c>
      <c r="T134">
        <f>IF(INVOER!$T$36=1,1/100*N134*INVOER!$W$20*1000,1/100*O134*INVOER!$W$20*1000)</f>
        <v>2.5568250598502886E-4</v>
      </c>
      <c r="X134" s="6"/>
      <c r="Y134" s="6"/>
      <c r="Z134" s="6"/>
      <c r="AA134" s="6"/>
      <c r="AB134" s="6"/>
      <c r="AC134" s="6"/>
      <c r="AD134" s="6"/>
      <c r="AE134" s="6"/>
      <c r="AF134" s="6"/>
    </row>
    <row r="135" spans="1:32" x14ac:dyDescent="0.2">
      <c r="A135" s="283">
        <f>'Berekening trap 1'!A135</f>
        <v>6.0083467629443374</v>
      </c>
      <c r="B135" s="6">
        <f t="shared" si="13"/>
        <v>5.8681046456962562</v>
      </c>
      <c r="C135" s="169">
        <f t="shared" si="12"/>
        <v>8.5256597403432952</v>
      </c>
      <c r="D135" s="202">
        <f t="shared" si="15"/>
        <v>5.8383882078786448E-2</v>
      </c>
      <c r="E135" s="199">
        <f t="shared" si="11"/>
        <v>6.1098899946140262E-2</v>
      </c>
      <c r="F135" s="43">
        <f t="shared" si="16"/>
        <v>5.8383882078786448E-2</v>
      </c>
      <c r="G135" s="156">
        <f t="shared" si="16"/>
        <v>6.1098899946140262E-2</v>
      </c>
      <c r="H135" s="171">
        <f t="shared" si="14"/>
        <v>6.1098899946140262E-2</v>
      </c>
      <c r="I135" s="181">
        <f t="shared" si="7"/>
        <v>6.1098899946140262E-2</v>
      </c>
      <c r="J135" s="332">
        <f>IF(INVOER!$T$36=1,100-H135*100,100-I135*100)</f>
        <v>93.890110005385978</v>
      </c>
      <c r="K135" s="335">
        <f>IF('Berekening trap 1'!$B$64=1,'Berekening trap 1'!U135,'Berekening trap 1'!V135)</f>
        <v>1.2469269465353747E-2</v>
      </c>
      <c r="L135" s="327">
        <f t="shared" si="17"/>
        <v>1.4240265947093436</v>
      </c>
      <c r="M135" s="327">
        <f t="shared" si="19"/>
        <v>16.250057088860146</v>
      </c>
      <c r="N135" s="220">
        <f>'Berekening trap 2'!H135*$L135</f>
        <v>8.700645843078901E-2</v>
      </c>
      <c r="O135" s="245">
        <f>'Berekening trap 2'!I135*$L135</f>
        <v>8.700645843078901E-2</v>
      </c>
      <c r="Q135" s="55">
        <f t="shared" si="18"/>
        <v>99.645048286451797</v>
      </c>
      <c r="R135">
        <f t="shared" si="9"/>
        <v>5.8681046456962562</v>
      </c>
      <c r="S135" s="71">
        <f>1/100*'Berekening trap 1'!T135*INVOER!$W$19*1000</f>
        <v>6.1797060454257709E-2</v>
      </c>
      <c r="T135">
        <f>IF(INVOER!$T$36=1,1/100*N135*INVOER!$W$20*1000,1/100*O135*INVOER!$W$20*1000)</f>
        <v>2.1934972500480611E-4</v>
      </c>
      <c r="X135" s="6"/>
      <c r="Y135" s="6"/>
      <c r="Z135" s="6"/>
      <c r="AA135" s="6"/>
      <c r="AB135" s="6"/>
      <c r="AC135" s="6"/>
      <c r="AD135" s="6"/>
      <c r="AE135" s="6"/>
      <c r="AF135" s="6"/>
    </row>
    <row r="136" spans="1:32" x14ac:dyDescent="0.2">
      <c r="A136" s="284">
        <f>'Berekening trap 1'!A136</f>
        <v>6.3025658602117636</v>
      </c>
      <c r="B136" s="46">
        <f t="shared" si="13"/>
        <v>6.1554563115780505</v>
      </c>
      <c r="C136" s="184">
        <f t="shared" si="12"/>
        <v>8.9431476136936379</v>
      </c>
      <c r="D136" s="203">
        <f t="shared" si="15"/>
        <v>5.2383171866773964E-2</v>
      </c>
      <c r="E136" s="168">
        <f t="shared" si="11"/>
        <v>5.5560720909161469E-2</v>
      </c>
      <c r="F136" s="45">
        <f t="shared" si="16"/>
        <v>5.2383171866773964E-2</v>
      </c>
      <c r="G136" s="185">
        <f t="shared" si="16"/>
        <v>5.5560720909161469E-2</v>
      </c>
      <c r="H136" s="172">
        <f t="shared" si="14"/>
        <v>5.5560720909161469E-2</v>
      </c>
      <c r="I136" s="243">
        <f t="shared" si="7"/>
        <v>5.5560720909161469E-2</v>
      </c>
      <c r="J136" s="333">
        <f>IF(INVOER!$T$36=1,100-H136*100,100-I136*100)</f>
        <v>94.443927909083854</v>
      </c>
      <c r="K136" s="335">
        <f>IF('Berekening trap 1'!$B$64=1,'Berekening trap 1'!U136,'Berekening trap 1'!V136)</f>
        <v>1.1749006008488695E-2</v>
      </c>
      <c r="L136" s="327">
        <f t="shared" si="17"/>
        <v>1.3417704272070703</v>
      </c>
      <c r="M136" s="327">
        <f t="shared" si="19"/>
        <v>14.908286661653076</v>
      </c>
      <c r="N136" s="220">
        <f>'Berekening trap 2'!H136*$L136</f>
        <v>7.4549732230218393E-2</v>
      </c>
      <c r="O136" s="245">
        <f>'Berekening trap 2'!I136*$L136</f>
        <v>7.4549732230218393E-2</v>
      </c>
      <c r="Q136" s="55">
        <f t="shared" si="18"/>
        <v>99.706979150512879</v>
      </c>
      <c r="R136">
        <f t="shared" si="9"/>
        <v>6.1554563115780505</v>
      </c>
      <c r="S136" s="71">
        <f>1/100*'Berekening trap 1'!T136*INVOER!$W$19*1000</f>
        <v>6.4140622107232967E-2</v>
      </c>
      <c r="T136">
        <f>IF(INVOER!$T$36=1,1/100*N136*INVOER!$W$20*1000,1/100*O136*INVOER!$W$20*1000)</f>
        <v>1.879453957649388E-4</v>
      </c>
      <c r="X136" s="6"/>
      <c r="Y136" s="6"/>
      <c r="Z136" s="6"/>
      <c r="AA136" s="6"/>
      <c r="AB136" s="6"/>
      <c r="AC136" s="6"/>
      <c r="AD136" s="6"/>
      <c r="AE136" s="6"/>
      <c r="AF136" s="6"/>
    </row>
    <row r="137" spans="1:32" x14ac:dyDescent="0.2">
      <c r="A137" s="283">
        <f>'Berekening trap 1'!A137</f>
        <v>6.6111923944351814</v>
      </c>
      <c r="B137" s="6">
        <f t="shared" si="13"/>
        <v>6.4568791273234725</v>
      </c>
      <c r="C137" s="169">
        <f t="shared" si="12"/>
        <v>9.3810791981118538</v>
      </c>
      <c r="D137" s="202">
        <f t="shared" si="15"/>
        <v>4.6820840961090161E-2</v>
      </c>
      <c r="E137" s="199">
        <f t="shared" si="11"/>
        <v>5.0358795717627101E-2</v>
      </c>
      <c r="F137" s="43">
        <f t="shared" si="16"/>
        <v>4.6820840961090161E-2</v>
      </c>
      <c r="G137" s="156">
        <f t="shared" si="16"/>
        <v>5.0358795717627101E-2</v>
      </c>
      <c r="H137" s="171">
        <f t="shared" si="14"/>
        <v>5.0358795717627101E-2</v>
      </c>
      <c r="I137" s="181">
        <f t="shared" si="7"/>
        <v>5.0358795717627101E-2</v>
      </c>
      <c r="J137" s="332">
        <f>IF(INVOER!$T$36=1,100-H137*100,100-I137*100)</f>
        <v>94.964120428237294</v>
      </c>
      <c r="K137" s="343">
        <f>IF('Berekening trap 1'!$B$64=1,'Berekening trap 1'!U137,'Berekening trap 1'!V137)</f>
        <v>1.1194342998494559E-2</v>
      </c>
      <c r="L137" s="328">
        <f t="shared" si="17"/>
        <v>1.2784263091312023</v>
      </c>
      <c r="M137" s="328">
        <f t="shared" si="19"/>
        <v>13.629860352521874</v>
      </c>
      <c r="N137" s="222">
        <f>'Berekening trap 2'!H137*$L137</f>
        <v>6.4380009341578212E-2</v>
      </c>
      <c r="O137" s="244">
        <f>'Berekening trap 2'!I137*$L137</f>
        <v>6.4380009341578212E-2</v>
      </c>
      <c r="Q137" s="55">
        <f t="shared" si="18"/>
        <v>99.759703143769201</v>
      </c>
      <c r="R137">
        <f t="shared" si="9"/>
        <v>6.4568791273234725</v>
      </c>
      <c r="S137" s="71">
        <f>1/100*'Berekening trap 1'!T137*INVOER!$W$19*1000</f>
        <v>6.7544275770119122E-2</v>
      </c>
      <c r="T137">
        <f>IF(INVOER!$T$36=1,1/100*N137*INVOER!$W$20*1000,1/100*O137*INVOER!$W$20*1000)</f>
        <v>1.6230677123946425E-4</v>
      </c>
      <c r="X137" s="6"/>
      <c r="Y137" s="6"/>
      <c r="Z137" s="6"/>
      <c r="AA137" s="6"/>
      <c r="AB137" s="6"/>
      <c r="AC137" s="6"/>
      <c r="AD137" s="6"/>
      <c r="AE137" s="6"/>
      <c r="AF137" s="6"/>
    </row>
    <row r="138" spans="1:32" x14ac:dyDescent="0.2">
      <c r="A138" s="283">
        <f>'Berekening trap 1'!A138</f>
        <v>6.9349318746776287</v>
      </c>
      <c r="B138" s="6">
        <f t="shared" si="13"/>
        <v>6.7730621345564046</v>
      </c>
      <c r="C138" s="169">
        <f t="shared" si="12"/>
        <v>9.8404555893157024</v>
      </c>
      <c r="D138" s="202">
        <f t="shared" si="15"/>
        <v>4.1684575906497295E-2</v>
      </c>
      <c r="E138" s="199">
        <f t="shared" si="11"/>
        <v>4.5489039590989024E-2</v>
      </c>
      <c r="F138" s="43">
        <f t="shared" si="16"/>
        <v>4.1684575906497295E-2</v>
      </c>
      <c r="G138" s="156">
        <f t="shared" si="16"/>
        <v>4.5489039590989024E-2</v>
      </c>
      <c r="H138" s="171">
        <f t="shared" si="14"/>
        <v>4.5489039590989024E-2</v>
      </c>
      <c r="I138" s="181">
        <f t="shared" si="7"/>
        <v>4.5489039590989024E-2</v>
      </c>
      <c r="J138" s="332">
        <f>IF(INVOER!$T$36=1,100-H138*100,100-I138*100)</f>
        <v>95.451096040901092</v>
      </c>
      <c r="K138" s="335">
        <f>IF('Berekening trap 1'!$B$64=1,'Berekening trap 1'!U138,'Berekening trap 1'!V138)</f>
        <v>1.0573097363032767E-2</v>
      </c>
      <c r="L138" s="327">
        <f t="shared" si="17"/>
        <v>1.2074782628801541</v>
      </c>
      <c r="M138" s="327">
        <f t="shared" si="19"/>
        <v>12.422382089641719</v>
      </c>
      <c r="N138" s="220">
        <f>'Berekening trap 2'!H138*$L138</f>
        <v>5.4927026505413985E-2</v>
      </c>
      <c r="O138" s="245">
        <f>'Berekening trap 2'!I138*$L138</f>
        <v>5.4927026505413985E-2</v>
      </c>
      <c r="Q138" s="55">
        <f t="shared" si="18"/>
        <v>99.804287274008857</v>
      </c>
      <c r="R138">
        <f t="shared" si="9"/>
        <v>6.7730621345564046</v>
      </c>
      <c r="S138" s="71">
        <f>1/100*'Berekening trap 1'!T138*INVOER!$W$19*1000</f>
        <v>7.0754265346569117E-2</v>
      </c>
      <c r="T138">
        <f>IF(INVOER!$T$36=1,1/100*N138*INVOER!$W$20*1000,1/100*O138*INVOER!$W$20*1000)</f>
        <v>1.3847510146477521E-4</v>
      </c>
      <c r="X138" s="6"/>
      <c r="Y138" s="6"/>
      <c r="Z138" s="6"/>
      <c r="AA138" s="6"/>
      <c r="AB138" s="6"/>
      <c r="AC138" s="6"/>
      <c r="AD138" s="6"/>
      <c r="AE138" s="6"/>
      <c r="AF138" s="6"/>
    </row>
    <row r="139" spans="1:32" x14ac:dyDescent="0.2">
      <c r="A139" s="283">
        <f>'Berekening trap 1'!A139</f>
        <v>7.2745243576485805</v>
      </c>
      <c r="B139" s="6">
        <f t="shared" si="13"/>
        <v>7.1047281161631046</v>
      </c>
      <c r="C139" s="169">
        <f t="shared" si="12"/>
        <v>10.322326905073428</v>
      </c>
      <c r="D139" s="202">
        <f t="shared" si="15"/>
        <v>3.6960544412604907E-2</v>
      </c>
      <c r="E139" s="199">
        <f t="shared" si="11"/>
        <v>4.0945998444099886E-2</v>
      </c>
      <c r="F139" s="43">
        <f t="shared" ref="F139:G175" si="20">D139^($B$54*$B$63)</f>
        <v>3.6960544412604907E-2</v>
      </c>
      <c r="G139" s="156">
        <f t="shared" si="20"/>
        <v>4.0945998444099886E-2</v>
      </c>
      <c r="H139" s="171">
        <f t="shared" si="14"/>
        <v>4.0945998444099886E-2</v>
      </c>
      <c r="I139" s="181">
        <f t="shared" si="7"/>
        <v>4.0945998444099886E-2</v>
      </c>
      <c r="J139" s="332">
        <f>IF(INVOER!$T$36=1,100-H139*100,100-I139*100)</f>
        <v>95.905400155590016</v>
      </c>
      <c r="K139" s="335">
        <f>IF('Berekening trap 1'!$B$64=1,'Berekening trap 1'!U139,'Berekening trap 1'!V139)</f>
        <v>1.0037852586559226E-2</v>
      </c>
      <c r="L139" s="327">
        <f t="shared" si="17"/>
        <v>1.1463517631685725</v>
      </c>
      <c r="M139" s="327">
        <f t="shared" si="19"/>
        <v>11.276030326473146</v>
      </c>
      <c r="N139" s="220">
        <f>'Berekening trap 2'!H139*$L139</f>
        <v>4.6938517511091529E-2</v>
      </c>
      <c r="O139" s="245">
        <f>'Berekening trap 2'!I139*$L139</f>
        <v>4.6938517511091529E-2</v>
      </c>
      <c r="Q139" s="55">
        <f t="shared" si="18"/>
        <v>99.841726159861977</v>
      </c>
      <c r="R139">
        <f t="shared" si="9"/>
        <v>7.1047281161631046</v>
      </c>
      <c r="S139" s="71">
        <f>1/100*'Berekening trap 1'!T139*INVOER!$W$19*1000</f>
        <v>7.4766290243801575E-2</v>
      </c>
      <c r="T139">
        <f>IF(INVOER!$T$36=1,1/100*N139*INVOER!$W$20*1000,1/100*O139*INVOER!$W$20*1000)</f>
        <v>1.1833547869761091E-4</v>
      </c>
      <c r="X139" s="6"/>
      <c r="Y139" s="6"/>
      <c r="Z139" s="6"/>
      <c r="AA139" s="6"/>
      <c r="AB139" s="6"/>
      <c r="AC139" s="6"/>
      <c r="AD139" s="6"/>
      <c r="AE139" s="6"/>
      <c r="AF139" s="6"/>
    </row>
    <row r="140" spans="1:32" x14ac:dyDescent="0.2">
      <c r="A140" s="283">
        <f>'Berekening trap 1'!A140</f>
        <v>7.6307461394467451</v>
      </c>
      <c r="B140" s="6">
        <f t="shared" si="13"/>
        <v>7.4526352485476632</v>
      </c>
      <c r="C140" s="169">
        <f t="shared" si="12"/>
        <v>10.827794685734894</v>
      </c>
      <c r="D140" s="202">
        <f t="shared" si="15"/>
        <v>3.2633522512326214E-2</v>
      </c>
      <c r="E140" s="199">
        <f t="shared" si="11"/>
        <v>3.6722900987295026E-2</v>
      </c>
      <c r="F140" s="43">
        <f t="shared" si="20"/>
        <v>3.2633522512326214E-2</v>
      </c>
      <c r="G140" s="156">
        <f t="shared" si="20"/>
        <v>3.6722900987295026E-2</v>
      </c>
      <c r="H140" s="171">
        <f t="shared" si="14"/>
        <v>3.6722900987295026E-2</v>
      </c>
      <c r="I140" s="181">
        <f t="shared" si="7"/>
        <v>3.6722900987295026E-2</v>
      </c>
      <c r="J140" s="332">
        <f>IF(INVOER!$T$36=1,100-H140*100,100-I140*100)</f>
        <v>96.327709901270495</v>
      </c>
      <c r="K140" s="335">
        <f>IF('Berekening trap 1'!$B$64=1,'Berekening trap 1'!U140,'Berekening trap 1'!V140)</f>
        <v>9.4555857936582249E-3</v>
      </c>
      <c r="L140" s="327">
        <f t="shared" ref="L140:L171" si="21">100*K140/$K$187</f>
        <v>1.0798552133417363</v>
      </c>
      <c r="M140" s="327">
        <f t="shared" si="19"/>
        <v>10.19617511313141</v>
      </c>
      <c r="N140" s="220">
        <f>'Berekening trap 2'!H140*$L140</f>
        <v>3.9655416080162931E-2</v>
      </c>
      <c r="O140" s="245">
        <f>'Berekening trap 2'!I140*$L140</f>
        <v>3.9655416080162931E-2</v>
      </c>
      <c r="Q140" s="55">
        <f t="shared" ref="Q140:Q171" si="22">100*(S140-T140)/S140</f>
        <v>99.872938940547542</v>
      </c>
      <c r="R140">
        <f t="shared" si="9"/>
        <v>7.4526352485476632</v>
      </c>
      <c r="S140" s="71">
        <f>1/100*'Berekening trap 1'!T140*INVOER!$W$19*1000</f>
        <v>7.8682045520354252E-2</v>
      </c>
      <c r="T140">
        <f>IF(INVOER!$T$36=1,1/100*N140*INVOER!$W$20*1000,1/100*O140*INVOER!$W$20*1000)</f>
        <v>9.9974240637023751E-5</v>
      </c>
      <c r="X140" s="6"/>
      <c r="Y140" s="6"/>
      <c r="Z140" s="6"/>
      <c r="AA140" s="6"/>
      <c r="AB140" s="6"/>
      <c r="AC140" s="6"/>
      <c r="AD140" s="6"/>
      <c r="AE140" s="6"/>
      <c r="AF140" s="6"/>
    </row>
    <row r="141" spans="1:32" x14ac:dyDescent="0.2">
      <c r="A141" s="283">
        <f>'Berekening trap 1'!A141</f>
        <v>8.0044115301447878</v>
      </c>
      <c r="B141" s="46">
        <f t="shared" si="13"/>
        <v>7.817578834795766</v>
      </c>
      <c r="C141" s="184">
        <f t="shared" si="12"/>
        <v>11.358014412312857</v>
      </c>
      <c r="D141" s="203">
        <f t="shared" si="15"/>
        <v>2.8687038386911879E-2</v>
      </c>
      <c r="E141" s="168">
        <f t="shared" si="11"/>
        <v>3.2811724947880004E-2</v>
      </c>
      <c r="F141" s="45">
        <f t="shared" si="20"/>
        <v>2.8687038386911879E-2</v>
      </c>
      <c r="G141" s="185">
        <f t="shared" si="20"/>
        <v>3.2811724947880004E-2</v>
      </c>
      <c r="H141" s="172">
        <f t="shared" si="14"/>
        <v>3.2811724947880004E-2</v>
      </c>
      <c r="I141" s="243">
        <f t="shared" ref="I141:I185" si="23">IF(C141&lt;$K$41,F141,G141)</f>
        <v>3.2811724947880004E-2</v>
      </c>
      <c r="J141" s="332">
        <f>IF(INVOER!$T$36=1,100-H141*100,100-I141*100)</f>
        <v>96.718827505212005</v>
      </c>
      <c r="K141" s="336">
        <f>IF('Berekening trap 1'!$B$64=1,'Berekening trap 1'!U141,'Berekening trap 1'!V141)</f>
        <v>8.9085150487201933E-3</v>
      </c>
      <c r="L141" s="329">
        <f t="shared" si="21"/>
        <v>1.0173781538681397</v>
      </c>
      <c r="M141" s="329">
        <f t="shared" ref="M141:M172" si="24">M140-L141</f>
        <v>9.1787969592632699</v>
      </c>
      <c r="N141" s="223">
        <f>'Berekening trap 2'!H141*$L141</f>
        <v>3.3381932152703339E-2</v>
      </c>
      <c r="O141" s="246">
        <f>'Berekening trap 2'!I141*$L141</f>
        <v>3.3381932152703339E-2</v>
      </c>
      <c r="Q141" s="55">
        <f t="shared" si="22"/>
        <v>99.898767588526255</v>
      </c>
      <c r="R141">
        <f t="shared" ref="R141:R186" si="25">B141</f>
        <v>7.817578834795766</v>
      </c>
      <c r="S141" s="71">
        <f>1/100*'Berekening trap 1'!T141*INVOER!$W$19*1000</f>
        <v>8.3133772914368465E-2</v>
      </c>
      <c r="T141">
        <f>IF(INVOER!$T$36=1,1/100*N141*INVOER!$W$20*1000,1/100*O141*INVOER!$W$20*1000)</f>
        <v>8.4158323070341424E-5</v>
      </c>
      <c r="X141" s="6"/>
      <c r="Y141" s="6"/>
      <c r="Z141" s="6"/>
      <c r="AA141" s="6"/>
      <c r="AB141" s="6"/>
      <c r="AC141" s="6"/>
      <c r="AD141" s="6"/>
      <c r="AE141" s="6"/>
      <c r="AF141" s="6"/>
    </row>
    <row r="142" spans="1:32" x14ac:dyDescent="0.2">
      <c r="A142" s="282">
        <f>'Berekening trap 1'!A142</f>
        <v>8.3963747152726214</v>
      </c>
      <c r="B142" s="6">
        <f t="shared" si="13"/>
        <v>8.2003931227087037</v>
      </c>
      <c r="C142" s="169">
        <f t="shared" si="12"/>
        <v>11.914198147870673</v>
      </c>
      <c r="D142" s="202">
        <f t="shared" si="15"/>
        <v>2.5103530927770897E-2</v>
      </c>
      <c r="E142" s="199">
        <f t="shared" ref="E142:E185" si="26">IF(C142-$K$36&gt;0,EXP(-(((C142-$K$36)/$K$38)^$K$40)),1)</f>
        <v>2.920327685820857E-2</v>
      </c>
      <c r="F142" s="43">
        <f t="shared" si="20"/>
        <v>2.5103530927770897E-2</v>
      </c>
      <c r="G142" s="156">
        <f t="shared" si="20"/>
        <v>2.920327685820857E-2</v>
      </c>
      <c r="H142" s="171">
        <f t="shared" si="14"/>
        <v>2.920327685820857E-2</v>
      </c>
      <c r="I142" s="181">
        <f t="shared" si="23"/>
        <v>2.920327685820857E-2</v>
      </c>
      <c r="J142" s="331">
        <f>IF(INVOER!$T$36=1,100-H142*100,100-I142*100)</f>
        <v>97.079672314179149</v>
      </c>
      <c r="K142" s="335">
        <f>IF('Berekening trap 1'!$B$64=1,'Berekening trap 1'!U142,'Berekening trap 1'!V142)</f>
        <v>8.2343700142109687E-3</v>
      </c>
      <c r="L142" s="327">
        <f t="shared" si="21"/>
        <v>0.9403888434277986</v>
      </c>
      <c r="M142" s="327">
        <f t="shared" si="24"/>
        <v>8.2384081158354707</v>
      </c>
      <c r="N142" s="220">
        <f>'Berekening trap 2'!H142*$L142</f>
        <v>2.7462435748992552E-2</v>
      </c>
      <c r="O142" s="245">
        <f>'Berekening trap 2'!I142*$L142</f>
        <v>2.7462435748992552E-2</v>
      </c>
      <c r="Q142" s="55">
        <f t="shared" si="22"/>
        <v>99.919976559558648</v>
      </c>
      <c r="R142">
        <f t="shared" si="25"/>
        <v>8.2003931227087037</v>
      </c>
      <c r="S142" s="71">
        <f>1/100*'Berekening trap 1'!T142*INVOER!$W$19*1000</f>
        <v>8.6518192524448076E-2</v>
      </c>
      <c r="T142">
        <f>IF(INVOER!$T$36=1,1/100*N142*INVOER!$W$20*1000,1/100*O142*INVOER!$W$20*1000)</f>
        <v>6.9234834265728489E-5</v>
      </c>
      <c r="X142" s="6"/>
      <c r="Y142" s="6"/>
      <c r="Z142" s="6"/>
      <c r="AA142" s="6"/>
      <c r="AB142" s="6"/>
      <c r="AC142" s="6"/>
      <c r="AD142" s="6"/>
      <c r="AE142" s="6"/>
      <c r="AF142" s="6"/>
    </row>
    <row r="143" spans="1:32" x14ac:dyDescent="0.2">
      <c r="A143" s="283">
        <f>'Berekening trap 1'!A143</f>
        <v>8.8075317084545475</v>
      </c>
      <c r="B143" s="6">
        <f t="shared" si="13"/>
        <v>8.6019532118635844</v>
      </c>
      <c r="C143" s="169">
        <f t="shared" ref="C143:C185" si="27">B143/$B$51</f>
        <v>12.497617308254481</v>
      </c>
      <c r="D143" s="202">
        <f t="shared" si="15"/>
        <v>2.1864520738668961E-2</v>
      </c>
      <c r="E143" s="199">
        <f t="shared" si="26"/>
        <v>2.588728458719685E-2</v>
      </c>
      <c r="F143" s="43">
        <f t="shared" si="20"/>
        <v>2.1864520738668961E-2</v>
      </c>
      <c r="G143" s="156">
        <f t="shared" si="20"/>
        <v>2.588728458719685E-2</v>
      </c>
      <c r="H143" s="171">
        <f t="shared" si="14"/>
        <v>2.588728458719685E-2</v>
      </c>
      <c r="I143" s="181">
        <f t="shared" si="23"/>
        <v>2.588728458719685E-2</v>
      </c>
      <c r="J143" s="332">
        <f>IF(INVOER!$T$36=1,100-H143*100,100-I143*100)</f>
        <v>97.411271541280314</v>
      </c>
      <c r="K143" s="335">
        <f>IF('Berekening trap 1'!$B$64=1,'Berekening trap 1'!U143,'Berekening trap 1'!V143)</f>
        <v>7.667665750712648E-3</v>
      </c>
      <c r="L143" s="327">
        <f t="shared" si="21"/>
        <v>0.87566957941645773</v>
      </c>
      <c r="M143" s="327">
        <f t="shared" si="24"/>
        <v>7.3627385364190125</v>
      </c>
      <c r="N143" s="220">
        <f>'Berekening trap 2'!H143*$L143</f>
        <v>2.2668707606704815E-2</v>
      </c>
      <c r="O143" s="245">
        <f>'Berekening trap 2'!I143*$L143</f>
        <v>2.2668707606704815E-2</v>
      </c>
      <c r="Q143" s="55">
        <f t="shared" si="22"/>
        <v>99.937253684054667</v>
      </c>
      <c r="R143">
        <f t="shared" si="25"/>
        <v>8.6019532118635844</v>
      </c>
      <c r="S143" s="71">
        <f>1/100*'Berekening trap 1'!T143*INVOER!$W$19*1000</f>
        <v>9.1080232769673128E-2</v>
      </c>
      <c r="T143">
        <f>IF(INVOER!$T$36=1,1/100*N143*INVOER!$W$20*1000,1/100*O143*INVOER!$W$20*1000)</f>
        <v>5.7149490617416991E-5</v>
      </c>
      <c r="X143" s="6"/>
      <c r="Y143" s="6"/>
      <c r="Z143" s="6"/>
      <c r="AA143" s="6"/>
      <c r="AB143" s="6"/>
      <c r="AC143" s="6"/>
      <c r="AD143" s="6"/>
      <c r="AE143" s="6"/>
      <c r="AF143" s="6"/>
    </row>
    <row r="144" spans="1:32" x14ac:dyDescent="0.2">
      <c r="A144" s="283">
        <f>'Berekening trap 1'!A144</f>
        <v>9.2388223996638974</v>
      </c>
      <c r="B144" s="6">
        <f t="shared" ref="B144:B174" si="28">(A143+A144)/2</f>
        <v>9.0231770540592215</v>
      </c>
      <c r="C144" s="169">
        <f t="shared" si="27"/>
        <v>13.109605568503708</v>
      </c>
      <c r="D144" s="202">
        <f t="shared" si="15"/>
        <v>1.8950790951682756E-2</v>
      </c>
      <c r="E144" s="199">
        <f t="shared" si="26"/>
        <v>2.285250152562502E-2</v>
      </c>
      <c r="F144" s="43">
        <f t="shared" si="20"/>
        <v>1.8950790951682756E-2</v>
      </c>
      <c r="G144" s="156">
        <f t="shared" si="20"/>
        <v>2.285250152562502E-2</v>
      </c>
      <c r="H144" s="171">
        <f t="shared" si="14"/>
        <v>2.285250152562502E-2</v>
      </c>
      <c r="I144" s="181">
        <f t="shared" si="23"/>
        <v>2.285250152562502E-2</v>
      </c>
      <c r="J144" s="332">
        <f>IF(INVOER!$T$36=1,100-H144*100,100-I144*100)</f>
        <v>97.714749847437503</v>
      </c>
      <c r="K144" s="335">
        <f>IF('Berekening trap 1'!$B$64=1,'Berekening trap 1'!U144,'Berekening trap 1'!V144)</f>
        <v>7.5769106555224229E-3</v>
      </c>
      <c r="L144" s="327">
        <f t="shared" si="21"/>
        <v>0.8653050853684825</v>
      </c>
      <c r="M144" s="327">
        <f t="shared" si="24"/>
        <v>6.4974334510505303</v>
      </c>
      <c r="N144" s="220">
        <f>'Berekening trap 2'!H144*$L144</f>
        <v>1.9774385783514335E-2</v>
      </c>
      <c r="O144" s="245">
        <f>'Berekening trap 2'!I144*$L144</f>
        <v>1.9774385783514335E-2</v>
      </c>
      <c r="Q144" s="55">
        <f t="shared" si="22"/>
        <v>99.951212177227589</v>
      </c>
      <c r="R144">
        <f t="shared" si="25"/>
        <v>9.0231770540592215</v>
      </c>
      <c r="S144" s="71">
        <f>1/100*'Berekening trap 1'!T144*INVOER!$W$19*1000</f>
        <v>0.10218265158800104</v>
      </c>
      <c r="T144">
        <f>IF(INVOER!$T$36=1,1/100*N144*INVOER!$W$20*1000,1/100*O144*INVOER!$W$20*1000)</f>
        <v>4.9852690960903446E-5</v>
      </c>
      <c r="X144" s="6"/>
      <c r="Y144" s="6"/>
      <c r="Z144" s="6"/>
      <c r="AA144" s="6"/>
      <c r="AB144" s="6"/>
      <c r="AC144" s="6"/>
      <c r="AD144" s="6"/>
      <c r="AE144" s="6"/>
      <c r="AF144" s="6"/>
    </row>
    <row r="145" spans="1:32" x14ac:dyDescent="0.2">
      <c r="A145" s="283">
        <f>'Berekening trap 1'!A145</f>
        <v>9.6912327037774268</v>
      </c>
      <c r="B145" s="6">
        <f t="shared" si="28"/>
        <v>9.465027551720663</v>
      </c>
      <c r="C145" s="169">
        <f t="shared" si="27"/>
        <v>13.751561911583858</v>
      </c>
      <c r="D145" s="202">
        <f t="shared" si="15"/>
        <v>1.6342574949322251E-2</v>
      </c>
      <c r="E145" s="199">
        <f t="shared" si="26"/>
        <v>2.0086821078329462E-2</v>
      </c>
      <c r="F145" s="43">
        <f t="shared" si="20"/>
        <v>1.6342574949322251E-2</v>
      </c>
      <c r="G145" s="156">
        <f t="shared" si="20"/>
        <v>2.0086821078329462E-2</v>
      </c>
      <c r="H145" s="171">
        <f t="shared" ref="H145:H185" si="29">IF(C145&lt;$K$41,D145,E145)</f>
        <v>2.0086821078329462E-2</v>
      </c>
      <c r="I145" s="181">
        <f t="shared" si="23"/>
        <v>2.0086821078329462E-2</v>
      </c>
      <c r="J145" s="332">
        <f>IF(INVOER!$T$36=1,100-H145*100,100-I145*100)</f>
        <v>97.991317892167046</v>
      </c>
      <c r="K145" s="335">
        <f>IF('Berekening trap 1'!$B$64=1,'Berekening trap 1'!U145,'Berekening trap 1'!V145)</f>
        <v>7.2918185257904609E-3</v>
      </c>
      <c r="L145" s="327">
        <f t="shared" si="21"/>
        <v>0.83274674056659459</v>
      </c>
      <c r="M145" s="327">
        <f t="shared" si="24"/>
        <v>5.6646867104839354</v>
      </c>
      <c r="N145" s="220">
        <f>'Berekening trap 2'!H145*$L145</f>
        <v>1.6727234781323229E-2</v>
      </c>
      <c r="O145" s="245">
        <f>'Berekening trap 2'!I145*$L145</f>
        <v>1.6727234781323229E-2</v>
      </c>
      <c r="Q145" s="55">
        <f t="shared" si="22"/>
        <v>99.962393624350511</v>
      </c>
      <c r="R145">
        <f t="shared" si="25"/>
        <v>9.465027551720663</v>
      </c>
      <c r="S145" s="71">
        <f>1/100*'Berekening trap 1'!T145*INVOER!$W$19*1000</f>
        <v>0.11213683025285466</v>
      </c>
      <c r="T145">
        <f>IF(INVOER!$T$36=1,1/100*N145*INVOER!$W$20*1000,1/100*O145*INVOER!$W$20*1000)</f>
        <v>4.2170597626298591E-5</v>
      </c>
      <c r="X145" s="6"/>
      <c r="Y145" s="6"/>
      <c r="Z145" s="6"/>
      <c r="AA145" s="6"/>
      <c r="AB145" s="6"/>
      <c r="AC145" s="6"/>
      <c r="AD145" s="6"/>
      <c r="AE145" s="6"/>
      <c r="AF145" s="6"/>
    </row>
    <row r="146" spans="1:32" x14ac:dyDescent="0.2">
      <c r="A146" s="284">
        <f>'Berekening trap 1'!A146</f>
        <v>10.165796814340958</v>
      </c>
      <c r="B146" s="46">
        <f t="shared" si="28"/>
        <v>9.9285147590591922</v>
      </c>
      <c r="C146" s="184">
        <f t="shared" si="27"/>
        <v>14.424953826410794</v>
      </c>
      <c r="D146" s="203">
        <f t="shared" si="15"/>
        <v>1.4019747865728131E-2</v>
      </c>
      <c r="E146" s="168">
        <f t="shared" si="26"/>
        <v>1.7577399876205001E-2</v>
      </c>
      <c r="F146" s="45">
        <f t="shared" si="20"/>
        <v>1.4019747865728131E-2</v>
      </c>
      <c r="G146" s="185">
        <f t="shared" si="20"/>
        <v>1.7577399876205001E-2</v>
      </c>
      <c r="H146" s="172">
        <f t="shared" si="29"/>
        <v>1.7577399876205001E-2</v>
      </c>
      <c r="I146" s="243">
        <f t="shared" si="23"/>
        <v>1.7577399876205001E-2</v>
      </c>
      <c r="J146" s="333">
        <f>IF(INVOER!$T$36=1,100-H146*100,100-I146*100)</f>
        <v>98.242260012379504</v>
      </c>
      <c r="K146" s="335">
        <f>IF('Berekening trap 1'!$B$64=1,'Berekening trap 1'!U146,'Berekening trap 1'!V146)</f>
        <v>6.1858655762705717E-3</v>
      </c>
      <c r="L146" s="327">
        <f t="shared" si="21"/>
        <v>0.70644371880661982</v>
      </c>
      <c r="M146" s="327">
        <f t="shared" si="24"/>
        <v>4.9582429916773156</v>
      </c>
      <c r="N146" s="220">
        <f>'Berekening trap 2'!H146*$L146</f>
        <v>1.241744373549728E-2</v>
      </c>
      <c r="O146" s="245">
        <f>'Berekening trap 2'!I146*$L146</f>
        <v>1.241744373549728E-2</v>
      </c>
      <c r="Q146" s="55">
        <f t="shared" si="22"/>
        <v>99.971271782014526</v>
      </c>
      <c r="R146">
        <f t="shared" si="25"/>
        <v>9.9285147590591922</v>
      </c>
      <c r="S146" s="71">
        <f>1/100*'Berekening trap 1'!T146*INVOER!$W$19*1000</f>
        <v>0.10897054335969097</v>
      </c>
      <c r="T146">
        <f>IF(INVOER!$T$36=1,1/100*N146*INVOER!$W$20*1000,1/100*O146*INVOER!$W$20*1000)</f>
        <v>3.130529523633756E-5</v>
      </c>
      <c r="X146" s="6"/>
      <c r="Y146" s="6"/>
      <c r="Z146" s="6"/>
      <c r="AA146" s="6"/>
      <c r="AB146" s="6"/>
      <c r="AC146" s="6"/>
      <c r="AD146" s="6"/>
      <c r="AE146" s="6"/>
      <c r="AF146" s="6"/>
    </row>
    <row r="147" spans="1:32" x14ac:dyDescent="0.2">
      <c r="A147" s="283">
        <f>'Berekening trap 1'!A147</f>
        <v>10.663599567698318</v>
      </c>
      <c r="B147" s="6">
        <f t="shared" si="28"/>
        <v>10.414698191019639</v>
      </c>
      <c r="C147" s="169">
        <f t="shared" si="27"/>
        <v>15.131320662477211</v>
      </c>
      <c r="D147" s="202">
        <f t="shared" si="15"/>
        <v>1.1962018592843642E-2</v>
      </c>
      <c r="E147" s="199">
        <f t="shared" si="26"/>
        <v>1.5310787905809111E-2</v>
      </c>
      <c r="F147" s="43">
        <f t="shared" si="20"/>
        <v>1.1962018592843642E-2</v>
      </c>
      <c r="G147" s="156">
        <f t="shared" si="20"/>
        <v>1.5310787905809111E-2</v>
      </c>
      <c r="H147" s="171">
        <f t="shared" si="29"/>
        <v>1.5310787905809111E-2</v>
      </c>
      <c r="I147" s="181">
        <f t="shared" si="23"/>
        <v>1.5310787905809111E-2</v>
      </c>
      <c r="J147" s="332">
        <f>IF(INVOER!$T$36=1,100-H147*100,100-I147*100)</f>
        <v>98.468921209419094</v>
      </c>
      <c r="K147" s="343">
        <f>IF('Berekening trap 1'!$B$64=1,'Berekening trap 1'!U147,'Berekening trap 1'!V147)</f>
        <v>5.2568420442688528E-3</v>
      </c>
      <c r="L147" s="328">
        <f t="shared" si="21"/>
        <v>0.60034654764858819</v>
      </c>
      <c r="M147" s="328">
        <f t="shared" si="24"/>
        <v>4.3578964440287278</v>
      </c>
      <c r="N147" s="222">
        <f>'Berekening trap 2'!H147*$L147</f>
        <v>9.1917786610322579E-3</v>
      </c>
      <c r="O147" s="244">
        <f>'Berekening trap 2'!I147*$L147</f>
        <v>9.1917786610322579E-3</v>
      </c>
      <c r="Q147" s="55">
        <f t="shared" si="22"/>
        <v>99.978257027104021</v>
      </c>
      <c r="R147">
        <f t="shared" si="25"/>
        <v>10.414698191019639</v>
      </c>
      <c r="S147" s="71">
        <f>1/100*'Berekening trap 1'!T147*INVOER!$W$19*1000</f>
        <v>0.10657767369923428</v>
      </c>
      <c r="T147">
        <f>IF(INVOER!$T$36=1,1/100*N147*INVOER!$W$20*1000,1/100*O147*INVOER!$W$20*1000)</f>
        <v>2.3173154705593581E-5</v>
      </c>
      <c r="X147" s="6"/>
      <c r="Y147" s="6"/>
      <c r="Z147" s="6"/>
      <c r="AA147" s="6"/>
      <c r="AB147" s="6"/>
      <c r="AC147" s="6"/>
      <c r="AD147" s="6"/>
      <c r="AE147" s="6"/>
      <c r="AF147" s="6"/>
    </row>
    <row r="148" spans="1:32" x14ac:dyDescent="0.2">
      <c r="A148" s="283">
        <f>'Berekening trap 1'!A148</f>
        <v>11.185778922887872</v>
      </c>
      <c r="B148" s="6">
        <f t="shared" si="28"/>
        <v>10.924689245293095</v>
      </c>
      <c r="C148" s="169">
        <f t="shared" si="27"/>
        <v>15.872277148749713</v>
      </c>
      <c r="D148" s="202">
        <f t="shared" si="15"/>
        <v>1.0149118952195163E-2</v>
      </c>
      <c r="E148" s="199">
        <f t="shared" si="26"/>
        <v>1.3273063572166675E-2</v>
      </c>
      <c r="F148" s="43">
        <f t="shared" si="20"/>
        <v>1.0149118952195163E-2</v>
      </c>
      <c r="G148" s="156">
        <f t="shared" si="20"/>
        <v>1.3273063572166675E-2</v>
      </c>
      <c r="H148" s="171">
        <f t="shared" si="29"/>
        <v>1.3273063572166675E-2</v>
      </c>
      <c r="I148" s="181">
        <f t="shared" si="23"/>
        <v>1.3273063572166675E-2</v>
      </c>
      <c r="J148" s="332">
        <f>IF(INVOER!$T$36=1,100-H148*100,100-I148*100)</f>
        <v>98.672693642783329</v>
      </c>
      <c r="K148" s="335">
        <f>IF('Berekening trap 1'!$B$64=1,'Berekening trap 1'!U148,'Berekening trap 1'!V148)</f>
        <v>4.8189508744295034E-3</v>
      </c>
      <c r="L148" s="327">
        <f t="shared" si="21"/>
        <v>0.55033811105394848</v>
      </c>
      <c r="M148" s="327">
        <f t="shared" si="24"/>
        <v>3.8075583329747795</v>
      </c>
      <c r="N148" s="220">
        <f>'Berekening trap 2'!H148*$L148</f>
        <v>7.3046727342051818E-3</v>
      </c>
      <c r="O148" s="245">
        <f>'Berekening trap 2'!I148*$L148</f>
        <v>7.3046727342051818E-3</v>
      </c>
      <c r="Q148" s="55">
        <f t="shared" si="22"/>
        <v>99.983701282320339</v>
      </c>
      <c r="R148">
        <f t="shared" si="25"/>
        <v>10.924689245293095</v>
      </c>
      <c r="S148" s="71">
        <f>1/100*'Berekening trap 1'!T148*INVOER!$W$19*1000</f>
        <v>0.11298815818258331</v>
      </c>
      <c r="T148">
        <f>IF(INVOER!$T$36=1,1/100*N148*INVOER!$W$20*1000,1/100*O148*INVOER!$W$20*1000)</f>
        <v>1.8415620913619588E-5</v>
      </c>
      <c r="X148" s="6"/>
      <c r="Y148" s="6"/>
      <c r="Z148" s="6"/>
      <c r="AA148" s="6"/>
      <c r="AB148" s="6"/>
      <c r="AC148" s="6"/>
      <c r="AD148" s="6"/>
      <c r="AE148" s="6"/>
      <c r="AF148" s="6"/>
    </row>
    <row r="149" spans="1:32" x14ac:dyDescent="0.2">
      <c r="A149" s="283">
        <f>'Berekening trap 1'!A149</f>
        <v>11.733528562975607</v>
      </c>
      <c r="B149" s="6">
        <f t="shared" si="28"/>
        <v>11.459653742931739</v>
      </c>
      <c r="C149" s="169">
        <f t="shared" si="27"/>
        <v>16.649517084880674</v>
      </c>
      <c r="D149" s="202">
        <f t="shared" si="15"/>
        <v>8.5609867162399454E-3</v>
      </c>
      <c r="E149" s="199">
        <f t="shared" si="26"/>
        <v>1.1449971568545535E-2</v>
      </c>
      <c r="F149" s="43">
        <f t="shared" si="20"/>
        <v>8.5609867162399454E-3</v>
      </c>
      <c r="G149" s="156">
        <f t="shared" si="20"/>
        <v>1.1449971568545535E-2</v>
      </c>
      <c r="H149" s="171">
        <f t="shared" si="29"/>
        <v>1.1449971568545535E-2</v>
      </c>
      <c r="I149" s="181">
        <f t="shared" si="23"/>
        <v>1.1449971568545535E-2</v>
      </c>
      <c r="J149" s="332">
        <f>IF(INVOER!$T$36=1,100-H149*100,100-I149*100)</f>
        <v>98.855002843145442</v>
      </c>
      <c r="K149" s="335">
        <f>IF('Berekening trap 1'!$B$64=1,'Berekening trap 1'!U149,'Berekening trap 1'!V149)</f>
        <v>4.5925062308444274E-3</v>
      </c>
      <c r="L149" s="327">
        <f t="shared" si="21"/>
        <v>0.52447747859343419</v>
      </c>
      <c r="M149" s="327">
        <f t="shared" si="24"/>
        <v>3.2830808543813452</v>
      </c>
      <c r="N149" s="220">
        <f>'Berekening trap 2'!H149*$L149</f>
        <v>6.0052522182372711E-3</v>
      </c>
      <c r="O149" s="245">
        <f>'Berekening trap 2'!I149*$L149</f>
        <v>6.0052522182372711E-3</v>
      </c>
      <c r="Q149" s="55">
        <f t="shared" si="22"/>
        <v>99.987903250288952</v>
      </c>
      <c r="R149">
        <f t="shared" si="25"/>
        <v>11.459653742931739</v>
      </c>
      <c r="S149" s="71">
        <f>1/100*'Berekening trap 1'!T149*INVOER!$W$19*1000</f>
        <v>0.12515498729286315</v>
      </c>
      <c r="T149">
        <f>IF(INVOER!$T$36=1,1/100*N149*INVOER!$W$20*1000,1/100*O149*INVOER!$W$20*1000)</f>
        <v>1.513968556371801E-5</v>
      </c>
      <c r="X149" s="6"/>
      <c r="Y149" s="6"/>
      <c r="Z149" s="6"/>
      <c r="AA149" s="6"/>
      <c r="AB149" s="6"/>
      <c r="AC149" s="6"/>
      <c r="AD149" s="6"/>
      <c r="AE149" s="6"/>
      <c r="AF149" s="6"/>
    </row>
    <row r="150" spans="1:32" x14ac:dyDescent="0.2">
      <c r="A150" s="283">
        <f>'Berekening trap 1'!A150</f>
        <v>12.308100623771331</v>
      </c>
      <c r="B150" s="6">
        <f t="shared" si="28"/>
        <v>12.020814593373469</v>
      </c>
      <c r="C150" s="169">
        <f t="shared" si="27"/>
        <v>17.464817213172815</v>
      </c>
      <c r="D150" s="202">
        <f t="shared" si="15"/>
        <v>7.1779392790820252E-3</v>
      </c>
      <c r="E150" s="199">
        <f t="shared" si="26"/>
        <v>9.827061332164615E-3</v>
      </c>
      <c r="F150" s="43">
        <f t="shared" si="20"/>
        <v>7.1779392790820252E-3</v>
      </c>
      <c r="G150" s="156">
        <f t="shared" si="20"/>
        <v>9.827061332164615E-3</v>
      </c>
      <c r="H150" s="171">
        <f t="shared" si="29"/>
        <v>9.827061332164615E-3</v>
      </c>
      <c r="I150" s="181">
        <f t="shared" si="23"/>
        <v>9.827061332164615E-3</v>
      </c>
      <c r="J150" s="332">
        <f>IF(INVOER!$T$36=1,100-H150*100,100-I150*100)</f>
        <v>99.017293866783533</v>
      </c>
      <c r="K150" s="335">
        <f>IF('Berekening trap 1'!$B$64=1,'Berekening trap 1'!U150,'Berekening trap 1'!V150)</f>
        <v>4.140467785005604E-3</v>
      </c>
      <c r="L150" s="327">
        <f t="shared" si="21"/>
        <v>0.47285338221039064</v>
      </c>
      <c r="M150" s="327">
        <f t="shared" si="24"/>
        <v>2.8102274721709546</v>
      </c>
      <c r="N150" s="220">
        <f>'Berekening trap 2'!H150*$L150</f>
        <v>4.6467591881029849E-3</v>
      </c>
      <c r="O150" s="245">
        <f>'Berekening trap 2'!I150*$L150</f>
        <v>4.6467591881029849E-3</v>
      </c>
      <c r="Q150" s="55">
        <f t="shared" si="22"/>
        <v>99.991113797081908</v>
      </c>
      <c r="R150">
        <f t="shared" si="25"/>
        <v>12.020814593373469</v>
      </c>
      <c r="S150" s="71">
        <f>1/100*'Berekening trap 1'!T150*INVOER!$W$19*1000</f>
        <v>0.13183160613067996</v>
      </c>
      <c r="T150">
        <f>IF(INVOER!$T$36=1,1/100*N150*INVOER!$W$20*1000,1/100*O150*INVOER!$W$20*1000)</f>
        <v>1.1714824030962489E-5</v>
      </c>
      <c r="X150" s="6"/>
      <c r="Y150" s="6"/>
      <c r="Z150" s="6"/>
      <c r="AA150" s="6"/>
      <c r="AB150" s="6"/>
      <c r="AC150" s="6"/>
      <c r="AD150" s="6"/>
      <c r="AE150" s="6"/>
      <c r="AF150" s="6"/>
    </row>
    <row r="151" spans="1:32" x14ac:dyDescent="0.2">
      <c r="A151" s="283">
        <f>'Berekening trap 1'!A151</f>
        <v>12.91080855616571</v>
      </c>
      <c r="B151" s="46">
        <f t="shared" si="28"/>
        <v>12.609454589968522</v>
      </c>
      <c r="C151" s="184">
        <f t="shared" si="27"/>
        <v>18.320041280147649</v>
      </c>
      <c r="D151" s="203">
        <f t="shared" si="15"/>
        <v>5.9808349852576237E-3</v>
      </c>
      <c r="E151" s="168">
        <f t="shared" si="26"/>
        <v>8.3898238225292784E-3</v>
      </c>
      <c r="F151" s="45">
        <f t="shared" si="20"/>
        <v>5.9808349852576237E-3</v>
      </c>
      <c r="G151" s="185">
        <f t="shared" si="20"/>
        <v>8.3898238225292784E-3</v>
      </c>
      <c r="H151" s="172">
        <f t="shared" si="29"/>
        <v>8.3898238225292784E-3</v>
      </c>
      <c r="I151" s="243">
        <f t="shared" si="23"/>
        <v>8.3898238225292784E-3</v>
      </c>
      <c r="J151" s="332">
        <f>IF(INVOER!$T$36=1,100-H151*100,100-I151*100)</f>
        <v>99.161017617747078</v>
      </c>
      <c r="K151" s="336">
        <f>IF('Berekening trap 1'!$B$64=1,'Berekening trap 1'!U151,'Berekening trap 1'!V151)</f>
        <v>3.7776959527329335E-3</v>
      </c>
      <c r="L151" s="329">
        <f t="shared" si="21"/>
        <v>0.43142379097386313</v>
      </c>
      <c r="M151" s="329">
        <f t="shared" si="24"/>
        <v>2.3788036811970916</v>
      </c>
      <c r="N151" s="223">
        <f>'Berekening trap 2'!H151*$L151</f>
        <v>3.619569599118409E-3</v>
      </c>
      <c r="O151" s="246">
        <f>'Berekening trap 2'!I151*$L151</f>
        <v>3.619569599118409E-3</v>
      </c>
      <c r="Q151" s="55">
        <f t="shared" si="22"/>
        <v>99.993541339623192</v>
      </c>
      <c r="R151">
        <f t="shared" si="25"/>
        <v>12.609454589968522</v>
      </c>
      <c r="S151" s="71">
        <f>1/100*'Berekening trap 1'!T151*INVOER!$W$19*1000</f>
        <v>0.14128631133696626</v>
      </c>
      <c r="T151">
        <f>IF(INVOER!$T$36=1,1/100*N151*INVOER!$W$20*1000,1/100*O151*INVOER!$W$20*1000)</f>
        <v>9.1252030081645457E-6</v>
      </c>
      <c r="X151" s="6"/>
      <c r="Y151" s="6"/>
      <c r="Z151" s="6"/>
      <c r="AA151" s="6"/>
      <c r="AB151" s="6"/>
      <c r="AC151" s="6"/>
      <c r="AD151" s="6"/>
      <c r="AE151" s="6"/>
      <c r="AF151" s="6"/>
    </row>
    <row r="152" spans="1:32" x14ac:dyDescent="0.2">
      <c r="A152" s="282">
        <f>'Berekening trap 1'!A152</f>
        <v>13.543030128631372</v>
      </c>
      <c r="B152" s="6">
        <f t="shared" si="28"/>
        <v>13.226919342398542</v>
      </c>
      <c r="C152" s="169">
        <f t="shared" si="27"/>
        <v>19.217144297002427</v>
      </c>
      <c r="D152" s="202">
        <f t="shared" si="15"/>
        <v>4.9512194240818822E-3</v>
      </c>
      <c r="E152" s="199">
        <f t="shared" si="26"/>
        <v>7.1238243734121553E-3</v>
      </c>
      <c r="F152" s="43">
        <f t="shared" si="20"/>
        <v>4.9512194240818822E-3</v>
      </c>
      <c r="G152" s="156">
        <f t="shared" si="20"/>
        <v>7.1238243734121553E-3</v>
      </c>
      <c r="H152" s="171">
        <f t="shared" si="29"/>
        <v>7.1238243734121553E-3</v>
      </c>
      <c r="I152" s="181">
        <f t="shared" si="23"/>
        <v>7.1238243734121553E-3</v>
      </c>
      <c r="J152" s="331">
        <f>IF(INVOER!$T$36=1,100-H152*100,100-I152*100)</f>
        <v>99.287617562658781</v>
      </c>
      <c r="K152" s="335">
        <f>IF('Berekening trap 1'!$B$64=1,'Berekening trap 1'!U152,'Berekening trap 1'!V152)</f>
        <v>3.3780165601924308E-3</v>
      </c>
      <c r="L152" s="327">
        <f t="shared" si="21"/>
        <v>0.38577924973458971</v>
      </c>
      <c r="M152" s="327">
        <f t="shared" si="24"/>
        <v>1.9930244314625019</v>
      </c>
      <c r="N152" s="220">
        <f>'Berekening trap 2'!H152*$L152</f>
        <v>2.748223622015925E-3</v>
      </c>
      <c r="O152" s="245">
        <f>'Berekening trap 2'!I152*$L152</f>
        <v>2.748223622015925E-3</v>
      </c>
      <c r="Q152" s="55">
        <f t="shared" si="22"/>
        <v>99.995357108969728</v>
      </c>
      <c r="R152">
        <f t="shared" si="25"/>
        <v>13.226919342398542</v>
      </c>
      <c r="S152" s="71">
        <f>1/100*'Berekening trap 1'!T152*INVOER!$W$19*1000</f>
        <v>0.14922760897940759</v>
      </c>
      <c r="T152">
        <f>IF(INVOER!$T$36=1,1/100*N152*INVOER!$W$20*1000,1/100*O152*INVOER!$W$20*1000)</f>
        <v>6.9284752719872173E-6</v>
      </c>
      <c r="X152" s="6"/>
      <c r="Y152" s="6"/>
      <c r="Z152" s="6"/>
      <c r="AA152" s="6"/>
      <c r="AB152" s="6"/>
      <c r="AC152" s="6"/>
      <c r="AD152" s="6"/>
      <c r="AE152" s="6"/>
      <c r="AF152" s="6"/>
    </row>
    <row r="153" spans="1:32" x14ac:dyDescent="0.2">
      <c r="A153" s="283">
        <f>'Berekening trap 1'!A153</f>
        <v>14.206210576751655</v>
      </c>
      <c r="B153" s="6">
        <f t="shared" si="28"/>
        <v>13.874620352691514</v>
      </c>
      <c r="C153" s="169">
        <f t="shared" si="27"/>
        <v>20.158177008694853</v>
      </c>
      <c r="D153" s="202">
        <f t="shared" si="15"/>
        <v>4.0714543786980065E-3</v>
      </c>
      <c r="E153" s="199">
        <f t="shared" si="26"/>
        <v>6.0148294426937568E-3</v>
      </c>
      <c r="F153" s="43">
        <f t="shared" si="20"/>
        <v>4.0714543786980065E-3</v>
      </c>
      <c r="G153" s="156">
        <f t="shared" si="20"/>
        <v>6.0148294426937568E-3</v>
      </c>
      <c r="H153" s="171">
        <f t="shared" si="29"/>
        <v>6.0148294426937568E-3</v>
      </c>
      <c r="I153" s="181">
        <f t="shared" si="23"/>
        <v>6.0148294426937568E-3</v>
      </c>
      <c r="J153" s="332">
        <f>IF(INVOER!$T$36=1,100-H153*100,100-I153*100)</f>
        <v>99.398517055730622</v>
      </c>
      <c r="K153" s="335">
        <f>IF('Berekening trap 1'!$B$64=1,'Berekening trap 1'!U153,'Berekening trap 1'!V153)</f>
        <v>2.9214183499767466E-3</v>
      </c>
      <c r="L153" s="327">
        <f t="shared" si="21"/>
        <v>0.33363441508726377</v>
      </c>
      <c r="M153" s="327">
        <f t="shared" si="24"/>
        <v>1.6593900163752382</v>
      </c>
      <c r="N153" s="220">
        <f>'Berekening trap 2'!H153*$L153</f>
        <v>2.0067541029627845E-3</v>
      </c>
      <c r="O153" s="245">
        <f>'Berekening trap 2'!I153*$L153</f>
        <v>2.0067541029627845E-3</v>
      </c>
      <c r="Q153" s="55">
        <f t="shared" si="22"/>
        <v>99.996700181786608</v>
      </c>
      <c r="R153">
        <f t="shared" si="25"/>
        <v>13.874620352691514</v>
      </c>
      <c r="S153" s="71">
        <f>1/100*'Berekening trap 1'!T153*INVOER!$W$19*1000</f>
        <v>0.15331680042469328</v>
      </c>
      <c r="T153">
        <f>IF(INVOER!$T$36=1,1/100*N153*INVOER!$W$20*1000,1/100*O153*INVOER!$W$20*1000)</f>
        <v>5.0591757046093739E-6</v>
      </c>
      <c r="X153" s="6"/>
      <c r="Y153" s="6"/>
      <c r="Z153" s="6"/>
      <c r="AA153" s="6"/>
      <c r="AB153" s="6"/>
      <c r="AC153" s="6"/>
      <c r="AD153" s="6"/>
      <c r="AE153" s="6"/>
      <c r="AF153" s="6"/>
    </row>
    <row r="154" spans="1:32" x14ac:dyDescent="0.2">
      <c r="A154" s="283">
        <f>'Berekening trap 1'!A154</f>
        <v>14.901865906976735</v>
      </c>
      <c r="B154" s="6">
        <f t="shared" si="28"/>
        <v>14.554038241864195</v>
      </c>
      <c r="C154" s="169">
        <f t="shared" si="27"/>
        <v>21.145290581871642</v>
      </c>
      <c r="D154" s="202">
        <f t="shared" ref="D154:D185" si="30">IF(C154-$K$35&gt;0,EXP(-(((C154-$K$35)/$K$37)^$K$39)),1)</f>
        <v>3.3248275726083989E-3</v>
      </c>
      <c r="E154" s="199">
        <f t="shared" si="26"/>
        <v>5.04892521660025E-3</v>
      </c>
      <c r="F154" s="43">
        <f t="shared" si="20"/>
        <v>3.3248275726083989E-3</v>
      </c>
      <c r="G154" s="156">
        <f t="shared" si="20"/>
        <v>5.04892521660025E-3</v>
      </c>
      <c r="H154" s="171">
        <f t="shared" si="29"/>
        <v>5.04892521660025E-3</v>
      </c>
      <c r="I154" s="181">
        <f t="shared" si="23"/>
        <v>5.04892521660025E-3</v>
      </c>
      <c r="J154" s="332">
        <f>IF(INVOER!$T$36=1,100-H154*100,100-I154*100)</f>
        <v>99.495107478339975</v>
      </c>
      <c r="K154" s="335">
        <f>IF('Berekening trap 1'!$B$64=1,'Berekening trap 1'!U154,'Berekening trap 1'!V154)</f>
        <v>2.538718111737258E-3</v>
      </c>
      <c r="L154" s="327">
        <f t="shared" si="21"/>
        <v>0.28992894231928296</v>
      </c>
      <c r="M154" s="327">
        <f t="shared" si="24"/>
        <v>1.3694610740559552</v>
      </c>
      <c r="N154" s="220">
        <f>'Berekening trap 2'!H154*$L154</f>
        <v>1.463829547898067E-3</v>
      </c>
      <c r="O154" s="245">
        <f>'Berekening trap 2'!I154*$L154</f>
        <v>1.463829547898067E-3</v>
      </c>
      <c r="Q154" s="55">
        <f t="shared" si="22"/>
        <v>99.997682194305028</v>
      </c>
      <c r="R154">
        <f t="shared" si="25"/>
        <v>14.554038241864195</v>
      </c>
      <c r="S154" s="71">
        <f>1/100*'Berekening trap 1'!T154*INVOER!$W$19*1000</f>
        <v>0.15922053788970814</v>
      </c>
      <c r="T154">
        <f>IF(INVOER!$T$36=1,1/100*N154*INVOER!$W$20*1000,1/100*O154*INVOER!$W$20*1000)</f>
        <v>3.6904226947792439E-6</v>
      </c>
      <c r="X154" s="6"/>
      <c r="Y154" s="6"/>
      <c r="Z154" s="6"/>
      <c r="AA154" s="6"/>
      <c r="AB154" s="6"/>
      <c r="AC154" s="6"/>
      <c r="AD154" s="6"/>
      <c r="AE154" s="6"/>
      <c r="AF154" s="6"/>
    </row>
    <row r="155" spans="1:32" x14ac:dyDescent="0.2">
      <c r="A155" s="283">
        <f>'Berekening trap 1'!A155</f>
        <v>15.631586362159382</v>
      </c>
      <c r="B155" s="6">
        <f t="shared" si="28"/>
        <v>15.266726134568058</v>
      </c>
      <c r="C155" s="169">
        <f t="shared" si="27"/>
        <v>22.180741522357469</v>
      </c>
      <c r="D155" s="202">
        <f t="shared" si="30"/>
        <v>2.6956418676483563E-3</v>
      </c>
      <c r="E155" s="199">
        <f t="shared" si="26"/>
        <v>4.2126262143718958E-3</v>
      </c>
      <c r="F155" s="43">
        <f t="shared" si="20"/>
        <v>2.6956418676483563E-3</v>
      </c>
      <c r="G155" s="156">
        <f t="shared" si="20"/>
        <v>4.2126262143718958E-3</v>
      </c>
      <c r="H155" s="171">
        <f t="shared" si="29"/>
        <v>4.2126262143718958E-3</v>
      </c>
      <c r="I155" s="181">
        <f t="shared" si="23"/>
        <v>4.2126262143718958E-3</v>
      </c>
      <c r="J155" s="332">
        <f>IF(INVOER!$T$36=1,100-H155*100,100-I155*100)</f>
        <v>99.578737378562806</v>
      </c>
      <c r="K155" s="335">
        <f>IF('Berekening trap 1'!$B$64=1,'Berekening trap 1'!U155,'Berekening trap 1'!V155)</f>
        <v>2.0051625041619058E-3</v>
      </c>
      <c r="L155" s="327">
        <f t="shared" si="21"/>
        <v>0.22899535057561871</v>
      </c>
      <c r="M155" s="327">
        <f t="shared" si="24"/>
        <v>1.1404657234803364</v>
      </c>
      <c r="N155" s="220">
        <f>'Berekening trap 2'!H155*$L155</f>
        <v>9.6467181680413372E-4</v>
      </c>
      <c r="O155" s="245">
        <f>'Berekening trap 2'!I155*$L155</f>
        <v>9.6467181680413372E-4</v>
      </c>
      <c r="Q155" s="55">
        <f t="shared" si="22"/>
        <v>99.998391675514327</v>
      </c>
      <c r="R155">
        <f t="shared" si="25"/>
        <v>15.266726134568058</v>
      </c>
      <c r="S155" s="71">
        <f>1/100*'Berekening trap 1'!T155*INVOER!$W$19*1000</f>
        <v>0.15121383222059948</v>
      </c>
      <c r="T155">
        <f>IF(INVOER!$T$36=1,1/100*N155*INVOER!$W$20*1000,1/100*O155*INVOER!$W$20*1000)</f>
        <v>2.4320090893504785E-6</v>
      </c>
      <c r="X155" s="6"/>
      <c r="Y155" s="6"/>
      <c r="Z155" s="6"/>
      <c r="AA155" s="6"/>
      <c r="AB155" s="6"/>
      <c r="AC155" s="6"/>
      <c r="AD155" s="6"/>
      <c r="AE155" s="6"/>
      <c r="AF155" s="6"/>
    </row>
    <row r="156" spans="1:32" x14ac:dyDescent="0.2">
      <c r="A156" s="284">
        <f>'Berekening trap 1'!A156</f>
        <v>16.397040056792445</v>
      </c>
      <c r="B156" s="46">
        <f t="shared" si="28"/>
        <v>16.014313209475915</v>
      </c>
      <c r="C156" s="184">
        <f t="shared" si="27"/>
        <v>23.266896833445429</v>
      </c>
      <c r="D156" s="203">
        <f t="shared" si="30"/>
        <v>2.1692831185307422E-3</v>
      </c>
      <c r="E156" s="168">
        <f t="shared" si="26"/>
        <v>3.4929722818295814E-3</v>
      </c>
      <c r="F156" s="45">
        <f t="shared" si="20"/>
        <v>2.1692831185307422E-3</v>
      </c>
      <c r="G156" s="185">
        <f t="shared" si="20"/>
        <v>3.4929722818295814E-3</v>
      </c>
      <c r="H156" s="172">
        <f t="shared" si="29"/>
        <v>3.4929722818295814E-3</v>
      </c>
      <c r="I156" s="243">
        <f t="shared" si="23"/>
        <v>3.4929722818295814E-3</v>
      </c>
      <c r="J156" s="333">
        <f>IF(INVOER!$T$36=1,100-H156*100,100-I156*100)</f>
        <v>99.650702771817038</v>
      </c>
      <c r="K156" s="335">
        <f>IF('Berekening trap 1'!$B$64=1,'Berekening trap 1'!U156,'Berekening trap 1'!V156)</f>
        <v>1.4806182780444897E-3</v>
      </c>
      <c r="L156" s="327">
        <f t="shared" si="21"/>
        <v>0.16909088462692001</v>
      </c>
      <c r="M156" s="327">
        <f t="shared" si="24"/>
        <v>0.97137483885341636</v>
      </c>
      <c r="N156" s="220">
        <f>'Berekening trap 2'!H156*$L156</f>
        <v>5.9062977311187526E-4</v>
      </c>
      <c r="O156" s="245">
        <f>'Berekening trap 2'!I156*$L156</f>
        <v>5.9062977311187526E-4</v>
      </c>
      <c r="Q156" s="55">
        <f t="shared" si="22"/>
        <v>99.998897958221633</v>
      </c>
      <c r="R156">
        <f t="shared" si="25"/>
        <v>16.014313209475915</v>
      </c>
      <c r="S156" s="71">
        <f>1/100*'Berekening trap 1'!T156*INVOER!$W$19*1000</f>
        <v>0.13511478662399115</v>
      </c>
      <c r="T156">
        <f>IF(INVOER!$T$36=1,1/100*N156*INVOER!$W$20*1000,1/100*O156*INVOER!$W$20*1000)</f>
        <v>1.489021397357502E-6</v>
      </c>
      <c r="X156" s="6"/>
      <c r="Y156" s="6"/>
      <c r="Z156" s="6"/>
      <c r="AA156" s="6"/>
      <c r="AB156" s="6"/>
      <c r="AC156" s="6"/>
      <c r="AD156" s="6"/>
      <c r="AE156" s="6"/>
      <c r="AF156" s="6"/>
    </row>
    <row r="157" spans="1:32" x14ac:dyDescent="0.2">
      <c r="A157" s="283">
        <f>'Berekening trap 1'!A157</f>
        <v>17.19997679025807</v>
      </c>
      <c r="B157" s="6">
        <f t="shared" si="28"/>
        <v>16.798508423525256</v>
      </c>
      <c r="C157" s="169">
        <f t="shared" si="27"/>
        <v>24.406239426780704</v>
      </c>
      <c r="D157" s="202">
        <f t="shared" si="30"/>
        <v>1.7322664602813719E-3</v>
      </c>
      <c r="E157" s="199">
        <f t="shared" si="26"/>
        <v>2.8776126511653078E-3</v>
      </c>
      <c r="F157" s="43">
        <f t="shared" si="20"/>
        <v>1.7322664602813719E-3</v>
      </c>
      <c r="G157" s="156">
        <f t="shared" si="20"/>
        <v>2.8776126511653078E-3</v>
      </c>
      <c r="H157" s="171">
        <f t="shared" si="29"/>
        <v>2.8776126511653078E-3</v>
      </c>
      <c r="I157" s="181">
        <f t="shared" si="23"/>
        <v>2.8776126511653078E-3</v>
      </c>
      <c r="J157" s="332">
        <f>IF(INVOER!$T$36=1,100-H157*100,100-I157*100)</f>
        <v>99.712238734883471</v>
      </c>
      <c r="K157" s="343">
        <f>IF('Berekening trap 1'!$B$64=1,'Berekening trap 1'!U157,'Berekening trap 1'!V157)</f>
        <v>1.2625779251431363E-3</v>
      </c>
      <c r="L157" s="328">
        <f t="shared" si="21"/>
        <v>0.14419004644116593</v>
      </c>
      <c r="M157" s="328">
        <f t="shared" si="24"/>
        <v>0.8271847924122504</v>
      </c>
      <c r="N157" s="222">
        <f>'Berekening trap 2'!H157*$L157</f>
        <v>4.1492310181121233E-4</v>
      </c>
      <c r="O157" s="244">
        <f>'Berekening trap 2'!I157*$L157</f>
        <v>4.1492310181121233E-4</v>
      </c>
      <c r="Q157" s="55">
        <f t="shared" si="22"/>
        <v>99.999254646975146</v>
      </c>
      <c r="R157">
        <f t="shared" si="25"/>
        <v>16.798508423525256</v>
      </c>
      <c r="S157" s="71">
        <f>1/100*'Berekening trap 1'!T157*INVOER!$W$19*1000</f>
        <v>0.14034314373222614</v>
      </c>
      <c r="T157">
        <f>IF(INVOER!$T$36=1,1/100*N157*INVOER!$W$20*1000,1/100*O157*INVOER!$W$20*1000)</f>
        <v>1.0460518669752417E-6</v>
      </c>
      <c r="X157" s="6"/>
      <c r="Y157" s="6"/>
      <c r="Z157" s="6"/>
      <c r="AA157" s="6"/>
      <c r="AB157" s="6"/>
      <c r="AC157" s="6"/>
      <c r="AD157" s="6"/>
      <c r="AE157" s="6"/>
      <c r="AF157" s="6"/>
    </row>
    <row r="158" spans="1:32" x14ac:dyDescent="0.2">
      <c r="A158" s="283">
        <f>'Berekening trap 1'!A158</f>
        <v>18.042232046805633</v>
      </c>
      <c r="B158" s="6">
        <f t="shared" si="28"/>
        <v>17.62110441853185</v>
      </c>
      <c r="C158" s="169">
        <f t="shared" si="27"/>
        <v>25.601373798206563</v>
      </c>
      <c r="D158" s="202">
        <f t="shared" si="30"/>
        <v>1.3722613746145066E-3</v>
      </c>
      <c r="E158" s="199">
        <f t="shared" si="26"/>
        <v>2.3548760709332915E-3</v>
      </c>
      <c r="F158" s="43">
        <f t="shared" si="20"/>
        <v>1.3722613746145066E-3</v>
      </c>
      <c r="G158" s="156">
        <f t="shared" si="20"/>
        <v>2.3548760709332915E-3</v>
      </c>
      <c r="H158" s="171">
        <f t="shared" si="29"/>
        <v>2.3548760709332915E-3</v>
      </c>
      <c r="I158" s="181">
        <f t="shared" si="23"/>
        <v>2.3548760709332915E-3</v>
      </c>
      <c r="J158" s="332">
        <f>IF(INVOER!$T$36=1,100-H158*100,100-I158*100)</f>
        <v>99.764512392906667</v>
      </c>
      <c r="K158" s="335">
        <f>IF('Berekening trap 1'!$B$64=1,'Berekening trap 1'!U158,'Berekening trap 1'!V158)</f>
        <v>1.4740381933691564E-3</v>
      </c>
      <c r="L158" s="327">
        <f t="shared" si="21"/>
        <v>0.1683394199481632</v>
      </c>
      <c r="M158" s="327">
        <f t="shared" si="24"/>
        <v>0.65884537246408725</v>
      </c>
      <c r="N158" s="220">
        <f>'Berekening trap 2'!H158*$L158</f>
        <v>3.9641847183071989E-4</v>
      </c>
      <c r="O158" s="245">
        <f>'Berekening trap 2'!I158*$L158</f>
        <v>3.9641847183071989E-4</v>
      </c>
      <c r="Q158" s="55">
        <f t="shared" si="22"/>
        <v>99.999502639933439</v>
      </c>
      <c r="R158">
        <f t="shared" si="25"/>
        <v>17.62110441853185</v>
      </c>
      <c r="S158" s="71">
        <f>1/100*'Berekening trap 1'!T158*INVOER!$W$19*1000</f>
        <v>0.20094100665289216</v>
      </c>
      <c r="T158">
        <f>IF(INVOER!$T$36=1,1/100*N158*INVOER!$W$20*1000,1/100*O158*INVOER!$W$20*1000)</f>
        <v>9.9940032442606988E-7</v>
      </c>
      <c r="X158" s="6"/>
      <c r="Y158" s="6"/>
      <c r="Z158" s="6"/>
      <c r="AA158" s="6"/>
      <c r="AB158" s="6"/>
      <c r="AC158" s="6"/>
      <c r="AD158" s="6"/>
      <c r="AE158" s="6"/>
      <c r="AF158" s="6"/>
    </row>
    <row r="159" spans="1:32" x14ac:dyDescent="0.2">
      <c r="A159" s="283">
        <f>'Berekening trap 1'!A159</f>
        <v>18.92573119140215</v>
      </c>
      <c r="B159" s="6">
        <f t="shared" si="28"/>
        <v>18.483981619103893</v>
      </c>
      <c r="C159" s="169">
        <f t="shared" si="27"/>
        <v>26.855031981547349</v>
      </c>
      <c r="D159" s="202">
        <f t="shared" si="30"/>
        <v>1.078096427604714E-3</v>
      </c>
      <c r="E159" s="199">
        <f t="shared" si="26"/>
        <v>1.9138263641630755E-3</v>
      </c>
      <c r="F159" s="43">
        <f t="shared" si="20"/>
        <v>1.078096427604714E-3</v>
      </c>
      <c r="G159" s="156">
        <f t="shared" si="20"/>
        <v>1.9138263641630755E-3</v>
      </c>
      <c r="H159" s="171">
        <f t="shared" si="29"/>
        <v>1.9138263641630755E-3</v>
      </c>
      <c r="I159" s="181">
        <f t="shared" si="23"/>
        <v>1.9138263641630755E-3</v>
      </c>
      <c r="J159" s="332">
        <f>IF(INVOER!$T$36=1,100-H159*100,100-I159*100)</f>
        <v>99.808617363583693</v>
      </c>
      <c r="K159" s="335">
        <f>IF('Berekening trap 1'!$B$64=1,'Berekening trap 1'!U159,'Berekening trap 1'!V159)</f>
        <v>1.4538214381674987E-3</v>
      </c>
      <c r="L159" s="327">
        <f t="shared" si="21"/>
        <v>0.16603060810109543</v>
      </c>
      <c r="M159" s="327">
        <f t="shared" si="24"/>
        <v>0.49281476436299182</v>
      </c>
      <c r="N159" s="220">
        <f>'Berekening trap 2'!H159*$L159</f>
        <v>3.1775375504190394E-4</v>
      </c>
      <c r="O159" s="245">
        <f>'Berekening trap 2'!I159*$L159</f>
        <v>3.1775375504190394E-4</v>
      </c>
      <c r="Q159" s="55">
        <f t="shared" si="22"/>
        <v>99.999672717034073</v>
      </c>
      <c r="R159">
        <f t="shared" si="25"/>
        <v>18.483981619103893</v>
      </c>
      <c r="S159" s="71">
        <f>1/100*'Berekening trap 1'!T159*INVOER!$W$19*1000</f>
        <v>0.24476701548119847</v>
      </c>
      <c r="T159">
        <f>IF(INVOER!$T$36=1,1/100*N159*INVOER!$W$20*1000,1/100*O159*INVOER!$W$20*1000)</f>
        <v>8.0108074785195112E-7</v>
      </c>
      <c r="X159" s="6"/>
      <c r="Y159" s="6"/>
      <c r="Z159" s="6"/>
      <c r="AA159" s="6"/>
      <c r="AB159" s="6"/>
      <c r="AC159" s="6"/>
      <c r="AD159" s="6"/>
      <c r="AE159" s="6"/>
      <c r="AF159" s="6"/>
    </row>
    <row r="160" spans="1:32" x14ac:dyDescent="0.2">
      <c r="A160" s="283">
        <f>'Berekening trap 1'!A160</f>
        <v>19.852493871046757</v>
      </c>
      <c r="B160" s="6">
        <f t="shared" si="28"/>
        <v>19.389112531224455</v>
      </c>
      <c r="C160" s="169">
        <f t="shared" si="27"/>
        <v>28.170079793938719</v>
      </c>
      <c r="D160" s="202">
        <f t="shared" si="30"/>
        <v>8.3974507260172718E-4</v>
      </c>
      <c r="E160" s="199">
        <f t="shared" si="26"/>
        <v>1.5443031417837201E-3</v>
      </c>
      <c r="F160" s="43">
        <f t="shared" si="20"/>
        <v>8.3974507260172718E-4</v>
      </c>
      <c r="G160" s="156">
        <f t="shared" si="20"/>
        <v>1.5443031417837201E-3</v>
      </c>
      <c r="H160" s="171">
        <f t="shared" si="29"/>
        <v>1.5443031417837201E-3</v>
      </c>
      <c r="I160" s="181">
        <f t="shared" si="23"/>
        <v>1.5443031417837201E-3</v>
      </c>
      <c r="J160" s="332">
        <f>IF(INVOER!$T$36=1,100-H160*100,100-I160*100)</f>
        <v>99.84556968582163</v>
      </c>
      <c r="K160" s="335">
        <f>IF('Berekening trap 1'!$B$64=1,'Berekening trap 1'!U160,'Berekening trap 1'!V160)</f>
        <v>8.7553956246075087E-4</v>
      </c>
      <c r="L160" s="327">
        <f t="shared" si="21"/>
        <v>9.9989147329644382E-2</v>
      </c>
      <c r="M160" s="327">
        <f t="shared" si="24"/>
        <v>0.39282561703334745</v>
      </c>
      <c r="N160" s="220">
        <f>'Berekening trap 2'!H160*$L160</f>
        <v>1.544135543654451E-4</v>
      </c>
      <c r="O160" s="245">
        <f>'Berekening trap 2'!I160*$L160</f>
        <v>1.544135543654451E-4</v>
      </c>
      <c r="Q160" s="55">
        <f t="shared" si="22"/>
        <v>99.999787718954536</v>
      </c>
      <c r="R160">
        <f t="shared" si="25"/>
        <v>19.389112531224455</v>
      </c>
      <c r="S160" s="71">
        <f>1/100*'Berekening trap 1'!T160*INVOER!$W$19*1000</f>
        <v>0.18338330908639291</v>
      </c>
      <c r="T160">
        <f>IF(INVOER!$T$36=1,1/100*N160*INVOER!$W$20*1000,1/100*O160*INVOER!$W$20*1000)</f>
        <v>3.8928800571762233E-7</v>
      </c>
      <c r="X160" s="6"/>
      <c r="Y160" s="6"/>
      <c r="Z160" s="6"/>
      <c r="AA160" s="6"/>
      <c r="AB160" s="6"/>
      <c r="AC160" s="6"/>
      <c r="AD160" s="6"/>
      <c r="AE160" s="6"/>
      <c r="AF160" s="6"/>
    </row>
    <row r="161" spans="1:32" x14ac:dyDescent="0.2">
      <c r="A161" s="283">
        <f>'Berekening trap 1'!A161</f>
        <v>20.824638631610505</v>
      </c>
      <c r="B161" s="46">
        <f t="shared" si="28"/>
        <v>20.338566251328629</v>
      </c>
      <c r="C161" s="184">
        <f t="shared" si="27"/>
        <v>29.549523386981676</v>
      </c>
      <c r="D161" s="203">
        <f t="shared" si="30"/>
        <v>6.4829434974918729E-4</v>
      </c>
      <c r="E161" s="168">
        <f t="shared" si="26"/>
        <v>1.2369477701847987E-3</v>
      </c>
      <c r="F161" s="45">
        <f t="shared" si="20"/>
        <v>6.4829434974918729E-4</v>
      </c>
      <c r="G161" s="185">
        <f t="shared" si="20"/>
        <v>1.2369477701847987E-3</v>
      </c>
      <c r="H161" s="172">
        <f t="shared" si="29"/>
        <v>1.2369477701847987E-3</v>
      </c>
      <c r="I161" s="243">
        <f t="shared" si="23"/>
        <v>1.2369477701847987E-3</v>
      </c>
      <c r="J161" s="332">
        <f>IF(INVOER!$T$36=1,100-H161*100,100-I161*100)</f>
        <v>99.876305222981514</v>
      </c>
      <c r="K161" s="336">
        <f>IF('Berekening trap 1'!$B$64=1,'Berekening trap 1'!U161,'Berekening trap 1'!V161)</f>
        <v>7.125036337802045E-4</v>
      </c>
      <c r="L161" s="329">
        <f t="shared" si="21"/>
        <v>8.1369973289070585E-2</v>
      </c>
      <c r="M161" s="329">
        <f t="shared" si="24"/>
        <v>0.31145564374427687</v>
      </c>
      <c r="N161" s="223">
        <f>'Berekening trap 2'!H161*$L161</f>
        <v>1.0065040701991249E-4</v>
      </c>
      <c r="O161" s="246">
        <f>'Berekening trap 2'!I161*$L161</f>
        <v>1.0065040701991249E-4</v>
      </c>
      <c r="Q161" s="55">
        <f t="shared" si="22"/>
        <v>99.999864350273995</v>
      </c>
      <c r="R161">
        <f t="shared" si="25"/>
        <v>20.338566251328629</v>
      </c>
      <c r="S161" s="71">
        <f>1/100*'Berekening trap 1'!T161*INVOER!$W$19*1000</f>
        <v>0.18706055462038529</v>
      </c>
      <c r="T161">
        <f>IF(INVOER!$T$36=1,1/100*N161*INVOER!$W$20*1000,1/100*O161*INVOER!$W$20*1000)</f>
        <v>2.53747129806481E-7</v>
      </c>
      <c r="X161" s="6"/>
      <c r="Y161" s="6"/>
      <c r="Z161" s="6"/>
      <c r="AA161" s="6"/>
      <c r="AB161" s="6"/>
      <c r="AC161" s="6"/>
      <c r="AD161" s="6"/>
      <c r="AE161" s="6"/>
      <c r="AF161" s="6"/>
    </row>
    <row r="162" spans="1:32" x14ac:dyDescent="0.2">
      <c r="A162" s="282">
        <f>'Berekening trap 1'!A162</f>
        <v>21.84438776075536</v>
      </c>
      <c r="B162" s="6">
        <f t="shared" si="28"/>
        <v>21.334513196182932</v>
      </c>
      <c r="C162" s="169">
        <f t="shared" si="27"/>
        <v>30.996516118696118</v>
      </c>
      <c r="D162" s="202">
        <f t="shared" si="30"/>
        <v>4.9589867019724702E-4</v>
      </c>
      <c r="E162" s="199">
        <f t="shared" si="26"/>
        <v>9.8321505239423431E-4</v>
      </c>
      <c r="F162" s="43">
        <f t="shared" si="20"/>
        <v>4.9589867019724702E-4</v>
      </c>
      <c r="G162" s="156">
        <f t="shared" si="20"/>
        <v>9.8321505239423431E-4</v>
      </c>
      <c r="H162" s="171">
        <f t="shared" si="29"/>
        <v>9.8321505239423431E-4</v>
      </c>
      <c r="I162" s="181">
        <f t="shared" si="23"/>
        <v>9.8321505239423431E-4</v>
      </c>
      <c r="J162" s="331">
        <f>IF(INVOER!$T$36=1,100-H162*100,100-I162*100)</f>
        <v>99.901678494760574</v>
      </c>
      <c r="K162" s="335">
        <f>IF('Berekening trap 1'!$B$64=1,'Berekening trap 1'!U162,'Berekening trap 1'!V162)</f>
        <v>5.9334979378608446E-4</v>
      </c>
      <c r="L162" s="327">
        <f t="shared" si="21"/>
        <v>6.7762260544965966E-2</v>
      </c>
      <c r="M162" s="327">
        <f t="shared" si="24"/>
        <v>0.24369338319931089</v>
      </c>
      <c r="N162" s="220">
        <f>'Berekening trap 2'!H162*$L162</f>
        <v>6.6624874552070469E-5</v>
      </c>
      <c r="O162" s="245">
        <f>'Berekening trap 2'!I162*$L162</f>
        <v>6.6624874552070469E-5</v>
      </c>
      <c r="Q162" s="55">
        <f t="shared" si="22"/>
        <v>99.999914646043436</v>
      </c>
      <c r="R162">
        <f t="shared" si="25"/>
        <v>21.334513196182932</v>
      </c>
      <c r="S162" s="71">
        <f>1/100*'Berekening trap 1'!T162*INVOER!$W$19*1000</f>
        <v>0.1967878812639923</v>
      </c>
      <c r="T162">
        <f>IF(INVOER!$T$36=1,1/100*N162*INVOER!$W$20*1000,1/100*O162*INVOER!$W$20*1000)</f>
        <v>1.6796624267957616E-7</v>
      </c>
      <c r="X162" s="6"/>
      <c r="Y162" s="6"/>
      <c r="Z162" s="6"/>
      <c r="AA162" s="6"/>
      <c r="AB162" s="6"/>
      <c r="AC162" s="6"/>
      <c r="AD162" s="6"/>
      <c r="AE162" s="6"/>
      <c r="AF162" s="6"/>
    </row>
    <row r="163" spans="1:32" x14ac:dyDescent="0.2">
      <c r="A163" s="283">
        <f>'Berekening trap 1'!A163</f>
        <v>22.914072368003218</v>
      </c>
      <c r="B163" s="6">
        <f t="shared" si="28"/>
        <v>22.379230064379289</v>
      </c>
      <c r="C163" s="169">
        <f t="shared" si="27"/>
        <v>32.514365761982837</v>
      </c>
      <c r="D163" s="202">
        <f t="shared" si="30"/>
        <v>3.7572113656352181E-4</v>
      </c>
      <c r="E163" s="199">
        <f t="shared" si="26"/>
        <v>7.7537141891392532E-4</v>
      </c>
      <c r="F163" s="43">
        <f t="shared" si="20"/>
        <v>3.7572113656352181E-4</v>
      </c>
      <c r="G163" s="156">
        <f t="shared" si="20"/>
        <v>7.7537141891392532E-4</v>
      </c>
      <c r="H163" s="171">
        <f t="shared" si="29"/>
        <v>7.7537141891392532E-4</v>
      </c>
      <c r="I163" s="181">
        <f t="shared" si="23"/>
        <v>7.7537141891392532E-4</v>
      </c>
      <c r="J163" s="332">
        <f>IF(INVOER!$T$36=1,100-H163*100,100-I163*100)</f>
        <v>99.922462858108602</v>
      </c>
      <c r="K163" s="335">
        <f>IF('Berekening trap 1'!$B$64=1,'Berekening trap 1'!U163,'Berekening trap 1'!V163)</f>
        <v>4.8816843780834874E-4</v>
      </c>
      <c r="L163" s="327">
        <f t="shared" si="21"/>
        <v>5.5750245839849721E-2</v>
      </c>
      <c r="M163" s="327">
        <f t="shared" si="24"/>
        <v>0.18794313735946117</v>
      </c>
      <c r="N163" s="220">
        <f>'Berekening trap 2'!H163*$L163</f>
        <v>4.322714722164444E-5</v>
      </c>
      <c r="O163" s="245">
        <f>'Berekening trap 2'!I163*$L163</f>
        <v>4.322714722164444E-5</v>
      </c>
      <c r="Q163" s="55">
        <f t="shared" si="22"/>
        <v>99.999947143925866</v>
      </c>
      <c r="R163">
        <f t="shared" si="25"/>
        <v>22.379230064379289</v>
      </c>
      <c r="S163" s="71">
        <f>1/100*'Berekening trap 1'!T163*INVOER!$W$19*1000</f>
        <v>0.20618035126353437</v>
      </c>
      <c r="T163">
        <f>IF(INVOER!$T$36=1,1/100*N163*INVOER!$W$20*1000,1/100*O163*INVOER!$W$20*1000)</f>
        <v>1.0897883935078807E-7</v>
      </c>
      <c r="X163" s="6"/>
      <c r="Y163" s="6"/>
      <c r="Z163" s="6"/>
      <c r="AA163" s="6"/>
      <c r="AB163" s="6"/>
      <c r="AC163" s="6"/>
      <c r="AD163" s="6"/>
      <c r="AE163" s="6"/>
      <c r="AF163" s="6"/>
    </row>
    <row r="164" spans="1:32" x14ac:dyDescent="0.2">
      <c r="A164" s="283">
        <f>'Berekening trap 1'!A164</f>
        <v>24.036137713567701</v>
      </c>
      <c r="B164" s="6">
        <f t="shared" si="28"/>
        <v>23.475105040785458</v>
      </c>
      <c r="C164" s="169">
        <f t="shared" si="27"/>
        <v>34.10654206607245</v>
      </c>
      <c r="D164" s="202">
        <f t="shared" si="30"/>
        <v>2.8186501351036157E-4</v>
      </c>
      <c r="E164" s="199">
        <f t="shared" si="26"/>
        <v>6.0648072451624632E-4</v>
      </c>
      <c r="F164" s="43">
        <f t="shared" si="20"/>
        <v>2.8186501351036157E-4</v>
      </c>
      <c r="G164" s="156">
        <f t="shared" si="20"/>
        <v>6.0648072451624632E-4</v>
      </c>
      <c r="H164" s="171">
        <f t="shared" si="29"/>
        <v>6.0648072451624632E-4</v>
      </c>
      <c r="I164" s="181">
        <f t="shared" si="23"/>
        <v>6.0648072451624632E-4</v>
      </c>
      <c r="J164" s="332">
        <f>IF(INVOER!$T$36=1,100-H164*100,100-I164*100)</f>
        <v>99.939351927548373</v>
      </c>
      <c r="K164" s="335">
        <f>IF('Berekening trap 1'!$B$64=1,'Berekening trap 1'!U164,'Berekening trap 1'!V164)</f>
        <v>3.8299135161173762E-4</v>
      </c>
      <c r="L164" s="327">
        <f t="shared" si="21"/>
        <v>4.3738718756072624E-2</v>
      </c>
      <c r="M164" s="327">
        <f t="shared" si="24"/>
        <v>0.14420441860338853</v>
      </c>
      <c r="N164" s="220">
        <f>'Berekening trap 2'!H164*$L164</f>
        <v>2.6526689840595258E-5</v>
      </c>
      <c r="O164" s="245">
        <f>'Berekening trap 2'!I164*$L164</f>
        <v>2.6526689840595258E-5</v>
      </c>
      <c r="Q164" s="55">
        <f t="shared" si="22"/>
        <v>99.999967804572336</v>
      </c>
      <c r="R164">
        <f t="shared" si="25"/>
        <v>23.475105040785458</v>
      </c>
      <c r="S164" s="71">
        <f>1/100*'Berekening trap 1'!T164*INVOER!$W$19*1000</f>
        <v>0.20771815867991583</v>
      </c>
      <c r="T164">
        <f>IF(INVOER!$T$36=1,1/100*N164*INVOER!$W$20*1000,1/100*O164*INVOER!$W$20*1000)</f>
        <v>6.6875749533592269E-8</v>
      </c>
      <c r="X164" s="6"/>
      <c r="Y164" s="6"/>
      <c r="Z164" s="6"/>
      <c r="AA164" s="6"/>
      <c r="AB164" s="6"/>
      <c r="AC164" s="6"/>
      <c r="AD164" s="6"/>
      <c r="AE164" s="6"/>
      <c r="AF164" s="6"/>
    </row>
    <row r="165" spans="1:32" x14ac:dyDescent="0.2">
      <c r="A165" s="283">
        <f>'Berekening trap 1'!A165</f>
        <v>25.21314879813032</v>
      </c>
      <c r="B165" s="6">
        <f t="shared" si="28"/>
        <v>24.624643255849008</v>
      </c>
      <c r="C165" s="169">
        <f t="shared" si="27"/>
        <v>35.776684688246249</v>
      </c>
      <c r="D165" s="202">
        <f t="shared" si="30"/>
        <v>2.0929802075515125E-4</v>
      </c>
      <c r="E165" s="199">
        <f t="shared" si="26"/>
        <v>4.7037900061065881E-4</v>
      </c>
      <c r="F165" s="43">
        <f t="shared" si="20"/>
        <v>2.0929802075515125E-4</v>
      </c>
      <c r="G165" s="156">
        <f t="shared" si="20"/>
        <v>4.7037900061065881E-4</v>
      </c>
      <c r="H165" s="171">
        <f t="shared" si="29"/>
        <v>4.7037900061065881E-4</v>
      </c>
      <c r="I165" s="181">
        <f t="shared" si="23"/>
        <v>4.7037900061065881E-4</v>
      </c>
      <c r="J165" s="332">
        <f>IF(INVOER!$T$36=1,100-H165*100,100-I165*100)</f>
        <v>99.952962099938929</v>
      </c>
      <c r="K165" s="335">
        <f>IF('Berekening trap 1'!$B$64=1,'Berekening trap 1'!U165,'Berekening trap 1'!V165)</f>
        <v>2.9547764536095607E-4</v>
      </c>
      <c r="L165" s="327">
        <f t="shared" si="21"/>
        <v>3.374440068884664E-2</v>
      </c>
      <c r="M165" s="327">
        <f t="shared" si="24"/>
        <v>0.11046001791454189</v>
      </c>
      <c r="N165" s="220">
        <f>'Berekening trap 2'!H165*$L165</f>
        <v>1.587265747222531E-5</v>
      </c>
      <c r="O165" s="245">
        <f>'Berekening trap 2'!I165*$L165</f>
        <v>1.587265747222531E-5</v>
      </c>
      <c r="Q165" s="55">
        <f t="shared" si="22"/>
        <v>99.99998072142732</v>
      </c>
      <c r="R165">
        <f t="shared" si="25"/>
        <v>24.624643255849008</v>
      </c>
      <c r="S165" s="71">
        <f>1/100*'Berekening trap 1'!T165*INVOER!$W$19*1000</f>
        <v>0.20756798563745751</v>
      </c>
      <c r="T165">
        <f>IF(INVOER!$T$36=1,1/100*N165*INVOER!$W$20*1000,1/100*O165*INVOER!$W$20*1000)</f>
        <v>4.0016144943971718E-8</v>
      </c>
      <c r="X165" s="6"/>
      <c r="Y165" s="6"/>
      <c r="Z165" s="6"/>
      <c r="AA165" s="6"/>
      <c r="AB165" s="6"/>
      <c r="AC165" s="6"/>
      <c r="AD165" s="6"/>
      <c r="AE165" s="6"/>
      <c r="AF165" s="6"/>
    </row>
    <row r="166" spans="1:32" x14ac:dyDescent="0.2">
      <c r="A166" s="284">
        <f>'Berekening trap 1'!A166</f>
        <v>26.447796226339001</v>
      </c>
      <c r="B166" s="46">
        <f t="shared" si="28"/>
        <v>25.83047251223466</v>
      </c>
      <c r="C166" s="184">
        <f t="shared" si="27"/>
        <v>37.528611513960769</v>
      </c>
      <c r="D166" s="203">
        <f t="shared" si="30"/>
        <v>1.5377207802174335E-4</v>
      </c>
      <c r="E166" s="168">
        <f t="shared" si="26"/>
        <v>3.6163971060996396E-4</v>
      </c>
      <c r="F166" s="45">
        <f t="shared" si="20"/>
        <v>1.5377207802174335E-4</v>
      </c>
      <c r="G166" s="185">
        <f t="shared" si="20"/>
        <v>3.6163971060996396E-4</v>
      </c>
      <c r="H166" s="172">
        <f t="shared" si="29"/>
        <v>3.6163971060996396E-4</v>
      </c>
      <c r="I166" s="243">
        <f t="shared" si="23"/>
        <v>3.6163971060996396E-4</v>
      </c>
      <c r="J166" s="333">
        <f>IF(INVOER!$T$36=1,100-H166*100,100-I166*100)</f>
        <v>99.963836028938999</v>
      </c>
      <c r="K166" s="335">
        <f>IF('Berekening trap 1'!$B$64=1,'Berekening trap 1'!U166,'Berekening trap 1'!V166)</f>
        <v>2.3291220578442308E-4</v>
      </c>
      <c r="L166" s="327">
        <f t="shared" si="21"/>
        <v>2.6599246747453661E-2</v>
      </c>
      <c r="M166" s="327">
        <f t="shared" si="24"/>
        <v>8.3860771167088233E-2</v>
      </c>
      <c r="N166" s="220">
        <f>'Berekening trap 2'!H166*$L166</f>
        <v>9.6193438961921667E-6</v>
      </c>
      <c r="O166" s="245">
        <f>'Berekening trap 2'!I166*$L166</f>
        <v>9.6193438961921667E-6</v>
      </c>
      <c r="Q166" s="55">
        <f t="shared" si="22"/>
        <v>99.999988658205311</v>
      </c>
      <c r="R166">
        <f t="shared" si="25"/>
        <v>25.83047251223466</v>
      </c>
      <c r="S166" s="71">
        <f>1/100*'Berekening trap 1'!T166*INVOER!$W$19*1000</f>
        <v>0.21382046667979818</v>
      </c>
      <c r="T166">
        <f>IF(INVOER!$T$36=1,1/100*N166*INVOER!$W$20*1000,1/100*O166*INVOER!$W$20*1000)</f>
        <v>2.425107832695952E-8</v>
      </c>
      <c r="X166" s="6"/>
      <c r="Y166" s="6"/>
      <c r="Z166" s="6"/>
      <c r="AA166" s="6"/>
      <c r="AB166" s="6"/>
      <c r="AC166" s="6"/>
      <c r="AD166" s="6"/>
      <c r="AE166" s="6"/>
      <c r="AF166" s="6"/>
    </row>
    <row r="167" spans="1:32" x14ac:dyDescent="0.2">
      <c r="A167" s="283">
        <f>'Berekening trap 1'!A167</f>
        <v>27.742902357432719</v>
      </c>
      <c r="B167" s="6">
        <f t="shared" si="28"/>
        <v>27.09534929188586</v>
      </c>
      <c r="C167" s="169">
        <f t="shared" si="27"/>
        <v>39.366327384395419</v>
      </c>
      <c r="D167" s="202">
        <f t="shared" si="30"/>
        <v>1.1174099509468315E-4</v>
      </c>
      <c r="E167" s="199">
        <f t="shared" si="26"/>
        <v>2.7553119213550003E-4</v>
      </c>
      <c r="F167" s="43">
        <f t="shared" si="20"/>
        <v>1.1174099509468315E-4</v>
      </c>
      <c r="G167" s="156">
        <f t="shared" si="20"/>
        <v>2.7553119213550003E-4</v>
      </c>
      <c r="H167" s="171">
        <f t="shared" si="29"/>
        <v>2.7553119213550003E-4</v>
      </c>
      <c r="I167" s="181">
        <f t="shared" si="23"/>
        <v>2.7553119213550003E-4</v>
      </c>
      <c r="J167" s="332">
        <f>IF(INVOER!$T$36=1,100-H167*100,100-I167*100)</f>
        <v>99.97244688078645</v>
      </c>
      <c r="K167" s="343">
        <f>IF('Berekening trap 1'!$B$64=1,'Berekening trap 1'!U167,'Berekening trap 1'!V167)</f>
        <v>1.7886990205218039E-4</v>
      </c>
      <c r="L167" s="328">
        <f t="shared" si="21"/>
        <v>2.0427459541482781E-2</v>
      </c>
      <c r="M167" s="328">
        <f t="shared" si="24"/>
        <v>6.3433311625605449E-2</v>
      </c>
      <c r="N167" s="222">
        <f>'Berekening trap 2'!H167*$L167</f>
        <v>5.6284022797644452E-6</v>
      </c>
      <c r="O167" s="244">
        <f>'Berekening trap 2'!I167*$L167</f>
        <v>5.6284022797644452E-6</v>
      </c>
      <c r="Q167" s="55">
        <f t="shared" si="22"/>
        <v>99.999993448345705</v>
      </c>
      <c r="R167">
        <f t="shared" si="25"/>
        <v>27.09534929188586</v>
      </c>
      <c r="S167" s="71">
        <f>1/100*'Berekening trap 1'!T167*INVOER!$W$19*1000</f>
        <v>0.21658070376395588</v>
      </c>
      <c r="T167">
        <f>IF(INVOER!$T$36=1,1/100*N167*INVOER!$W$20*1000,1/100*O167*INVOER!$W$20*1000)</f>
        <v>1.4189618961043361E-8</v>
      </c>
      <c r="X167" s="6"/>
      <c r="Y167" s="6"/>
      <c r="Z167" s="6"/>
      <c r="AA167" s="6"/>
      <c r="AB167" s="6"/>
      <c r="AC167" s="6"/>
      <c r="AD167" s="6"/>
      <c r="AE167" s="6"/>
      <c r="AF167" s="6"/>
    </row>
    <row r="168" spans="1:32" x14ac:dyDescent="0.2">
      <c r="A168" s="283">
        <f>'Berekening trap 1'!A168</f>
        <v>29.101427757052338</v>
      </c>
      <c r="B168" s="6">
        <f t="shared" si="28"/>
        <v>28.42216505724253</v>
      </c>
      <c r="C168" s="169">
        <f t="shared" si="27"/>
        <v>41.294033251374202</v>
      </c>
      <c r="D168" s="202">
        <f t="shared" si="30"/>
        <v>8.0278382526752698E-5</v>
      </c>
      <c r="E168" s="199">
        <f t="shared" si="26"/>
        <v>2.0796804190771195E-4</v>
      </c>
      <c r="F168" s="43">
        <f t="shared" si="20"/>
        <v>8.0278382526752698E-5</v>
      </c>
      <c r="G168" s="156">
        <f t="shared" si="20"/>
        <v>2.0796804190771195E-4</v>
      </c>
      <c r="H168" s="171">
        <f t="shared" si="29"/>
        <v>2.0796804190771195E-4</v>
      </c>
      <c r="I168" s="181">
        <f t="shared" si="23"/>
        <v>2.0796804190771195E-4</v>
      </c>
      <c r="J168" s="332">
        <f>IF(INVOER!$T$36=1,100-H168*100,100-I168*100)</f>
        <v>99.979203195809234</v>
      </c>
      <c r="K168" s="335">
        <f>IF('Berekening trap 1'!$B$64=1,'Berekening trap 1'!U168,'Berekening trap 1'!V168)</f>
        <v>1.3904826762559753E-4</v>
      </c>
      <c r="L168" s="327">
        <f t="shared" si="21"/>
        <v>1.5879713851503947E-2</v>
      </c>
      <c r="M168" s="327">
        <f t="shared" si="24"/>
        <v>4.7553597774101501E-2</v>
      </c>
      <c r="N168" s="220">
        <f>'Berekening trap 2'!H168*$L168</f>
        <v>3.3024729957520468E-6</v>
      </c>
      <c r="O168" s="245">
        <f>'Berekening trap 2'!I168*$L168</f>
        <v>3.3024729957520468E-6</v>
      </c>
      <c r="Q168" s="55">
        <f t="shared" si="22"/>
        <v>99.999996286277693</v>
      </c>
      <c r="R168">
        <f t="shared" si="25"/>
        <v>28.42216505724253</v>
      </c>
      <c r="S168" s="71">
        <f>1/100*'Berekening trap 1'!T168*INVOER!$W$19*1000</f>
        <v>0.22418959387102888</v>
      </c>
      <c r="T168">
        <f>IF(INVOER!$T$36=1,1/100*N168*INVOER!$W$20*1000,1/100*O168*INVOER!$W$20*1000)</f>
        <v>8.3257789883522848E-9</v>
      </c>
      <c r="X168" s="6"/>
      <c r="Y168" s="6"/>
      <c r="Z168" s="6"/>
      <c r="AA168" s="6"/>
      <c r="AB168" s="6"/>
      <c r="AC168" s="6"/>
      <c r="AD168" s="6"/>
      <c r="AE168" s="6"/>
      <c r="AF168" s="6"/>
    </row>
    <row r="169" spans="1:32" x14ac:dyDescent="0.2">
      <c r="A169" s="283">
        <f>'Berekening trap 1'!A169</f>
        <v>30.526477964986295</v>
      </c>
      <c r="B169" s="6">
        <f t="shared" si="28"/>
        <v>29.813952861019317</v>
      </c>
      <c r="C169" s="169">
        <f t="shared" si="27"/>
        <v>43.316135780589178</v>
      </c>
      <c r="D169" s="202">
        <f t="shared" si="30"/>
        <v>5.6997775627542421E-5</v>
      </c>
      <c r="E169" s="199">
        <f t="shared" si="26"/>
        <v>1.554582068751453E-4</v>
      </c>
      <c r="F169" s="43">
        <f t="shared" si="20"/>
        <v>5.6997775627542421E-5</v>
      </c>
      <c r="G169" s="156">
        <f t="shared" si="20"/>
        <v>1.554582068751453E-4</v>
      </c>
      <c r="H169" s="171">
        <f t="shared" si="29"/>
        <v>1.554582068751453E-4</v>
      </c>
      <c r="I169" s="181">
        <f t="shared" si="23"/>
        <v>1.554582068751453E-4</v>
      </c>
      <c r="J169" s="332">
        <f>IF(INVOER!$T$36=1,100-H169*100,100-I169*100)</f>
        <v>99.984454179312479</v>
      </c>
      <c r="K169" s="335">
        <f>IF('Berekening trap 1'!$B$64=1,'Berekening trap 1'!U169,'Berekening trap 1'!V169)</f>
        <v>1.1652088459660371E-4</v>
      </c>
      <c r="L169" s="327">
        <f t="shared" si="21"/>
        <v>1.330702163151261E-2</v>
      </c>
      <c r="M169" s="327">
        <f t="shared" si="24"/>
        <v>3.4246576142588893E-2</v>
      </c>
      <c r="N169" s="220">
        <f>'Berekening trap 2'!H169*$L169</f>
        <v>2.0686857216837207E-6</v>
      </c>
      <c r="O169" s="245">
        <f>'Berekening trap 2'!I169*$L169</f>
        <v>2.0686857216837207E-6</v>
      </c>
      <c r="Q169" s="55">
        <f t="shared" si="22"/>
        <v>99.999997935690899</v>
      </c>
      <c r="R169">
        <f t="shared" si="25"/>
        <v>29.813952861019317</v>
      </c>
      <c r="S169" s="71">
        <f>1/100*'Berekening trap 1'!T169*INVOER!$W$19*1000</f>
        <v>0.25264190865448394</v>
      </c>
      <c r="T169">
        <f>IF(INVOER!$T$36=1,1/100*N169*INVOER!$W$20*1000,1/100*O169*INVOER!$W$20*1000)</f>
        <v>5.2153099017775766E-9</v>
      </c>
      <c r="X169" s="6"/>
      <c r="Y169" s="6"/>
      <c r="Z169" s="6"/>
      <c r="AA169" s="6"/>
      <c r="AB169" s="6"/>
      <c r="AC169" s="6"/>
      <c r="AD169" s="6"/>
      <c r="AE169" s="6"/>
      <c r="AF169" s="6"/>
    </row>
    <row r="170" spans="1:32" x14ac:dyDescent="0.2">
      <c r="A170" s="283">
        <f>'Berekening trap 1'!A170</f>
        <v>32.021310594321911</v>
      </c>
      <c r="B170" s="6">
        <f t="shared" si="28"/>
        <v>31.273894279654101</v>
      </c>
      <c r="C170" s="169">
        <f t="shared" si="27"/>
        <v>45.437257425078428</v>
      </c>
      <c r="D170" s="202">
        <f t="shared" si="30"/>
        <v>3.997663463697339E-5</v>
      </c>
      <c r="E170" s="199">
        <f t="shared" si="26"/>
        <v>1.1504749170283098E-4</v>
      </c>
      <c r="F170" s="43">
        <f t="shared" si="20"/>
        <v>3.997663463697339E-5</v>
      </c>
      <c r="G170" s="156">
        <f t="shared" si="20"/>
        <v>1.1504749170283098E-4</v>
      </c>
      <c r="H170" s="171">
        <f t="shared" si="29"/>
        <v>1.1504749170283098E-4</v>
      </c>
      <c r="I170" s="181">
        <f t="shared" si="23"/>
        <v>1.1504749170283098E-4</v>
      </c>
      <c r="J170" s="332">
        <f>IF(INVOER!$T$36=1,100-H170*100,100-I170*100)</f>
        <v>99.988495250829715</v>
      </c>
      <c r="K170" s="335">
        <f>IF('Berekening trap 1'!$B$64=1,'Berekening trap 1'!U170,'Berekening trap 1'!V170)</f>
        <v>8.9058872852361718E-5</v>
      </c>
      <c r="L170" s="327">
        <f t="shared" si="21"/>
        <v>1.0170780556870674E-2</v>
      </c>
      <c r="M170" s="327">
        <f t="shared" si="24"/>
        <v>2.4075795585718221E-2</v>
      </c>
      <c r="N170" s="220">
        <f>'Berekening trap 2'!H170*$L170</f>
        <v>1.1701227917278935E-6</v>
      </c>
      <c r="O170" s="245">
        <f>'Berekening trap 2'!I170*$L170</f>
        <v>1.1701227917278935E-6</v>
      </c>
      <c r="Q170" s="55">
        <f t="shared" si="22"/>
        <v>99.999998875512262</v>
      </c>
      <c r="R170">
        <f t="shared" si="25"/>
        <v>31.273894279654101</v>
      </c>
      <c r="S170" s="71">
        <f>1/100*'Berekening trap 1'!T170*INVOER!$W$19*1000</f>
        <v>0.26233867129137578</v>
      </c>
      <c r="T170">
        <f>IF(INVOER!$T$36=1,1/100*N170*INVOER!$W$20*1000,1/100*O170*INVOER!$W$20*1000)</f>
        <v>2.9499662118937934E-9</v>
      </c>
      <c r="X170" s="6"/>
      <c r="Y170" s="6"/>
      <c r="Z170" s="6"/>
      <c r="AA170" s="6"/>
      <c r="AB170" s="6"/>
      <c r="AC170" s="6"/>
      <c r="AD170" s="6"/>
      <c r="AE170" s="6"/>
      <c r="AF170" s="6"/>
    </row>
    <row r="171" spans="1:32" x14ac:dyDescent="0.2">
      <c r="A171" s="283">
        <f>'Berekening trap 1'!A171</f>
        <v>33.589342778230758</v>
      </c>
      <c r="B171" s="46">
        <f t="shared" si="28"/>
        <v>32.805326686276331</v>
      </c>
      <c r="C171" s="184">
        <f t="shared" si="27"/>
        <v>47.662246991986031</v>
      </c>
      <c r="D171" s="203">
        <f t="shared" si="30"/>
        <v>2.7685527250219589E-5</v>
      </c>
      <c r="E171" s="168">
        <f t="shared" si="26"/>
        <v>8.4263084167276247E-5</v>
      </c>
      <c r="F171" s="45">
        <f t="shared" si="20"/>
        <v>2.7685527250219589E-5</v>
      </c>
      <c r="G171" s="185">
        <f t="shared" si="20"/>
        <v>8.4263084167276247E-5</v>
      </c>
      <c r="H171" s="172">
        <f t="shared" si="29"/>
        <v>8.4263084167276247E-5</v>
      </c>
      <c r="I171" s="243">
        <f t="shared" si="23"/>
        <v>8.4263084167276247E-5</v>
      </c>
      <c r="J171" s="332">
        <f>IF(INVOER!$T$36=1,100-H171*100,100-I171*100)</f>
        <v>99.99157369158327</v>
      </c>
      <c r="K171" s="336">
        <f>IF('Berekening trap 1'!$B$64=1,'Berekening trap 1'!U171,'Berekening trap 1'!V171)</f>
        <v>4.8639669364401126E-5</v>
      </c>
      <c r="L171" s="329">
        <f t="shared" si="21"/>
        <v>5.5547907537991069E-3</v>
      </c>
      <c r="M171" s="329">
        <f t="shared" si="24"/>
        <v>1.8521004831919114E-2</v>
      </c>
      <c r="N171" s="223">
        <f>'Berekening trap 2'!H171*$L171</f>
        <v>4.6806380081898201E-7</v>
      </c>
      <c r="O171" s="246">
        <f>'Berekening trap 2'!I171*$L171</f>
        <v>4.6806380081898201E-7</v>
      </c>
      <c r="Q171" s="55">
        <f t="shared" si="22"/>
        <v>99.999999400143693</v>
      </c>
      <c r="R171">
        <f t="shared" si="25"/>
        <v>32.805326686276331</v>
      </c>
      <c r="S171" s="71">
        <f>1/100*'Berekening trap 1'!T171*INVOER!$W$19*1000</f>
        <v>0.19671769322791793</v>
      </c>
      <c r="T171">
        <f>IF(INVOER!$T$36=1,1/100*N171*INVOER!$W$20*1000,1/100*O171*INVOER!$W$20*1000)</f>
        <v>1.1800235045312027E-9</v>
      </c>
      <c r="X171" s="6"/>
      <c r="Y171" s="6"/>
      <c r="Z171" s="6"/>
      <c r="AA171" s="6"/>
      <c r="AB171" s="6"/>
      <c r="AC171" s="6"/>
      <c r="AD171" s="6"/>
      <c r="AE171" s="6"/>
      <c r="AF171" s="6"/>
    </row>
    <row r="172" spans="1:32" x14ac:dyDescent="0.2">
      <c r="A172" s="282">
        <f>'Berekening trap 1'!A172</f>
        <v>35.234158981411127</v>
      </c>
      <c r="B172" s="6">
        <f t="shared" si="28"/>
        <v>34.411750879820943</v>
      </c>
      <c r="C172" s="169">
        <f t="shared" si="27"/>
        <v>49.996190726759309</v>
      </c>
      <c r="D172" s="202">
        <f t="shared" si="30"/>
        <v>1.8923435637901947E-5</v>
      </c>
      <c r="E172" s="199">
        <f t="shared" si="26"/>
        <v>6.1057544713503153E-5</v>
      </c>
      <c r="F172" s="43">
        <f t="shared" si="20"/>
        <v>1.8923435637901947E-5</v>
      </c>
      <c r="G172" s="156">
        <f t="shared" si="20"/>
        <v>6.1057544713503153E-5</v>
      </c>
      <c r="H172" s="171">
        <f t="shared" si="29"/>
        <v>6.1057544713503153E-5</v>
      </c>
      <c r="I172" s="181">
        <f t="shared" si="23"/>
        <v>6.1057544713503153E-5</v>
      </c>
      <c r="J172" s="331">
        <f>IF(INVOER!$T$36=1,100-H172*100,100-I172*100)</f>
        <v>99.993894245528651</v>
      </c>
      <c r="K172" s="335">
        <f>IF('Berekening trap 1'!$B$64=1,'Berekening trap 1'!U172,'Berekening trap 1'!V172)</f>
        <v>3.481288452297621E-5</v>
      </c>
      <c r="L172" s="327">
        <f t="shared" ref="L172:L186" si="31">100*K172/$K$187</f>
        <v>3.9757319814931937E-3</v>
      </c>
      <c r="M172" s="327">
        <f t="shared" si="24"/>
        <v>1.454527285042592E-2</v>
      </c>
      <c r="N172" s="220">
        <f>'Berekening trap 2'!H172*$L172</f>
        <v>2.4274843322892517E-7</v>
      </c>
      <c r="O172" s="245">
        <f>'Berekening trap 2'!I172*$L172</f>
        <v>2.4274843322892517E-7</v>
      </c>
      <c r="Q172" s="55">
        <f t="shared" ref="Q172:Q186" si="32">100*(S172-T172)/S172</f>
        <v>99.999999686859212</v>
      </c>
      <c r="R172">
        <f t="shared" si="25"/>
        <v>34.411750879820943</v>
      </c>
      <c r="S172" s="71">
        <f>1/100*'Berekening trap 1'!T172*INVOER!$W$19*1000</f>
        <v>0.1954350190362813</v>
      </c>
      <c r="T172">
        <f>IF(INVOER!$T$36=1,1/100*N172*INVOER!$W$20*1000,1/100*O172*INVOER!$W$20*1000)</f>
        <v>6.1198677700999034E-10</v>
      </c>
      <c r="X172" s="6"/>
      <c r="Y172" s="6"/>
      <c r="Z172" s="6"/>
      <c r="AA172" s="6"/>
      <c r="AB172" s="6"/>
      <c r="AC172" s="6"/>
      <c r="AD172" s="6"/>
      <c r="AE172" s="6"/>
      <c r="AF172" s="6"/>
    </row>
    <row r="173" spans="1:32" x14ac:dyDescent="0.2">
      <c r="A173" s="283">
        <f>'Berekening trap 1'!A173</f>
        <v>36.959519194044347</v>
      </c>
      <c r="B173" s="6">
        <f t="shared" si="28"/>
        <v>36.096839087727737</v>
      </c>
      <c r="C173" s="169">
        <f t="shared" si="27"/>
        <v>52.444423940121439</v>
      </c>
      <c r="D173" s="202">
        <f t="shared" si="30"/>
        <v>1.2759777191723427E-5</v>
      </c>
      <c r="E173" s="199">
        <f t="shared" si="26"/>
        <v>4.3754514708249595E-5</v>
      </c>
      <c r="F173" s="43">
        <f t="shared" si="20"/>
        <v>1.2759777191723427E-5</v>
      </c>
      <c r="G173" s="156">
        <f t="shared" si="20"/>
        <v>4.3754514708249595E-5</v>
      </c>
      <c r="H173" s="171">
        <f t="shared" si="29"/>
        <v>4.3754514708249595E-5</v>
      </c>
      <c r="I173" s="181">
        <f t="shared" si="23"/>
        <v>4.3754514708249595E-5</v>
      </c>
      <c r="J173" s="332">
        <f>IF(INVOER!$T$36=1,100-H173*100,100-I173*100)</f>
        <v>99.995624548529179</v>
      </c>
      <c r="K173" s="335">
        <f>IF('Berekening trap 1'!$B$64=1,'Berekening trap 1'!U173,'Berekening trap 1'!V173)</f>
        <v>2.5420611923676668E-5</v>
      </c>
      <c r="L173" s="327">
        <f t="shared" si="31"/>
        <v>2.9031073178491179E-3</v>
      </c>
      <c r="M173" s="327">
        <f t="shared" ref="M173:M186" si="33">M172-L173</f>
        <v>1.1642165532576802E-2</v>
      </c>
      <c r="N173" s="220">
        <f>'Berekening trap 2'!H173*$L173</f>
        <v>1.2702405183845627E-7</v>
      </c>
      <c r="O173" s="245">
        <f>'Berekening trap 2'!I173*$L173</f>
        <v>1.2702405183845627E-7</v>
      </c>
      <c r="Q173" s="55">
        <f t="shared" si="32"/>
        <v>99.999999840151474</v>
      </c>
      <c r="R173">
        <f t="shared" si="25"/>
        <v>36.096839087727737</v>
      </c>
      <c r="S173" s="71">
        <f>1/100*'Berekening trap 1'!T173*INVOER!$W$19*1000</f>
        <v>0.20033781740363407</v>
      </c>
      <c r="T173">
        <f>IF(INVOER!$T$36=1,1/100*N173*INVOER!$W$20*1000,1/100*O173*INVOER!$W$20*1000)</f>
        <v>3.2023704150566643E-10</v>
      </c>
      <c r="X173" s="6"/>
      <c r="Y173" s="6"/>
      <c r="Z173" s="6"/>
      <c r="AA173" s="6"/>
      <c r="AB173" s="6"/>
      <c r="AC173" s="6"/>
      <c r="AD173" s="6"/>
      <c r="AE173" s="6"/>
      <c r="AF173" s="6"/>
    </row>
    <row r="174" spans="1:32" x14ac:dyDescent="0.2">
      <c r="A174" s="283">
        <f>'Berekening trap 1'!A174</f>
        <v>38.769367526995929</v>
      </c>
      <c r="B174" s="6">
        <f t="shared" si="28"/>
        <v>37.864443360520141</v>
      </c>
      <c r="C174" s="169">
        <f t="shared" si="27"/>
        <v>55.012543204398277</v>
      </c>
      <c r="D174" s="202">
        <f t="shared" si="30"/>
        <v>8.4834023676806797E-6</v>
      </c>
      <c r="E174" s="199">
        <f t="shared" si="26"/>
        <v>3.0997181250426453E-5</v>
      </c>
      <c r="F174" s="43">
        <f t="shared" si="20"/>
        <v>8.4834023676806797E-6</v>
      </c>
      <c r="G174" s="156">
        <f t="shared" si="20"/>
        <v>3.0997181250426453E-5</v>
      </c>
      <c r="H174" s="171">
        <f t="shared" si="29"/>
        <v>3.0997181250426453E-5</v>
      </c>
      <c r="I174" s="181">
        <f t="shared" si="23"/>
        <v>3.0997181250426453E-5</v>
      </c>
      <c r="J174" s="332">
        <f>IF(INVOER!$T$36=1,100-H174*100,100-I174*100)</f>
        <v>99.996900281874957</v>
      </c>
      <c r="K174" s="335">
        <f>IF('Berekening trap 1'!$B$64=1,'Berekening trap 1'!U174,'Berekening trap 1'!V174)</f>
        <v>3.3527697394383053E-5</v>
      </c>
      <c r="L174" s="327">
        <f t="shared" si="31"/>
        <v>3.8289598987035884E-3</v>
      </c>
      <c r="M174" s="327">
        <f t="shared" si="33"/>
        <v>7.8132056338732127E-3</v>
      </c>
      <c r="N174" s="220">
        <f>'Berekening trap 2'!H174*$L174</f>
        <v>1.1868696398072964E-7</v>
      </c>
      <c r="O174" s="245">
        <f>'Berekening trap 2'!I174*$L174</f>
        <v>1.1868696398072964E-7</v>
      </c>
      <c r="Q174" s="55">
        <f t="shared" si="32"/>
        <v>99.999999920270369</v>
      </c>
      <c r="R174">
        <f t="shared" si="25"/>
        <v>37.864443360520141</v>
      </c>
      <c r="S174" s="71">
        <f>1/100*'Berekening trap 1'!T174*INVOER!$W$19*1000</f>
        <v>0.3752916931000953</v>
      </c>
      <c r="T174">
        <f>IF(INVOER!$T$36=1,1/100*N174*INVOER!$W$20*1000,1/100*O174*INVOER!$W$20*1000)</f>
        <v>2.9921862560970222E-10</v>
      </c>
      <c r="X174" s="6"/>
      <c r="Y174" s="6"/>
      <c r="Z174" s="6"/>
      <c r="AA174" s="6"/>
      <c r="AB174" s="6"/>
      <c r="AC174" s="6"/>
      <c r="AD174" s="6"/>
      <c r="AE174" s="6"/>
      <c r="AF174" s="6"/>
    </row>
    <row r="175" spans="1:32" x14ac:dyDescent="0.2">
      <c r="A175" s="283">
        <f>'Berekening trap 1'!A175</f>
        <v>40.66784122790996</v>
      </c>
      <c r="B175" s="6">
        <f>(A174+A175)/2</f>
        <v>39.718604377452948</v>
      </c>
      <c r="C175" s="169">
        <f t="shared" si="27"/>
        <v>57.706419147079664</v>
      </c>
      <c r="D175" s="202">
        <f t="shared" si="30"/>
        <v>5.5585468378687523E-6</v>
      </c>
      <c r="E175" s="199">
        <f t="shared" si="26"/>
        <v>2.1700306704594517E-5</v>
      </c>
      <c r="F175" s="43">
        <f t="shared" si="20"/>
        <v>5.5585468378687523E-6</v>
      </c>
      <c r="G175" s="156">
        <f t="shared" si="20"/>
        <v>2.1700306704594517E-5</v>
      </c>
      <c r="H175" s="171">
        <f t="shared" si="29"/>
        <v>2.1700306704594517E-5</v>
      </c>
      <c r="I175" s="181">
        <f t="shared" si="23"/>
        <v>2.1700306704594517E-5</v>
      </c>
      <c r="J175" s="332">
        <f>IF(INVOER!$T$36=1,100-H175*100,100-I175*100)</f>
        <v>99.997829969329544</v>
      </c>
      <c r="K175" s="335">
        <f>IF('Berekening trap 1'!$B$64=1,'Berekening trap 1'!U175,'Berekening trap 1'!V175)</f>
        <v>2.3404903226870407E-5</v>
      </c>
      <c r="L175" s="327">
        <f t="shared" si="31"/>
        <v>2.672907561607216E-3</v>
      </c>
      <c r="M175" s="327">
        <f t="shared" si="33"/>
        <v>5.1402980722659967E-3</v>
      </c>
      <c r="N175" s="220">
        <f>'Berekening trap 2'!H175*$L175</f>
        <v>5.800291387990645E-8</v>
      </c>
      <c r="O175" s="245">
        <f>'Berekening trap 2'!I175*$L175</f>
        <v>5.800291387990645E-8</v>
      </c>
      <c r="Q175" s="55">
        <f t="shared" si="32"/>
        <v>99.999999961173629</v>
      </c>
      <c r="R175">
        <f t="shared" si="25"/>
        <v>39.718604377452948</v>
      </c>
      <c r="S175" s="71">
        <f>1/100*'Berekening trap 1'!T175*INVOER!$W$19*1000</f>
        <v>0.3766245464079136</v>
      </c>
      <c r="T175">
        <f>IF(INVOER!$T$36=1,1/100*N175*INVOER!$W$20*1000,1/100*O175*INVOER!$W$20*1000)</f>
        <v>1.4622964132203624E-10</v>
      </c>
    </row>
    <row r="176" spans="1:32" x14ac:dyDescent="0.2">
      <c r="A176" s="284">
        <f>'Berekening trap 1'!A176</f>
        <v>42.659280138807176</v>
      </c>
      <c r="B176" s="46">
        <f t="shared" ref="B176:B185" si="34">(A175+A176)/2</f>
        <v>41.663560683358568</v>
      </c>
      <c r="C176" s="184">
        <f t="shared" si="27"/>
        <v>60.532209870860953</v>
      </c>
      <c r="D176" s="203">
        <f t="shared" si="30"/>
        <v>3.5874774905037977E-6</v>
      </c>
      <c r="E176" s="168">
        <f t="shared" si="26"/>
        <v>1.5006400044736251E-5</v>
      </c>
      <c r="F176" s="45">
        <f t="shared" ref="F176:G185" si="35">D176^($B$54*$B$63)</f>
        <v>3.5874774905037977E-6</v>
      </c>
      <c r="G176" s="185">
        <f t="shared" si="35"/>
        <v>1.5006400044736251E-5</v>
      </c>
      <c r="H176" s="172">
        <f t="shared" si="29"/>
        <v>1.5006400044736251E-5</v>
      </c>
      <c r="I176" s="243">
        <f t="shared" si="23"/>
        <v>1.5006400044736251E-5</v>
      </c>
      <c r="J176" s="333">
        <f>IF(INVOER!$T$36=1,100-H176*100,100-I176*100)</f>
        <v>99.99849935999552</v>
      </c>
      <c r="K176" s="335">
        <f>IF('Berekening trap 1'!$B$64=1,'Berekening trap 1'!U176,'Berekening trap 1'!V176)</f>
        <v>1.3462938807066987E-5</v>
      </c>
      <c r="L176" s="327">
        <f t="shared" si="31"/>
        <v>1.5375065040880472E-3</v>
      </c>
      <c r="M176" s="327">
        <f t="shared" si="33"/>
        <v>3.6027915681779493E-3</v>
      </c>
      <c r="N176" s="220">
        <f>'Berekening trap 2'!H176*$L176</f>
        <v>2.3072437671729149E-8</v>
      </c>
      <c r="O176" s="245">
        <f>'Berekening trap 2'!I176*$L176</f>
        <v>2.3072437671729149E-8</v>
      </c>
      <c r="Q176" s="55">
        <f t="shared" si="32"/>
        <v>99.999999981555291</v>
      </c>
      <c r="R176">
        <f t="shared" si="25"/>
        <v>41.663560683358568</v>
      </c>
      <c r="S176" s="71">
        <f>1/100*'Berekening trap 1'!T176*INVOER!$W$19*1000</f>
        <v>0.31536028438150299</v>
      </c>
      <c r="T176">
        <f>IF(INVOER!$T$36=1,1/100*N176*INVOER!$W$20*1000,1/100*O176*INVOER!$W$20*1000)</f>
        <v>5.8167324009747352E-11</v>
      </c>
    </row>
    <row r="177" spans="1:24" x14ac:dyDescent="0.2">
      <c r="A177" s="283">
        <f>'Berekening trap 1'!A177</f>
        <v>44.748236616806373</v>
      </c>
      <c r="B177" s="6">
        <f t="shared" si="34"/>
        <v>43.703758377806778</v>
      </c>
      <c r="C177" s="169">
        <f t="shared" si="27"/>
        <v>63.496375030842437</v>
      </c>
      <c r="D177" s="202">
        <f t="shared" si="30"/>
        <v>2.2793873834902769E-6</v>
      </c>
      <c r="E177" s="199">
        <f t="shared" si="26"/>
        <v>1.0246385293315351E-5</v>
      </c>
      <c r="F177" s="43">
        <f t="shared" si="35"/>
        <v>2.2793873834902769E-6</v>
      </c>
      <c r="G177" s="156">
        <f t="shared" si="35"/>
        <v>1.0246385293315351E-5</v>
      </c>
      <c r="H177" s="171">
        <f t="shared" si="29"/>
        <v>1.0246385293315351E-5</v>
      </c>
      <c r="I177" s="181">
        <f t="shared" si="23"/>
        <v>1.0246385293315351E-5</v>
      </c>
      <c r="J177" s="332">
        <f>IF(INVOER!$T$36=1,100-H177*100,100-I177*100)</f>
        <v>99.99897536147067</v>
      </c>
      <c r="K177" s="343">
        <f>IF('Berekening trap 1'!$B$64=1,'Berekening trap 1'!U177,'Berekening trap 1'!V177)</f>
        <v>9.4267602472937608E-6</v>
      </c>
      <c r="L177" s="328">
        <f t="shared" si="31"/>
        <v>1.076563252674427E-3</v>
      </c>
      <c r="M177" s="328">
        <f t="shared" si="33"/>
        <v>2.5262283155035223E-3</v>
      </c>
      <c r="N177" s="222">
        <f>'Berekening trap 2'!H177*$L177</f>
        <v>1.1030881879526987E-8</v>
      </c>
      <c r="O177" s="244">
        <f>'Berekening trap 2'!I177*$L177</f>
        <v>1.1030881879526987E-8</v>
      </c>
      <c r="Q177" s="55">
        <f t="shared" si="32"/>
        <v>99.999999991459475</v>
      </c>
      <c r="R177">
        <f t="shared" si="25"/>
        <v>43.703758377806778</v>
      </c>
      <c r="S177" s="71">
        <f>1/100*'Berekening trap 1'!T177*INVOER!$W$19*1000</f>
        <v>0.32561957718302925</v>
      </c>
      <c r="T177">
        <f>IF(INVOER!$T$36=1,1/100*N177*INVOER!$W$20*1000,1/100*O177*INVOER!$W$20*1000)</f>
        <v>2.7809670115000467E-11</v>
      </c>
    </row>
    <row r="178" spans="1:24" x14ac:dyDescent="0.2">
      <c r="A178" s="283">
        <f>'Berekening trap 1'!A178</f>
        <v>46.939485940647693</v>
      </c>
      <c r="B178" s="6">
        <f t="shared" si="34"/>
        <v>45.843861278727033</v>
      </c>
      <c r="C178" s="169">
        <f t="shared" si="27"/>
        <v>66.605690601066527</v>
      </c>
      <c r="D178" s="202">
        <f t="shared" si="30"/>
        <v>1.4249644037622041E-6</v>
      </c>
      <c r="E178" s="199">
        <f t="shared" si="26"/>
        <v>6.9049189110058533E-6</v>
      </c>
      <c r="F178" s="43">
        <f t="shared" si="35"/>
        <v>1.4249644037622041E-6</v>
      </c>
      <c r="G178" s="156">
        <f t="shared" si="35"/>
        <v>6.9049189110058533E-6</v>
      </c>
      <c r="H178" s="171">
        <f t="shared" si="29"/>
        <v>6.9049189110058533E-6</v>
      </c>
      <c r="I178" s="181">
        <f t="shared" si="23"/>
        <v>6.9049189110058533E-6</v>
      </c>
      <c r="J178" s="332">
        <f>IF(INVOER!$T$36=1,100-H178*100,100-I178*100)</f>
        <v>99.999309508108894</v>
      </c>
      <c r="K178" s="335">
        <f>IF('Berekening trap 1'!$B$64=1,'Berekening trap 1'!U178,'Berekening trap 1'!V178)</f>
        <v>7.2234802672450865E-6</v>
      </c>
      <c r="L178" s="327">
        <f t="shared" si="31"/>
        <v>8.2494231402219025E-4</v>
      </c>
      <c r="M178" s="327">
        <f t="shared" si="33"/>
        <v>1.7012860014813322E-3</v>
      </c>
      <c r="N178" s="220">
        <f>'Berekening trap 2'!H178*$L178</f>
        <v>5.6961597845807502E-9</v>
      </c>
      <c r="O178" s="245">
        <f>'Berekening trap 2'!I178*$L178</f>
        <v>5.6961597845807502E-9</v>
      </c>
      <c r="Q178" s="55">
        <f t="shared" si="32"/>
        <v>99.999999996148901</v>
      </c>
      <c r="R178">
        <f t="shared" si="25"/>
        <v>45.843861278727033</v>
      </c>
      <c r="S178" s="71">
        <f>1/100*'Berekening trap 1'!T178*INVOER!$W$19*1000</f>
        <v>0.37289297940299565</v>
      </c>
      <c r="T178">
        <f>IF(INVOER!$T$36=1,1/100*N178*INVOER!$W$20*1000,1/100*O178*INVOER!$W$20*1000)</f>
        <v>1.4360440648496496E-11</v>
      </c>
    </row>
    <row r="179" spans="1:24" x14ac:dyDescent="0.2">
      <c r="A179" s="283">
        <f>'Berekening trap 1'!A179</f>
        <v>49.238037226806597</v>
      </c>
      <c r="B179" s="6">
        <f t="shared" si="34"/>
        <v>48.088761583727148</v>
      </c>
      <c r="C179" s="169">
        <f t="shared" si="27"/>
        <v>69.867264364148767</v>
      </c>
      <c r="D179" s="202">
        <f t="shared" si="30"/>
        <v>8.759794951539978E-7</v>
      </c>
      <c r="E179" s="199">
        <f t="shared" si="26"/>
        <v>4.5903300339315684E-6</v>
      </c>
      <c r="F179" s="43">
        <f t="shared" si="35"/>
        <v>8.759794951539978E-7</v>
      </c>
      <c r="G179" s="156">
        <f t="shared" si="35"/>
        <v>4.5903300339315684E-6</v>
      </c>
      <c r="H179" s="171">
        <f t="shared" si="29"/>
        <v>4.5903300339315684E-6</v>
      </c>
      <c r="I179" s="181">
        <f t="shared" si="23"/>
        <v>4.5903300339315684E-6</v>
      </c>
      <c r="J179" s="332">
        <f>IF(INVOER!$T$36=1,100-H179*100,100-I179*100)</f>
        <v>99.999540966996605</v>
      </c>
      <c r="K179" s="335">
        <f>IF('Berekening trap 1'!$B$64=1,'Berekening trap 1'!U179,'Berekening trap 1'!V179)</f>
        <v>4.964951125969942E-6</v>
      </c>
      <c r="L179" s="327">
        <f t="shared" si="31"/>
        <v>5.6701176155171977E-4</v>
      </c>
      <c r="M179" s="327">
        <f t="shared" si="33"/>
        <v>1.1342742399296124E-3</v>
      </c>
      <c r="N179" s="220">
        <f>'Berekening trap 2'!H179*$L179</f>
        <v>2.602771118643304E-9</v>
      </c>
      <c r="O179" s="245">
        <f>'Berekening trap 2'!I179*$L179</f>
        <v>2.602771118643304E-9</v>
      </c>
      <c r="Q179" s="55">
        <f t="shared" si="32"/>
        <v>99.999999998310457</v>
      </c>
      <c r="R179">
        <f t="shared" si="25"/>
        <v>48.088761583727148</v>
      </c>
      <c r="S179" s="71">
        <f>1/100*'Berekening trap 1'!T179*INVOER!$W$19*1000</f>
        <v>0.38837471542206442</v>
      </c>
      <c r="T179">
        <f>IF(INVOER!$T$36=1,1/100*N179*INVOER!$W$20*1000,1/100*O179*INVOER!$W$20*1000)</f>
        <v>6.5617787394369977E-12</v>
      </c>
    </row>
    <row r="180" spans="1:24" x14ac:dyDescent="0.2">
      <c r="A180" s="283">
        <f>'Berekening trap 1'!A180</f>
        <v>51.649144880152463</v>
      </c>
      <c r="B180" s="6">
        <f t="shared" si="34"/>
        <v>50.44359105347953</v>
      </c>
      <c r="C180" s="169">
        <f t="shared" si="27"/>
        <v>73.288552159410926</v>
      </c>
      <c r="D180" s="202">
        <f t="shared" si="30"/>
        <v>5.2920748529381825E-7</v>
      </c>
      <c r="E180" s="199">
        <f t="shared" si="26"/>
        <v>3.0090098091447205E-6</v>
      </c>
      <c r="F180" s="43">
        <f t="shared" si="35"/>
        <v>5.2920748529381825E-7</v>
      </c>
      <c r="G180" s="156">
        <f t="shared" si="35"/>
        <v>3.0090098091447205E-6</v>
      </c>
      <c r="H180" s="171">
        <f t="shared" si="29"/>
        <v>3.0090098091447205E-6</v>
      </c>
      <c r="I180" s="181">
        <f t="shared" si="23"/>
        <v>3.0090098091447205E-6</v>
      </c>
      <c r="J180" s="332">
        <f>IF(INVOER!$T$36=1,100-H180*100,100-I180*100)</f>
        <v>99.999699099019082</v>
      </c>
      <c r="K180" s="335">
        <f>IF('Berekening trap 1'!$B$64=1,'Berekening trap 1'!U180,'Berekening trap 1'!V180)</f>
        <v>3.5588721616888568E-6</v>
      </c>
      <c r="L180" s="327">
        <f t="shared" si="31"/>
        <v>4.0643348188897999E-4</v>
      </c>
      <c r="M180" s="327">
        <f t="shared" si="33"/>
        <v>7.2784075804063243E-4</v>
      </c>
      <c r="N180" s="220">
        <f>'Berekening trap 2'!H180*$L180</f>
        <v>1.2229623337687839E-9</v>
      </c>
      <c r="O180" s="245">
        <f>'Berekening trap 2'!I180*$L180</f>
        <v>1.2229623337687839E-9</v>
      </c>
      <c r="Q180" s="55">
        <f t="shared" si="32"/>
        <v>99.999999999279481</v>
      </c>
      <c r="R180">
        <f t="shared" si="25"/>
        <v>50.44359105347953</v>
      </c>
      <c r="S180" s="71">
        <f>1/100*'Berekening trap 1'!T180*INVOER!$W$19*1000</f>
        <v>0.42791933371374552</v>
      </c>
      <c r="T180">
        <f>IF(INVOER!$T$36=1,1/100*N180*INVOER!$W$20*1000,1/100*O180*INVOER!$W$20*1000)</f>
        <v>3.0831786104339429E-12</v>
      </c>
    </row>
    <row r="181" spans="1:24" x14ac:dyDescent="0.2">
      <c r="A181" s="283">
        <f>'Berekening trap 1'!A181</f>
        <v>54.178320605327521</v>
      </c>
      <c r="B181" s="46">
        <f t="shared" si="34"/>
        <v>52.913732742739995</v>
      </c>
      <c r="C181" s="184">
        <f t="shared" si="27"/>
        <v>76.877374926659442</v>
      </c>
      <c r="D181" s="203">
        <f t="shared" si="30"/>
        <v>3.1399938930030027E-7</v>
      </c>
      <c r="E181" s="168">
        <f t="shared" si="26"/>
        <v>1.9439612576321351E-6</v>
      </c>
      <c r="F181" s="45">
        <f t="shared" si="35"/>
        <v>3.1399938930030027E-7</v>
      </c>
      <c r="G181" s="185">
        <f t="shared" si="35"/>
        <v>1.9439612576321351E-6</v>
      </c>
      <c r="H181" s="172">
        <f t="shared" si="29"/>
        <v>1.9439612576321351E-6</v>
      </c>
      <c r="I181" s="243">
        <f t="shared" si="23"/>
        <v>1.9439612576321351E-6</v>
      </c>
      <c r="J181" s="332">
        <f>IF(INVOER!$T$36=1,100-H181*100,100-I181*100)</f>
        <v>99.999805603874236</v>
      </c>
      <c r="K181" s="336">
        <f>IF('Berekening trap 1'!$B$64=1,'Berekening trap 1'!U181,'Berekening trap 1'!V181)</f>
        <v>2.3990805861057242E-6</v>
      </c>
      <c r="L181" s="329">
        <f t="shared" si="31"/>
        <v>2.7398193350122702E-4</v>
      </c>
      <c r="M181" s="329">
        <f t="shared" si="33"/>
        <v>4.5385882453940541E-4</v>
      </c>
      <c r="N181" s="223">
        <f>'Berekening trap 2'!H181*$L181</f>
        <v>5.3261026401752928E-10</v>
      </c>
      <c r="O181" s="246">
        <f>'Berekening trap 2'!I181*$L181</f>
        <v>5.3261026401752928E-10</v>
      </c>
      <c r="Q181" s="55">
        <f t="shared" si="32"/>
        <v>99.999999999701629</v>
      </c>
      <c r="R181">
        <f t="shared" si="25"/>
        <v>52.913732742739995</v>
      </c>
      <c r="S181" s="71">
        <f>1/100*'Berekening trap 1'!T181*INVOER!$W$19*1000</f>
        <v>0.45002540292249493</v>
      </c>
      <c r="T181">
        <f>IF(INVOER!$T$36=1,1/100*N181*INVOER!$W$20*1000,1/100*O181*INVOER!$W$20*1000)</f>
        <v>1.3427499182708981E-12</v>
      </c>
    </row>
    <row r="182" spans="1:24" x14ac:dyDescent="0.2">
      <c r="A182" s="282">
        <f>'Berekening trap 1'!A182</f>
        <v>56.831346006303754</v>
      </c>
      <c r="B182" s="6">
        <f t="shared" si="34"/>
        <v>55.504833305815637</v>
      </c>
      <c r="C182" s="169">
        <f t="shared" si="27"/>
        <v>80.64193658456999</v>
      </c>
      <c r="D182" s="202">
        <f t="shared" si="30"/>
        <v>1.8286111441090193E-7</v>
      </c>
      <c r="E182" s="199">
        <f t="shared" si="26"/>
        <v>1.2371393880968251E-6</v>
      </c>
      <c r="F182" s="43">
        <f t="shared" si="35"/>
        <v>1.8286111441090193E-7</v>
      </c>
      <c r="G182" s="156">
        <f t="shared" si="35"/>
        <v>1.2371393880968251E-6</v>
      </c>
      <c r="H182" s="171">
        <f t="shared" si="29"/>
        <v>1.2371393880968251E-6</v>
      </c>
      <c r="I182" s="181">
        <f t="shared" si="23"/>
        <v>1.2371393880968251E-6</v>
      </c>
      <c r="J182" s="331">
        <f>IF(INVOER!$T$36=1,100-H182*100,100-I182*100)</f>
        <v>99.999876286061195</v>
      </c>
      <c r="K182" s="335">
        <f>IF('Berekening trap 1'!$B$64=1,'Berekening trap 1'!U182,'Berekening trap 1'!V182)</f>
        <v>1.5904622899523775E-6</v>
      </c>
      <c r="L182" s="327">
        <f t="shared" si="31"/>
        <v>1.8163538810894212E-4</v>
      </c>
      <c r="M182" s="327">
        <f t="shared" si="33"/>
        <v>2.7222343643046331E-4</v>
      </c>
      <c r="N182" s="220">
        <f>'Berekening trap 2'!H182*$L182</f>
        <v>2.24708292901826E-10</v>
      </c>
      <c r="O182" s="245">
        <f>'Berekening trap 2'!I182*$L182</f>
        <v>2.24708292901826E-10</v>
      </c>
      <c r="Q182" s="55">
        <f t="shared" si="32"/>
        <v>99.999999999880146</v>
      </c>
      <c r="R182">
        <f t="shared" si="25"/>
        <v>55.504833305815637</v>
      </c>
      <c r="S182" s="71">
        <f>1/100*'Berekening trap 1'!T182*INVOER!$W$19*1000</f>
        <v>0.4726161396894783</v>
      </c>
      <c r="T182">
        <f>IF(INVOER!$T$36=1,1/100*N182*INVOER!$W$20*1000,1/100*O182*INVOER!$W$20*1000)</f>
        <v>5.6650624727500446E-13</v>
      </c>
    </row>
    <row r="183" spans="1:24" x14ac:dyDescent="0.2">
      <c r="A183" s="283">
        <f>'Berekening trap 1'!A183</f>
        <v>59.614285802919873</v>
      </c>
      <c r="B183" s="6">
        <f t="shared" si="34"/>
        <v>58.222815904611814</v>
      </c>
      <c r="C183" s="169">
        <f t="shared" si="27"/>
        <v>84.590842784548087</v>
      </c>
      <c r="D183" s="202">
        <f t="shared" si="30"/>
        <v>1.0445098149204301E-7</v>
      </c>
      <c r="E183" s="199">
        <f t="shared" si="26"/>
        <v>7.7516102698156516E-7</v>
      </c>
      <c r="F183" s="43">
        <f t="shared" si="35"/>
        <v>1.0445098149204301E-7</v>
      </c>
      <c r="G183" s="156">
        <f t="shared" si="35"/>
        <v>7.7516102698156516E-7</v>
      </c>
      <c r="H183" s="171">
        <f t="shared" si="29"/>
        <v>7.7516102698156516E-7</v>
      </c>
      <c r="I183" s="181">
        <f t="shared" si="23"/>
        <v>7.7516102698156516E-7</v>
      </c>
      <c r="J183" s="332">
        <f>IF(INVOER!$T$36=1,100-H183*100,100-I183*100)</f>
        <v>99.999922483897308</v>
      </c>
      <c r="K183" s="335">
        <f>IF('Berekening trap 1'!$B$64=1,'Berekening trap 1'!U183,'Berekening trap 1'!V183)</f>
        <v>1.0336919359430026E-6</v>
      </c>
      <c r="L183" s="327">
        <f t="shared" si="31"/>
        <v>1.1805060525874705E-4</v>
      </c>
      <c r="M183" s="327">
        <f t="shared" si="33"/>
        <v>1.5417283117171625E-4</v>
      </c>
      <c r="N183" s="220">
        <f>'Berekening trap 2'!H183*$L183</f>
        <v>9.1508228408165721E-11</v>
      </c>
      <c r="O183" s="245">
        <f>'Berekening trap 2'!I183*$L183</f>
        <v>9.1508228408165721E-11</v>
      </c>
      <c r="Q183" s="55">
        <f t="shared" si="32"/>
        <v>99.999999999953332</v>
      </c>
      <c r="R183">
        <f t="shared" si="25"/>
        <v>58.222815904611814</v>
      </c>
      <c r="S183" s="71">
        <f>1/100*'Berekening trap 1'!T183*INVOER!$W$19*1000</f>
        <v>0.49436575937788563</v>
      </c>
      <c r="T183">
        <f>IF(INVOER!$T$36=1,1/100*N183*INVOER!$W$20*1000,1/100*O183*INVOER!$W$20*1000)</f>
        <v>2.3069902049828919E-13</v>
      </c>
    </row>
    <row r="184" spans="1:24" x14ac:dyDescent="0.2">
      <c r="A184" s="283">
        <f>'Berekening trap 1'!A184</f>
        <v>62.533501694610891</v>
      </c>
      <c r="B184" s="6">
        <f t="shared" si="34"/>
        <v>61.073893748765386</v>
      </c>
      <c r="C184" s="169">
        <f t="shared" si="27"/>
        <v>88.733120582936039</v>
      </c>
      <c r="D184" s="202">
        <f t="shared" si="30"/>
        <v>5.8479106153648691E-8</v>
      </c>
      <c r="E184" s="199">
        <f t="shared" si="26"/>
        <v>4.7794177842378969E-7</v>
      </c>
      <c r="F184" s="43">
        <f t="shared" si="35"/>
        <v>5.8479106153648691E-8</v>
      </c>
      <c r="G184" s="156">
        <f t="shared" si="35"/>
        <v>4.7794177842378969E-7</v>
      </c>
      <c r="H184" s="171">
        <f t="shared" si="29"/>
        <v>4.7794177842378969E-7</v>
      </c>
      <c r="I184" s="181">
        <f t="shared" si="23"/>
        <v>4.7794177842378969E-7</v>
      </c>
      <c r="J184" s="332">
        <f>IF(INVOER!$T$36=1,100-H184*100,100-I184*100)</f>
        <v>99.999952205822154</v>
      </c>
      <c r="K184" s="335">
        <f>IF('Berekening trap 1'!$B$64=1,'Berekening trap 1'!U184,'Berekening trap 1'!V184)</f>
        <v>6.6071322875975774E-7</v>
      </c>
      <c r="L184" s="327">
        <f t="shared" si="31"/>
        <v>7.5455359421369378E-5</v>
      </c>
      <c r="M184" s="327">
        <f t="shared" si="33"/>
        <v>7.8717471750346874E-5</v>
      </c>
      <c r="N184" s="220">
        <f>'Berekening trap 2'!H184*$L184</f>
        <v>3.6063268673455534E-11</v>
      </c>
      <c r="O184" s="245">
        <f>'Berekening trap 2'!I184*$L184</f>
        <v>3.6063268673455534E-11</v>
      </c>
      <c r="Q184" s="55">
        <f t="shared" si="32"/>
        <v>99.999999999982407</v>
      </c>
      <c r="R184">
        <f t="shared" si="25"/>
        <v>61.073893748765386</v>
      </c>
      <c r="S184" s="71">
        <f>1/100*'Berekening trap 1'!T184*INVOER!$W$19*1000</f>
        <v>0.51696139721444345</v>
      </c>
      <c r="T184">
        <f>IF(INVOER!$T$36=1,1/100*N184*INVOER!$W$20*1000,1/100*O184*INVOER!$W$20*1000)</f>
        <v>9.0918171006689667E-14</v>
      </c>
    </row>
    <row r="185" spans="1:24" x14ac:dyDescent="0.2">
      <c r="A185" s="283">
        <f>'Berekening trap 1'!A185</f>
        <v>65.595666903022305</v>
      </c>
      <c r="B185" s="6">
        <f t="shared" si="34"/>
        <v>64.064584298816598</v>
      </c>
      <c r="C185" s="169">
        <f t="shared" si="27"/>
        <v>93.078239076536363</v>
      </c>
      <c r="D185" s="202">
        <f t="shared" si="30"/>
        <v>3.2068126287153725E-8</v>
      </c>
      <c r="E185" s="199">
        <f t="shared" si="26"/>
        <v>2.8981932094874573E-7</v>
      </c>
      <c r="F185" s="43">
        <f t="shared" si="35"/>
        <v>3.2068126287153725E-8</v>
      </c>
      <c r="G185" s="156">
        <f t="shared" si="35"/>
        <v>2.8981932094874573E-7</v>
      </c>
      <c r="H185" s="171">
        <f t="shared" si="29"/>
        <v>2.8981932094874573E-7</v>
      </c>
      <c r="I185" s="181">
        <f t="shared" si="23"/>
        <v>2.8981932094874573E-7</v>
      </c>
      <c r="J185" s="332">
        <f>IF(INVOER!$T$36=1,100-H185*100,100-I185*100)</f>
        <v>99.99997101806791</v>
      </c>
      <c r="K185" s="335">
        <f>IF('Berekening trap 1'!$B$64=1,'Berekening trap 1'!U185,'Berekening trap 1'!V185)</f>
        <v>4.2141261807178274E-7</v>
      </c>
      <c r="L185" s="327">
        <f t="shared" si="31"/>
        <v>4.8126538378829182E-5</v>
      </c>
      <c r="M185" s="327">
        <f t="shared" si="33"/>
        <v>3.0590933371517693E-5</v>
      </c>
      <c r="N185" s="220">
        <f>'Berekening trap 2'!H185*$L185</f>
        <v>1.3948000672566024E-11</v>
      </c>
      <c r="O185" s="245">
        <f>'Berekening trap 2'!I185*$L185</f>
        <v>1.3948000672566024E-11</v>
      </c>
      <c r="Q185" s="55">
        <f t="shared" si="32"/>
        <v>99.999999999993591</v>
      </c>
      <c r="R185">
        <f t="shared" si="25"/>
        <v>64.064584298816598</v>
      </c>
      <c r="S185" s="71">
        <f>1/100*'Berekening trap 1'!T185*INVOER!$W$19*1000</f>
        <v>0.54865721571158688</v>
      </c>
      <c r="T185">
        <f>IF(INVOER!$T$36=1,1/100*N185*INVOER!$W$20*1000,1/100*O185*INVOER!$W$20*1000)</f>
        <v>3.5163942620741648E-14</v>
      </c>
    </row>
    <row r="186" spans="1:24" x14ac:dyDescent="0.2">
      <c r="A186" s="284">
        <f>'Berekening trap 1'!A186</f>
        <v>68.807781426752868</v>
      </c>
      <c r="B186" s="46">
        <f>(A185+A186)/2</f>
        <v>67.201724164887594</v>
      </c>
      <c r="C186" s="184">
        <f>B186/$B$51</f>
        <v>97.63613104862371</v>
      </c>
      <c r="D186" s="203">
        <f>IF(C186-$K$35&gt;0,EXP(-(((C186-$K$35)/$K$37)^$K$39)),1)</f>
        <v>1.7211056284915687E-8</v>
      </c>
      <c r="E186" s="168">
        <f>IF(C186-$K$36&gt;0,EXP(-(((C186-$K$36)/$K$38)^$K$40)),1)</f>
        <v>1.7274288699481114E-7</v>
      </c>
      <c r="F186" s="45">
        <f>D186^($B$54*$B$63)</f>
        <v>1.7211056284915687E-8</v>
      </c>
      <c r="G186" s="185">
        <f>E186^($B$54*$B$63)</f>
        <v>1.7274288699481114E-7</v>
      </c>
      <c r="H186" s="172">
        <f>IF(C186&lt;$K$41,D186,E186)</f>
        <v>1.7274288699481114E-7</v>
      </c>
      <c r="I186" s="243">
        <f>IF(C186&lt;$K$41,F186,G186)</f>
        <v>1.7274288699481114E-7</v>
      </c>
      <c r="J186" s="333">
        <f>IF(INVOER!$T$36=1,100-H186*100,100-I186*100)</f>
        <v>99.999982725711305</v>
      </c>
      <c r="K186" s="336">
        <f>IF('Berekening trap 1'!$B$64=1,'Berekening trap 1'!U186,'Berekening trap 1'!V186)</f>
        <v>2.6786479435312665E-7</v>
      </c>
      <c r="L186" s="329">
        <f t="shared" si="31"/>
        <v>3.0590933334552016E-5</v>
      </c>
      <c r="M186" s="329">
        <f t="shared" si="33"/>
        <v>3.6965676559249511E-14</v>
      </c>
      <c r="N186" s="223">
        <f>'Berekening trap 2'!H186*$L186</f>
        <v>5.2843661400763201E-12</v>
      </c>
      <c r="O186" s="246">
        <f>'Berekening trap 2'!I186*$L186</f>
        <v>5.2843661400763201E-12</v>
      </c>
      <c r="Q186" s="55">
        <f t="shared" si="32"/>
        <v>99.999999999997755</v>
      </c>
      <c r="R186">
        <f t="shared" si="25"/>
        <v>67.201724164887594</v>
      </c>
      <c r="S186" s="71">
        <f>1/100*'Berekening trap 1'!T186*INVOER!$W$19*1000</f>
        <v>0.59057013014947601</v>
      </c>
      <c r="T186">
        <f>IF(INVOER!$T$36=1,1/100*N186*INVOER!$W$20*1000,1/100*O186*INVOER!$W$20*1000)</f>
        <v>1.3322278375144962E-14</v>
      </c>
    </row>
    <row r="187" spans="1:24" x14ac:dyDescent="0.2">
      <c r="C187" s="180"/>
      <c r="G187" s="156"/>
      <c r="K187" s="228">
        <f>SUM(K76:K186)</f>
        <v>0.87563459219656181</v>
      </c>
      <c r="L187" s="344">
        <f>SUM(L76:L186)</f>
        <v>99.999999999999986</v>
      </c>
      <c r="M187" t="s">
        <v>235</v>
      </c>
      <c r="N187" s="221">
        <f>(100-L187)*$H$56</f>
        <v>1.4210854715202003E-21</v>
      </c>
      <c r="O187" s="221">
        <f>(100-L187)*$H$56</f>
        <v>1.4210854715202003E-21</v>
      </c>
      <c r="W187" s="6"/>
    </row>
    <row r="188" spans="1:24" x14ac:dyDescent="0.2">
      <c r="C188" s="167"/>
      <c r="I188" s="161"/>
      <c r="M188" s="9"/>
      <c r="N188" s="211"/>
      <c r="W188" s="6"/>
      <c r="X188" s="167"/>
    </row>
    <row r="189" spans="1:24" x14ac:dyDescent="0.2">
      <c r="C189" s="167"/>
      <c r="J189" s="212" t="s">
        <v>229</v>
      </c>
      <c r="K189" s="163" t="s">
        <v>194</v>
      </c>
      <c r="L189" s="162"/>
      <c r="M189" s="164"/>
      <c r="N189" s="225">
        <f>SUM(N76:N186)+N187</f>
        <v>26.237282336536342</v>
      </c>
      <c r="O189" s="226">
        <f>SUM(O76:O186)+O187</f>
        <v>26.237282336536342</v>
      </c>
      <c r="P189">
        <f>IF(INVOER!$T$36=1,'Berekening trap 2'!N189,'Berekening trap 2'!O189)</f>
        <v>26.237282336536342</v>
      </c>
      <c r="Q189" s="211" t="s">
        <v>227</v>
      </c>
      <c r="X189" s="180"/>
    </row>
    <row r="190" spans="1:24" x14ac:dyDescent="0.2">
      <c r="J190" s="212" t="s">
        <v>229</v>
      </c>
      <c r="K190" s="163" t="s">
        <v>130</v>
      </c>
      <c r="L190" s="162"/>
      <c r="M190" s="164"/>
      <c r="N190" s="225">
        <f>100-N189</f>
        <v>73.762717663463661</v>
      </c>
      <c r="O190" s="213">
        <f>100-O189</f>
        <v>73.762717663463661</v>
      </c>
      <c r="P190">
        <f>IF(INVOER!$T$36=1,'Berekening trap 2'!N190,'Berekening trap 2'!O190)</f>
        <v>73.762717663463661</v>
      </c>
      <c r="Q190" s="211" t="s">
        <v>227</v>
      </c>
      <c r="X190" s="180"/>
    </row>
    <row r="191" spans="1:24" x14ac:dyDescent="0.2">
      <c r="J191" s="212" t="s">
        <v>229</v>
      </c>
      <c r="K191" s="163" t="s">
        <v>43</v>
      </c>
      <c r="L191" s="210"/>
      <c r="M191" s="210"/>
      <c r="N191" s="305">
        <f>10*$B$58*N189</f>
        <v>4.5112797224705244E-2</v>
      </c>
      <c r="O191" s="305">
        <f>10*$B$58*O189</f>
        <v>4.5112797224705244E-2</v>
      </c>
      <c r="P191">
        <f>10*$B$58*P189</f>
        <v>4.5112797224705244E-2</v>
      </c>
      <c r="Q191" s="17" t="s">
        <v>20</v>
      </c>
      <c r="X191" s="180"/>
    </row>
    <row r="192" spans="1:24" x14ac:dyDescent="0.2">
      <c r="J192" s="118" t="s">
        <v>229</v>
      </c>
      <c r="K192" s="163" t="s">
        <v>43</v>
      </c>
      <c r="L192" s="210"/>
      <c r="M192" s="210"/>
      <c r="N192" s="307">
        <f>10*INVOER!W20*'Berekening trap 2'!N189</f>
        <v>6.6146131783662271E-2</v>
      </c>
      <c r="O192" s="307">
        <f>10*INVOER!W20*'Berekening trap 2'!O189</f>
        <v>6.6146131783662271E-2</v>
      </c>
      <c r="P192">
        <f>IF(INVOER!$T$36=1,'Berekening trap 2'!N192,'Berekening trap 2'!O192)</f>
        <v>6.6146131783662271E-2</v>
      </c>
      <c r="Q192" s="17" t="s">
        <v>250</v>
      </c>
      <c r="X192" s="167"/>
    </row>
    <row r="193" spans="18:24" x14ac:dyDescent="0.2">
      <c r="R193" s="180"/>
      <c r="S193" s="180"/>
      <c r="T193" s="180"/>
      <c r="U193" s="180"/>
      <c r="V193" s="143"/>
      <c r="W193" s="17"/>
      <c r="X193" s="180"/>
    </row>
    <row r="194" spans="18:24" x14ac:dyDescent="0.2">
      <c r="R194" s="180"/>
      <c r="S194" s="180"/>
      <c r="T194" s="180"/>
      <c r="U194" s="180"/>
      <c r="V194" s="143"/>
      <c r="W194" s="17"/>
      <c r="X194" s="180"/>
    </row>
    <row r="195" spans="18:24" x14ac:dyDescent="0.2">
      <c r="X195" s="180"/>
    </row>
    <row r="196" spans="18:24" x14ac:dyDescent="0.2">
      <c r="X196" s="180"/>
    </row>
  </sheetData>
  <pageMargins left="0.75" right="0.75" top="1" bottom="1" header="0.5" footer="0.5"/>
  <pageSetup paperSize="9" scale="6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4101" r:id="rId4">
          <objectPr defaultSize="0" autoPict="0" r:id="rId5">
            <anchor moveWithCells="1">
              <from>
                <xdr:col>3</xdr:col>
                <xdr:colOff>28575</xdr:colOff>
                <xdr:row>49</xdr:row>
                <xdr:rowOff>66675</xdr:rowOff>
              </from>
              <to>
                <xdr:col>4</xdr:col>
                <xdr:colOff>533400</xdr:colOff>
                <xdr:row>51</xdr:row>
                <xdr:rowOff>95250</xdr:rowOff>
              </to>
            </anchor>
          </objectPr>
        </oleObject>
      </mc:Choice>
      <mc:Fallback>
        <oleObject progId="Equation.3" shapeId="4101" r:id="rId4"/>
      </mc:Fallback>
    </mc:AlternateContent>
    <mc:AlternateContent xmlns:mc="http://schemas.openxmlformats.org/markup-compatibility/2006">
      <mc:Choice Requires="x14">
        <oleObject progId="Equation.3" shapeId="4099" r:id="rId6">
          <objectPr defaultSize="0" autoPict="0" r:id="rId7">
            <anchor moveWithCells="1" sizeWithCells="1">
              <from>
                <xdr:col>11</xdr:col>
                <xdr:colOff>104775</xdr:colOff>
                <xdr:row>33</xdr:row>
                <xdr:rowOff>152400</xdr:rowOff>
              </from>
              <to>
                <xdr:col>13</xdr:col>
                <xdr:colOff>666750</xdr:colOff>
                <xdr:row>37</xdr:row>
                <xdr:rowOff>66675</xdr:rowOff>
              </to>
            </anchor>
          </objectPr>
        </oleObject>
      </mc:Choice>
      <mc:Fallback>
        <oleObject progId="Equation.3" shapeId="4099" r:id="rId6"/>
      </mc:Fallback>
    </mc:AlternateContent>
    <mc:AlternateContent xmlns:mc="http://schemas.openxmlformats.org/markup-compatibility/2006">
      <mc:Choice Requires="x14">
        <oleObject progId="Equation.3" shapeId="4100" r:id="rId8">
          <objectPr defaultSize="0" autoPict="0" r:id="rId9">
            <anchor moveWithCells="1" sizeWithCells="1">
              <from>
                <xdr:col>11</xdr:col>
                <xdr:colOff>104775</xdr:colOff>
                <xdr:row>37</xdr:row>
                <xdr:rowOff>66675</xdr:rowOff>
              </from>
              <to>
                <xdr:col>13</xdr:col>
                <xdr:colOff>666750</xdr:colOff>
                <xdr:row>40</xdr:row>
                <xdr:rowOff>142875</xdr:rowOff>
              </to>
            </anchor>
          </objectPr>
        </oleObject>
      </mc:Choice>
      <mc:Fallback>
        <oleObject progId="Equation.3" shapeId="4100" r:id="rId8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3">
    <pageSetUpPr fitToPage="1"/>
  </sheetPr>
  <dimension ref="A1:AC83"/>
  <sheetViews>
    <sheetView showGridLines="0" topLeftCell="A19" zoomScale="75" workbookViewId="0">
      <selection activeCell="V15" sqref="V15"/>
    </sheetView>
  </sheetViews>
  <sheetFormatPr defaultRowHeight="12.75" x14ac:dyDescent="0.2"/>
  <cols>
    <col min="1" max="1" width="2.28515625" customWidth="1"/>
    <col min="3" max="3" width="7.140625" customWidth="1"/>
    <col min="6" max="6" width="6.5703125" customWidth="1"/>
    <col min="7" max="7" width="8.28515625" customWidth="1"/>
    <col min="8" max="8" width="10.7109375" customWidth="1"/>
    <col min="9" max="9" width="10.5703125" customWidth="1"/>
    <col min="10" max="10" width="9.42578125" bestFit="1" customWidth="1"/>
    <col min="13" max="13" width="11" customWidth="1"/>
    <col min="15" max="15" width="10.5703125" customWidth="1"/>
    <col min="16" max="16" width="2.28515625" customWidth="1"/>
    <col min="17" max="17" width="9.140625" style="6"/>
    <col min="21" max="21" width="12.7109375" bestFit="1" customWidth="1"/>
  </cols>
  <sheetData>
    <row r="1" spans="1:29" ht="15.75" customHeight="1" x14ac:dyDescent="0.2">
      <c r="A1" s="105"/>
      <c r="B1" s="106"/>
      <c r="C1" s="106"/>
      <c r="D1" s="106"/>
      <c r="E1" s="106"/>
      <c r="F1" s="107"/>
      <c r="G1" s="107"/>
      <c r="H1" s="5"/>
      <c r="I1" s="406" t="s">
        <v>293</v>
      </c>
      <c r="J1" s="407"/>
      <c r="K1" s="407"/>
      <c r="L1" s="407"/>
      <c r="M1" s="407"/>
      <c r="N1" s="407"/>
      <c r="O1" s="407"/>
      <c r="P1" s="408"/>
      <c r="Q1" s="126"/>
    </row>
    <row r="2" spans="1:29" ht="15.75" customHeight="1" x14ac:dyDescent="0.2">
      <c r="A2" s="108"/>
      <c r="B2" s="110"/>
      <c r="C2" s="109"/>
      <c r="D2" s="109"/>
      <c r="E2" s="109"/>
      <c r="F2" s="110"/>
      <c r="G2" s="110"/>
      <c r="H2" s="6"/>
      <c r="I2" s="409"/>
      <c r="J2" s="410"/>
      <c r="K2" s="410"/>
      <c r="L2" s="410"/>
      <c r="M2" s="410"/>
      <c r="N2" s="410"/>
      <c r="O2" s="410"/>
      <c r="P2" s="411"/>
      <c r="Q2" s="126"/>
    </row>
    <row r="3" spans="1:29" x14ac:dyDescent="0.2">
      <c r="A3" s="108"/>
      <c r="B3" s="110"/>
      <c r="C3" s="109"/>
      <c r="D3" s="109"/>
      <c r="E3" s="109"/>
      <c r="F3" s="110"/>
      <c r="G3" s="110"/>
      <c r="H3" s="6"/>
      <c r="I3" s="120" t="s">
        <v>159</v>
      </c>
      <c r="J3" s="419" t="str">
        <f>INVOER!H2</f>
        <v>Cargill</v>
      </c>
      <c r="K3" s="419"/>
      <c r="L3" s="419"/>
      <c r="M3" s="420"/>
      <c r="N3" s="120" t="s">
        <v>161</v>
      </c>
      <c r="O3" s="413">
        <f>+INVOER!H5</f>
        <v>43865</v>
      </c>
      <c r="P3" s="414"/>
    </row>
    <row r="4" spans="1:29" x14ac:dyDescent="0.2">
      <c r="A4" s="108"/>
      <c r="B4" s="110"/>
      <c r="C4" s="109"/>
      <c r="D4" s="109"/>
      <c r="E4" s="109"/>
      <c r="F4" s="110"/>
      <c r="G4" s="110"/>
      <c r="H4" s="6"/>
      <c r="I4" s="121" t="s">
        <v>160</v>
      </c>
      <c r="J4" s="421" t="str">
        <f>INVOER!H3</f>
        <v>Maltodextrine</v>
      </c>
      <c r="K4" s="421"/>
      <c r="L4" s="421"/>
      <c r="M4" s="422"/>
      <c r="N4" s="121" t="s">
        <v>176</v>
      </c>
      <c r="O4" s="415" t="str">
        <f>+INVOER!H6</f>
        <v>GP</v>
      </c>
      <c r="P4" s="416"/>
    </row>
    <row r="5" spans="1:29" x14ac:dyDescent="0.2">
      <c r="A5" s="129"/>
      <c r="B5" s="130"/>
      <c r="C5" s="131"/>
      <c r="D5" s="131"/>
      <c r="E5" s="131"/>
      <c r="F5" s="130"/>
      <c r="G5" s="130"/>
      <c r="H5" s="46"/>
      <c r="I5" s="122" t="s">
        <v>162</v>
      </c>
      <c r="J5" s="423">
        <f>INVOER!H4</f>
        <v>0</v>
      </c>
      <c r="K5" s="423"/>
      <c r="L5" s="423"/>
      <c r="M5" s="424"/>
      <c r="N5" s="122" t="s">
        <v>177</v>
      </c>
      <c r="O5" s="417"/>
      <c r="P5" s="418"/>
    </row>
    <row r="6" spans="1:29" x14ac:dyDescent="0.2">
      <c r="A6" s="41" t="s">
        <v>105</v>
      </c>
      <c r="B6" s="5"/>
      <c r="C6" s="5"/>
      <c r="D6" s="5">
        <f>INVOER!C5</f>
        <v>120</v>
      </c>
      <c r="E6" s="5" t="s">
        <v>107</v>
      </c>
      <c r="F6" s="5"/>
      <c r="G6" s="42"/>
      <c r="H6" s="5" t="s">
        <v>119</v>
      </c>
      <c r="I6" s="5"/>
      <c r="J6" s="54" t="s">
        <v>23</v>
      </c>
      <c r="K6" s="58">
        <f>'Berekening trap 1'!K23</f>
        <v>850</v>
      </c>
      <c r="L6" s="41" t="s">
        <v>124</v>
      </c>
      <c r="M6" s="5"/>
      <c r="N6" s="5"/>
      <c r="O6" s="5"/>
      <c r="P6" s="42"/>
      <c r="R6" s="109"/>
      <c r="X6" s="109"/>
      <c r="Y6" s="111"/>
      <c r="Z6" s="111"/>
      <c r="AA6" s="111"/>
      <c r="AB6" s="111"/>
      <c r="AC6" s="111"/>
    </row>
    <row r="7" spans="1:29" x14ac:dyDescent="0.2">
      <c r="A7" s="43" t="s">
        <v>106</v>
      </c>
      <c r="B7" s="6"/>
      <c r="C7" s="6"/>
      <c r="D7" s="6">
        <f>INVOER!C6</f>
        <v>1</v>
      </c>
      <c r="E7" s="6" t="str">
        <f>INVOER!U2</f>
        <v>[bar(abs)]</v>
      </c>
      <c r="F7" s="6"/>
      <c r="G7" s="44"/>
      <c r="H7" s="6" t="s">
        <v>143</v>
      </c>
      <c r="I7" s="6"/>
      <c r="J7" s="6">
        <f>INVOER!C15</f>
        <v>120</v>
      </c>
      <c r="K7" s="6"/>
      <c r="L7" s="52" t="s">
        <v>173</v>
      </c>
      <c r="M7" s="57">
        <f>J8</f>
        <v>300</v>
      </c>
      <c r="N7" s="118" t="s">
        <v>163</v>
      </c>
      <c r="O7" s="57">
        <f>'Berekening trap 1'!K29*'OUTPUT trap 1'!M$7</f>
        <v>745.5</v>
      </c>
      <c r="P7" s="44"/>
      <c r="X7" s="115"/>
      <c r="Y7" s="116"/>
      <c r="Z7" s="117"/>
      <c r="AA7" s="116"/>
      <c r="AB7" s="116"/>
      <c r="AC7" s="116"/>
    </row>
    <row r="8" spans="1:29" x14ac:dyDescent="0.2">
      <c r="A8" s="43" t="s">
        <v>149</v>
      </c>
      <c r="B8" s="6"/>
      <c r="C8" s="6"/>
      <c r="D8" s="8">
        <f>'Berekening trap 1'!C6</f>
        <v>20.833333333333332</v>
      </c>
      <c r="E8" s="6" t="s">
        <v>111</v>
      </c>
      <c r="F8" s="57">
        <f>3600*D8</f>
        <v>75000</v>
      </c>
      <c r="G8" s="44" t="s">
        <v>110</v>
      </c>
      <c r="H8" s="6" t="s">
        <v>178</v>
      </c>
      <c r="I8" s="6"/>
      <c r="J8" s="6">
        <f>'Berekening trap 1'!C13</f>
        <v>300</v>
      </c>
      <c r="K8" s="44" t="s">
        <v>121</v>
      </c>
      <c r="L8" s="52" t="s">
        <v>172</v>
      </c>
      <c r="M8" s="57">
        <f>'Berekening trap 1'!K24*'OUTPUT trap 1'!M$7</f>
        <v>60.900000000000006</v>
      </c>
      <c r="N8" s="118" t="s">
        <v>164</v>
      </c>
      <c r="O8" s="57">
        <f>'Berekening trap 1'!K30*'OUTPUT trap 1'!M$7</f>
        <v>393.6</v>
      </c>
      <c r="P8" s="44"/>
      <c r="X8" s="6"/>
      <c r="Y8" s="116"/>
      <c r="Z8" s="117"/>
      <c r="AA8" s="116"/>
      <c r="AB8" s="116"/>
      <c r="AC8" s="116"/>
    </row>
    <row r="9" spans="1:29" x14ac:dyDescent="0.2">
      <c r="A9" s="43" t="s">
        <v>149</v>
      </c>
      <c r="B9" s="6"/>
      <c r="C9" s="6"/>
      <c r="D9" s="8">
        <f>INVOER!V9</f>
        <v>14.472010178117049</v>
      </c>
      <c r="E9" s="6" t="s">
        <v>108</v>
      </c>
      <c r="F9" s="57">
        <f>3600*D9</f>
        <v>52099.236641221374</v>
      </c>
      <c r="G9" s="44" t="s">
        <v>109</v>
      </c>
      <c r="H9" s="6" t="s">
        <v>123</v>
      </c>
      <c r="I9" s="6"/>
      <c r="J9" s="118" t="str">
        <f>IF('Berekening trap 1'!C14=1,"NA",'Berekening trap 1'!C14)</f>
        <v>NA</v>
      </c>
      <c r="K9" s="44"/>
      <c r="L9" s="52" t="s">
        <v>171</v>
      </c>
      <c r="M9" s="57">
        <f>'Berekening trap 1'!K25*'OUTPUT trap 1'!M$7</f>
        <v>137.1</v>
      </c>
      <c r="N9" s="118" t="s">
        <v>165</v>
      </c>
      <c r="O9" s="57">
        <f>'Berekening trap 1'!K31*'OUTPUT trap 1'!M$7</f>
        <v>180</v>
      </c>
      <c r="P9" s="44"/>
      <c r="X9" s="6"/>
      <c r="Y9" s="112"/>
      <c r="Z9" s="111"/>
      <c r="AA9" s="112"/>
      <c r="AB9" s="112"/>
      <c r="AC9" s="112"/>
    </row>
    <row r="10" spans="1:29" x14ac:dyDescent="0.2">
      <c r="A10" s="43" t="s">
        <v>112</v>
      </c>
      <c r="B10" s="6"/>
      <c r="C10" s="6"/>
      <c r="D10" s="6">
        <f>INVOER!T15</f>
        <v>0.89770000000000005</v>
      </c>
      <c r="E10" s="6" t="s">
        <v>113</v>
      </c>
      <c r="F10" s="6">
        <f>INVOER!U15</f>
        <v>1.2922934065934066</v>
      </c>
      <c r="G10" s="44" t="s">
        <v>142</v>
      </c>
      <c r="H10" s="6" t="s">
        <v>39</v>
      </c>
      <c r="I10" s="6"/>
      <c r="J10" s="61">
        <f>'Berekening trap 1'!R24</f>
        <v>20.793268862888318</v>
      </c>
      <c r="K10" s="44" t="s">
        <v>122</v>
      </c>
      <c r="L10" s="52" t="s">
        <v>170</v>
      </c>
      <c r="M10" s="57">
        <f>'Berekening trap 1'!K26*'OUTPUT trap 1'!M$7</f>
        <v>169.2</v>
      </c>
      <c r="N10" s="118" t="s">
        <v>166</v>
      </c>
      <c r="O10" s="57">
        <f>'Berekening trap 1'!K32*'OUTPUT trap 1'!M$7</f>
        <v>120</v>
      </c>
      <c r="P10" s="44"/>
      <c r="X10" s="115"/>
      <c r="Y10" s="114"/>
      <c r="Z10" s="113"/>
      <c r="AA10" s="114"/>
      <c r="AB10" s="114"/>
      <c r="AC10" s="114"/>
    </row>
    <row r="11" spans="1:29" x14ac:dyDescent="0.2">
      <c r="A11" s="43" t="s">
        <v>152</v>
      </c>
      <c r="B11" s="6"/>
      <c r="C11" s="6"/>
      <c r="D11" s="6">
        <f>INVOER!C9</f>
        <v>2.2700000000000001E-2</v>
      </c>
      <c r="E11" s="6" t="s">
        <v>114</v>
      </c>
      <c r="F11" s="6"/>
      <c r="G11" s="44"/>
      <c r="H11" s="43" t="s">
        <v>120</v>
      </c>
      <c r="I11" s="6"/>
      <c r="J11" s="61">
        <f>'Berekening trap 1'!R25</f>
        <v>26.059637776537201</v>
      </c>
      <c r="K11" s="44" t="s">
        <v>122</v>
      </c>
      <c r="L11" s="52" t="s">
        <v>169</v>
      </c>
      <c r="M11" s="57">
        <f>'Berekening trap 1'!K27*'OUTPUT trap 1'!M$7*INVOER!C20</f>
        <v>92.1</v>
      </c>
      <c r="N11" s="118" t="s">
        <v>167</v>
      </c>
      <c r="O11" s="57">
        <f>'Berekening trap 1'!K33*'OUTPUT trap 1'!M$7</f>
        <v>90</v>
      </c>
      <c r="P11" s="44"/>
      <c r="X11" s="113"/>
      <c r="Y11" s="114"/>
      <c r="Z11" s="113"/>
      <c r="AA11" s="114"/>
      <c r="AB11" s="114"/>
      <c r="AC11" s="114"/>
    </row>
    <row r="12" spans="1:29" x14ac:dyDescent="0.2">
      <c r="A12" s="43" t="s">
        <v>115</v>
      </c>
      <c r="B12" s="6"/>
      <c r="C12" s="6"/>
      <c r="D12" s="6">
        <f>'Berekening trap 1'!C9</f>
        <v>1200</v>
      </c>
      <c r="E12" s="6" t="s">
        <v>118</v>
      </c>
      <c r="F12" s="6"/>
      <c r="G12" s="44"/>
      <c r="H12" s="6" t="s">
        <v>187</v>
      </c>
      <c r="I12" s="6"/>
      <c r="J12" s="118" t="str">
        <f>INVOER!U36</f>
        <v>Y</v>
      </c>
      <c r="K12" s="6"/>
      <c r="L12" s="52" t="s">
        <v>175</v>
      </c>
      <c r="M12" s="57">
        <f>'Berekening trap 1'!K28*'OUTPUT trap 1'!M$7</f>
        <v>128.4</v>
      </c>
      <c r="N12" s="118" t="s">
        <v>168</v>
      </c>
      <c r="O12" s="57">
        <f>0.625*O10</f>
        <v>75</v>
      </c>
      <c r="P12" s="44"/>
      <c r="X12" s="113"/>
      <c r="Y12" s="6"/>
      <c r="Z12" s="6"/>
      <c r="AA12" s="6"/>
      <c r="AB12" s="6"/>
      <c r="AC12" s="6"/>
    </row>
    <row r="13" spans="1:29" x14ac:dyDescent="0.2">
      <c r="A13" s="45" t="s">
        <v>116</v>
      </c>
      <c r="B13" s="46"/>
      <c r="C13" s="46"/>
      <c r="D13" s="75">
        <f>INVOER!V19*1000</f>
        <v>20</v>
      </c>
      <c r="E13" s="46" t="s">
        <v>117</v>
      </c>
      <c r="F13" s="75">
        <f>INVOER!W19*1000</f>
        <v>28.791208791208792</v>
      </c>
      <c r="G13" s="50" t="s">
        <v>44</v>
      </c>
      <c r="H13" s="46"/>
      <c r="I13" s="46"/>
      <c r="J13" s="46"/>
      <c r="K13" s="46"/>
      <c r="L13" s="53" t="s">
        <v>174</v>
      </c>
      <c r="M13" s="119">
        <f>M7*0.892</f>
        <v>267.60000000000002</v>
      </c>
      <c r="N13" s="46"/>
      <c r="O13" s="46"/>
      <c r="P13" s="50"/>
      <c r="X13" s="6"/>
      <c r="Y13" s="6"/>
      <c r="Z13" s="6"/>
      <c r="AA13" s="6"/>
      <c r="AB13" s="6"/>
      <c r="AC13" s="6"/>
    </row>
    <row r="14" spans="1:29" x14ac:dyDescent="0.2">
      <c r="A14" s="43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73"/>
      <c r="N14" s="6"/>
      <c r="O14" s="6"/>
      <c r="P14" s="44"/>
      <c r="S14" s="6"/>
      <c r="T14" s="6"/>
      <c r="U14" s="6"/>
      <c r="V14" s="6"/>
      <c r="W14" s="6"/>
      <c r="X14" s="6"/>
    </row>
    <row r="15" spans="1:29" x14ac:dyDescent="0.2">
      <c r="A15" s="43"/>
      <c r="B15" s="403" t="s">
        <v>129</v>
      </c>
      <c r="C15" s="404"/>
      <c r="D15" s="404"/>
      <c r="E15" s="405"/>
      <c r="F15" s="6"/>
      <c r="G15" s="403" t="s">
        <v>254</v>
      </c>
      <c r="H15" s="404"/>
      <c r="I15" s="404"/>
      <c r="J15" s="404"/>
      <c r="K15" s="404"/>
      <c r="L15" s="404"/>
      <c r="M15" s="404"/>
      <c r="N15" s="404"/>
      <c r="O15" s="405"/>
      <c r="P15" s="44"/>
    </row>
    <row r="16" spans="1:29" x14ac:dyDescent="0.2">
      <c r="A16" s="43"/>
      <c r="B16" s="43" t="s">
        <v>130</v>
      </c>
      <c r="C16" s="6"/>
      <c r="D16" s="8">
        <f>100-K41</f>
        <v>99.12435977464034</v>
      </c>
      <c r="E16" s="44" t="s">
        <v>5</v>
      </c>
      <c r="F16" s="6"/>
      <c r="G16" s="62" t="s">
        <v>134</v>
      </c>
      <c r="H16" s="412" t="s">
        <v>182</v>
      </c>
      <c r="I16" s="412"/>
      <c r="J16" s="400" t="s">
        <v>183</v>
      </c>
      <c r="K16" s="401"/>
      <c r="L16" s="402"/>
      <c r="M16" s="400" t="s">
        <v>184</v>
      </c>
      <c r="N16" s="402"/>
      <c r="O16" s="102" t="s">
        <v>185</v>
      </c>
      <c r="P16" s="232"/>
      <c r="Q16" s="233"/>
    </row>
    <row r="17" spans="1:17" x14ac:dyDescent="0.2">
      <c r="A17" s="43"/>
      <c r="B17" s="43" t="s">
        <v>131</v>
      </c>
      <c r="C17" s="6"/>
      <c r="D17" s="134">
        <f>K41/100*D13</f>
        <v>0.17512804507193092</v>
      </c>
      <c r="E17" s="44" t="s">
        <v>144</v>
      </c>
      <c r="F17" s="6"/>
      <c r="G17" s="63" t="s">
        <v>135</v>
      </c>
      <c r="H17" s="59" t="s">
        <v>136</v>
      </c>
      <c r="I17" s="59" t="s">
        <v>137</v>
      </c>
      <c r="J17" s="59" t="s">
        <v>138</v>
      </c>
      <c r="K17" s="59" t="s">
        <v>139</v>
      </c>
      <c r="L17" s="59" t="s">
        <v>136</v>
      </c>
      <c r="M17" s="59" t="s">
        <v>140</v>
      </c>
      <c r="N17" s="59" t="s">
        <v>136</v>
      </c>
      <c r="O17" s="103" t="s">
        <v>186</v>
      </c>
      <c r="P17" s="232"/>
      <c r="Q17" s="233"/>
    </row>
    <row r="18" spans="1:17" x14ac:dyDescent="0.2">
      <c r="A18" s="43"/>
      <c r="B18" s="43" t="s">
        <v>131</v>
      </c>
      <c r="C18" s="6"/>
      <c r="D18" s="134">
        <f>K41/100*F13</f>
        <v>0.25210740554310934</v>
      </c>
      <c r="E18" s="44" t="s">
        <v>44</v>
      </c>
      <c r="F18" s="6"/>
      <c r="G18" s="64">
        <f>'Berekening trap 1'!B76</f>
        <v>0.17895473832498884</v>
      </c>
      <c r="H18" s="60">
        <f>100*'Berekening trap 1'!R76</f>
        <v>99.99999999271067</v>
      </c>
      <c r="I18" s="60">
        <f>'Berekening trap 1'!T76</f>
        <v>7.2893246993999128E-9</v>
      </c>
      <c r="J18" s="60">
        <f>IF(INVOER!$S$36=1,100*'Berekening trap 1'!H76,100*'Berekening trap 1'!I76)</f>
        <v>100</v>
      </c>
      <c r="K18" s="256">
        <f>J18*I18/100</f>
        <v>7.2893246993999128E-9</v>
      </c>
      <c r="L18" s="60">
        <f>100*(1-K18/K41)</f>
        <v>99.999999167543422</v>
      </c>
      <c r="M18" s="60">
        <f>I18-K18</f>
        <v>0</v>
      </c>
      <c r="N18" s="60">
        <f>100-M18/M41*100</f>
        <v>100</v>
      </c>
      <c r="O18" s="104">
        <f>100-J18</f>
        <v>0</v>
      </c>
      <c r="P18" s="134"/>
      <c r="Q18" s="234"/>
    </row>
    <row r="19" spans="1:17" x14ac:dyDescent="0.2">
      <c r="A19" s="43"/>
      <c r="B19" s="96" t="s">
        <v>153</v>
      </c>
      <c r="C19" s="97"/>
      <c r="D19" s="97"/>
      <c r="E19" s="98"/>
      <c r="F19" s="6"/>
      <c r="G19" s="64">
        <f>'Berekening trap 1'!B81</f>
        <v>0.44394388118899941</v>
      </c>
      <c r="H19" s="60">
        <f>100*'Berekening trap 1'!R81</f>
        <v>99.999998688993003</v>
      </c>
      <c r="I19" s="60">
        <f>H18-H19</f>
        <v>1.3037176671559791E-6</v>
      </c>
      <c r="J19" s="60">
        <f>IF(INVOER!$S$36=1,100*'Berekening trap 1'!H81,100*'Berekening trap 1'!I81)</f>
        <v>87.727906539437711</v>
      </c>
      <c r="K19" s="256">
        <f>J19*I19/100</f>
        <v>1.143724216580735E-6</v>
      </c>
      <c r="L19" s="60">
        <f t="shared" ref="L19:L40" si="0">L18-100*K19/K$41</f>
        <v>99.999868551774128</v>
      </c>
      <c r="M19" s="60">
        <f>I19-K19</f>
        <v>1.5999345057524412E-7</v>
      </c>
      <c r="N19" s="60">
        <f t="shared" ref="N19:N40" si="1">N18-M19/M$41*100</f>
        <v>99.999999838593212</v>
      </c>
      <c r="O19" s="104">
        <f t="shared" ref="O19:O24" si="2">100-J19</f>
        <v>12.272093460562289</v>
      </c>
      <c r="P19" s="134"/>
      <c r="Q19" s="234"/>
    </row>
    <row r="20" spans="1:17" x14ac:dyDescent="0.2">
      <c r="A20" s="43"/>
      <c r="B20" s="127" t="s">
        <v>179</v>
      </c>
      <c r="C20" s="6"/>
      <c r="D20" s="57">
        <f>'Berekening trap 1'!R27</f>
        <v>1843.6155949408451</v>
      </c>
      <c r="E20" s="44" t="s">
        <v>132</v>
      </c>
      <c r="F20" s="6"/>
      <c r="G20" s="64">
        <f>'Berekening trap 1'!B86</f>
        <v>0.56381949830303846</v>
      </c>
      <c r="H20" s="60">
        <f>100*'Berekening trap 1'!R86</f>
        <v>99.999764211750517</v>
      </c>
      <c r="I20" s="60">
        <f>H19-H20</f>
        <v>2.34477242486264E-4</v>
      </c>
      <c r="J20" s="60">
        <f>IF(INVOER!$S$36=1,100*'Berekening trap 1'!H86,100*'Berekening trap 1'!I86)</f>
        <v>77.618922199391889</v>
      </c>
      <c r="K20" s="256">
        <f>J20*I20/100</f>
        <v>1.8199870842069271E-4</v>
      </c>
      <c r="L20" s="60">
        <f>L19-100*K20/K$41</f>
        <v>99.979083907219234</v>
      </c>
      <c r="M20" s="60">
        <f>I20-K20</f>
        <v>5.2478534065571289E-5</v>
      </c>
      <c r="N20" s="60">
        <f>N19-M20/M$41*100</f>
        <v>99.999946896476672</v>
      </c>
      <c r="O20" s="104">
        <f t="shared" si="2"/>
        <v>22.381077800608111</v>
      </c>
      <c r="P20" s="134"/>
      <c r="Q20" s="234"/>
    </row>
    <row r="21" spans="1:17" x14ac:dyDescent="0.2">
      <c r="A21" s="43"/>
      <c r="B21" s="128" t="s">
        <v>180</v>
      </c>
      <c r="C21" s="99"/>
      <c r="D21" s="100">
        <f>'Berekening trap 1'!R28</f>
        <v>1197.7679423131469</v>
      </c>
      <c r="E21" s="101" t="s">
        <v>132</v>
      </c>
      <c r="F21" s="6"/>
      <c r="G21" s="64">
        <f>'Berekening trap 1'!B91</f>
        <v>0.71606443998121994</v>
      </c>
      <c r="H21" s="60">
        <f>100*'Berekening trap 1'!R91</f>
        <v>99.982962819567888</v>
      </c>
      <c r="I21" s="60">
        <f t="shared" ref="I21:I40" si="3">H20-H21</f>
        <v>1.6801392182628661E-2</v>
      </c>
      <c r="J21" s="60">
        <f>IF(INVOER!$S$36=1,100*'Berekening trap 1'!H91,100*'Berekening trap 1'!I91)</f>
        <v>68.185567130913</v>
      </c>
      <c r="K21" s="256">
        <f>J21*I21/100</f>
        <v>1.1456124545614234E-2</v>
      </c>
      <c r="L21" s="60">
        <f>L20-100*K21/K$41</f>
        <v>98.670769805853141</v>
      </c>
      <c r="M21" s="60">
        <f>I21-K21</f>
        <v>5.3452676370144264E-3</v>
      </c>
      <c r="N21" s="60">
        <f>N20-M21/M$41*100</f>
        <v>99.994554410059436</v>
      </c>
      <c r="O21" s="104">
        <f t="shared" si="2"/>
        <v>31.814432869087</v>
      </c>
      <c r="P21" s="134"/>
      <c r="Q21" s="234"/>
    </row>
    <row r="22" spans="1:17" x14ac:dyDescent="0.2">
      <c r="A22" s="43"/>
      <c r="B22" s="43" t="s">
        <v>74</v>
      </c>
      <c r="C22" s="6"/>
      <c r="D22" s="56">
        <f>'Berekening trap 1'!K51</f>
        <v>0.38441170011996861</v>
      </c>
      <c r="E22" s="44" t="s">
        <v>133</v>
      </c>
      <c r="F22" s="6"/>
      <c r="G22" s="64">
        <f>'Berekening trap 1'!B96</f>
        <v>0.90941920907110763</v>
      </c>
      <c r="H22" s="60">
        <f>100*'Berekening trap 1'!R96</f>
        <v>99.907666486448534</v>
      </c>
      <c r="I22" s="60">
        <f t="shared" si="3"/>
        <v>7.5296333119354131E-2</v>
      </c>
      <c r="J22" s="60">
        <f>IF(INVOER!$S$36=1,100*'Berekening trap 1'!H96,100*'Berekening trap 1'!I96)</f>
        <v>58.998424767549928</v>
      </c>
      <c r="K22" s="256">
        <f>J22*I22/100</f>
        <v>4.4423650448145925E-2</v>
      </c>
      <c r="L22" s="60">
        <f t="shared" si="0"/>
        <v>93.597493229288872</v>
      </c>
      <c r="M22" s="60">
        <f t="shared" ref="M22:M39" si="4">I22-K22</f>
        <v>3.0872682671208206E-2</v>
      </c>
      <c r="N22" s="60">
        <f t="shared" si="1"/>
        <v>99.963409005699305</v>
      </c>
      <c r="O22" s="104">
        <f t="shared" si="2"/>
        <v>41.001575232450072</v>
      </c>
      <c r="P22" s="134"/>
      <c r="Q22" s="234"/>
    </row>
    <row r="23" spans="1:17" x14ac:dyDescent="0.2">
      <c r="A23" s="43"/>
      <c r="B23" s="43" t="s">
        <v>76</v>
      </c>
      <c r="C23" s="6"/>
      <c r="D23" s="56">
        <f>'Berekening trap 1'!K52</f>
        <v>0.42282102376441322</v>
      </c>
      <c r="E23" s="44" t="s">
        <v>133</v>
      </c>
      <c r="F23" s="6"/>
      <c r="G23" s="64">
        <f>'Berekening trap 1'!B101</f>
        <v>1.1549844562162725</v>
      </c>
      <c r="H23" s="60">
        <f>100*'Berekening trap 1'!R101</f>
        <v>99.76766795790877</v>
      </c>
      <c r="I23" s="60">
        <f t="shared" si="3"/>
        <v>0.13999852853976336</v>
      </c>
      <c r="J23" s="60">
        <f>IF(INVOER!$S$36=1,100*'Berekening trap 1'!H101,100*'Berekening trap 1'!I101)</f>
        <v>49.999222072102533</v>
      </c>
      <c r="K23" s="256">
        <f t="shared" ref="K23:K40" si="5">J23*I23/100</f>
        <v>6.9998175182272124E-2</v>
      </c>
      <c r="L23" s="60">
        <f t="shared" si="0"/>
        <v>85.603550836621665</v>
      </c>
      <c r="M23" s="60">
        <f t="shared" si="4"/>
        <v>7.0000353357491232E-2</v>
      </c>
      <c r="N23" s="60">
        <f>N22-M23/M$41*100</f>
        <v>99.892790286429246</v>
      </c>
      <c r="O23" s="104">
        <f t="shared" si="2"/>
        <v>50.000777927897467</v>
      </c>
      <c r="P23" s="134"/>
      <c r="Q23" s="234"/>
    </row>
    <row r="24" spans="1:17" x14ac:dyDescent="0.2">
      <c r="A24" s="43"/>
      <c r="B24" s="43" t="s">
        <v>78</v>
      </c>
      <c r="C24" s="6"/>
      <c r="D24" s="56">
        <f>'Berekening trap 1'!K53</f>
        <v>1.1549602829373224</v>
      </c>
      <c r="E24" s="44" t="s">
        <v>133</v>
      </c>
      <c r="F24" s="6"/>
      <c r="G24" s="64">
        <f>'Berekening trap 1'!B106</f>
        <v>1.4668582770136913</v>
      </c>
      <c r="H24" s="60">
        <f>100*'Berekening trap 1'!R106</f>
        <v>99.581435871728459</v>
      </c>
      <c r="I24" s="60">
        <f t="shared" si="3"/>
        <v>0.18623208618031128</v>
      </c>
      <c r="J24" s="60">
        <f>IF(INVOER!$S$36=1,100*'Berekening trap 1'!H106,100*'Berekening trap 1'!I106)</f>
        <v>41.274095105591222</v>
      </c>
      <c r="K24" s="256">
        <f>J24*I24/100</f>
        <v>7.6865608367188282E-2</v>
      </c>
      <c r="L24" s="60">
        <f>L23-100*K24/K$41</f>
        <v>76.825332780728104</v>
      </c>
      <c r="M24" s="60">
        <f t="shared" si="4"/>
        <v>0.109366477813123</v>
      </c>
      <c r="N24" s="60">
        <f t="shared" si="1"/>
        <v>99.782457692037951</v>
      </c>
      <c r="O24" s="104">
        <f t="shared" si="2"/>
        <v>58.725904894408778</v>
      </c>
      <c r="P24" s="134"/>
      <c r="Q24" s="234"/>
    </row>
    <row r="25" spans="1:17" x14ac:dyDescent="0.2">
      <c r="A25" s="43"/>
      <c r="B25" s="43" t="s">
        <v>80</v>
      </c>
      <c r="C25" s="6"/>
      <c r="D25" s="56">
        <f>'Berekening trap 1'!K54</f>
        <v>4.4077610621737708</v>
      </c>
      <c r="E25" s="44" t="s">
        <v>133</v>
      </c>
      <c r="F25" s="6"/>
      <c r="G25" s="64">
        <f>'Berekening trap 1'!B111</f>
        <v>1.8629455948632017</v>
      </c>
      <c r="H25" s="60">
        <f>100*'Berekening trap 1'!R111</f>
        <v>99.332611250132132</v>
      </c>
      <c r="I25" s="60">
        <f t="shared" si="3"/>
        <v>0.24882462159632723</v>
      </c>
      <c r="J25" s="60">
        <f>IF(INVOER!$S$36=1,100*'Berekening trap 1'!H111,100*'Berekening trap 1'!I111)</f>
        <v>32.989689563012661</v>
      </c>
      <c r="K25" s="256">
        <f>J25*I25/100</f>
        <v>8.2086470220969321E-2</v>
      </c>
      <c r="L25" s="60">
        <f t="shared" si="0"/>
        <v>67.450881054592102</v>
      </c>
      <c r="M25" s="60">
        <f>I25-K25</f>
        <v>0.16673815137535791</v>
      </c>
      <c r="N25" s="60">
        <f>N24-M25/M$41*100</f>
        <v>99.614246616824516</v>
      </c>
      <c r="O25" s="104">
        <f t="shared" ref="O25:O40" si="6">100-J25</f>
        <v>67.010310436987339</v>
      </c>
      <c r="P25" s="134"/>
      <c r="Q25" s="234"/>
    </row>
    <row r="26" spans="1:17" x14ac:dyDescent="0.2">
      <c r="A26" s="43"/>
      <c r="B26" s="45" t="s">
        <v>81</v>
      </c>
      <c r="C26" s="46"/>
      <c r="D26" s="133">
        <f>'Berekening trap 1'!K55</f>
        <v>6.3155605182436476</v>
      </c>
      <c r="E26" s="50" t="s">
        <v>133</v>
      </c>
      <c r="F26" s="6"/>
      <c r="G26" s="64">
        <f>'Berekening trap 1'!B116</f>
        <v>2.3659860968203237</v>
      </c>
      <c r="H26" s="60">
        <f>100*'Berekening trap 1'!R116</f>
        <v>98.968937704961334</v>
      </c>
      <c r="I26" s="60">
        <f t="shared" si="3"/>
        <v>0.36367354517079775</v>
      </c>
      <c r="J26" s="60">
        <f>IF(INVOER!$S$36=1,100*'Berekening trap 1'!H116,100*'Berekening trap 1'!I116)</f>
        <v>25.356147353545271</v>
      </c>
      <c r="K26" s="256">
        <f t="shared" si="5"/>
        <v>9.2213599999369511E-2</v>
      </c>
      <c r="L26" s="60">
        <f t="shared" si="0"/>
        <v>56.919889292365291</v>
      </c>
      <c r="M26" s="60">
        <f>I26-K26</f>
        <v>0.27145994517142824</v>
      </c>
      <c r="N26" s="60">
        <f t="shared" si="1"/>
        <v>99.34038866123359</v>
      </c>
      <c r="O26" s="104">
        <f t="shared" si="6"/>
        <v>74.643852646454732</v>
      </c>
      <c r="P26" s="134"/>
      <c r="Q26" s="234"/>
    </row>
    <row r="27" spans="1:17" x14ac:dyDescent="0.2">
      <c r="A27" s="43"/>
      <c r="B27" s="6"/>
      <c r="C27" s="6"/>
      <c r="D27" s="56"/>
      <c r="E27" s="6"/>
      <c r="F27" s="6"/>
      <c r="G27" s="64">
        <f>'Berekening trap 1'!B121</f>
        <v>3.004859737065015</v>
      </c>
      <c r="H27" s="60">
        <f>100*'Berekening trap 1'!R121</f>
        <v>98.508736279112185</v>
      </c>
      <c r="I27" s="60">
        <f t="shared" si="3"/>
        <v>0.46020142584914936</v>
      </c>
      <c r="J27" s="60">
        <f>IF(INVOER!$S$36=1,100*'Berekening trap 1'!H121,100*'Berekening trap 1'!I121)</f>
        <v>18.591297033938016</v>
      </c>
      <c r="K27" s="256">
        <f t="shared" si="5"/>
        <v>8.5557414034033372E-2</v>
      </c>
      <c r="L27" s="60">
        <f t="shared" si="0"/>
        <v>47.149048305829744</v>
      </c>
      <c r="M27" s="60">
        <f>I27-K27</f>
        <v>0.37464401181511597</v>
      </c>
      <c r="N27" s="60">
        <f t="shared" si="1"/>
        <v>98.962435136321176</v>
      </c>
      <c r="O27" s="104">
        <f t="shared" si="6"/>
        <v>81.408702966061981</v>
      </c>
      <c r="P27" s="134"/>
      <c r="Q27" s="234"/>
    </row>
    <row r="28" spans="1:17" x14ac:dyDescent="0.2">
      <c r="A28" s="43"/>
      <c r="B28" s="6"/>
      <c r="C28" s="6"/>
      <c r="D28" s="6"/>
      <c r="E28" s="6"/>
      <c r="F28" s="6"/>
      <c r="G28" s="64">
        <f>'Berekening trap 1'!B126</f>
        <v>3.8162447579759049</v>
      </c>
      <c r="H28" s="60">
        <f>100*'Berekening trap 1'!R126</f>
        <v>97.870403429827519</v>
      </c>
      <c r="I28" s="60">
        <f t="shared" si="3"/>
        <v>0.63833284928466583</v>
      </c>
      <c r="J28" s="60">
        <f>IF(INVOER!$S$36=1,100*'Berekening trap 1'!H126,100*'Berekening trap 1'!I126)</f>
        <v>12.881016996644648</v>
      </c>
      <c r="K28" s="256">
        <f t="shared" si="5"/>
        <v>8.2223762811523868E-2</v>
      </c>
      <c r="L28" s="60">
        <f t="shared" si="0"/>
        <v>37.758917470103022</v>
      </c>
      <c r="M28" s="60">
        <f t="shared" si="4"/>
        <v>0.55610908647314194</v>
      </c>
      <c r="N28" s="60">
        <f t="shared" si="1"/>
        <v>98.401413518892866</v>
      </c>
      <c r="O28" s="104">
        <f t="shared" si="6"/>
        <v>87.118983003355353</v>
      </c>
      <c r="P28" s="134"/>
      <c r="Q28" s="234"/>
    </row>
    <row r="29" spans="1:17" x14ac:dyDescent="0.2">
      <c r="A29" s="43"/>
      <c r="B29" s="6"/>
      <c r="C29" s="6"/>
      <c r="D29" s="6"/>
      <c r="E29" s="6"/>
      <c r="F29" s="6"/>
      <c r="G29" s="64">
        <f>'Berekening trap 1'!B131</f>
        <v>4.8467234171148483</v>
      </c>
      <c r="H29" s="60">
        <f>100*'Berekening trap 1'!R131</f>
        <v>97.067300080056086</v>
      </c>
      <c r="I29" s="60">
        <f t="shared" si="3"/>
        <v>0.80310334977143327</v>
      </c>
      <c r="J29" s="60">
        <f>IF(INVOER!$S$36=1,100*'Berekening trap 1'!H131,100*'Berekening trap 1'!I131)</f>
        <v>8.3394497186564447</v>
      </c>
      <c r="K29" s="256">
        <f t="shared" si="5"/>
        <v>6.6974400043034274E-2</v>
      </c>
      <c r="L29" s="60">
        <f t="shared" si="0"/>
        <v>30.1102967120142</v>
      </c>
      <c r="M29" s="60">
        <f t="shared" si="4"/>
        <v>0.73612894972839904</v>
      </c>
      <c r="N29" s="60">
        <f t="shared" si="1"/>
        <v>97.658781786993671</v>
      </c>
      <c r="O29" s="104">
        <f t="shared" si="6"/>
        <v>91.660550281343561</v>
      </c>
      <c r="P29" s="134"/>
      <c r="Q29" s="234"/>
    </row>
    <row r="30" spans="1:17" x14ac:dyDescent="0.2">
      <c r="A30" s="43"/>
      <c r="F30" s="6"/>
      <c r="G30" s="64">
        <f>'Berekening trap 1'!B136</f>
        <v>6.1554563115780505</v>
      </c>
      <c r="H30" s="60">
        <f>100*'Berekening trap 1'!R136</f>
        <v>96.044419442760514</v>
      </c>
      <c r="I30" s="60">
        <f t="shared" si="3"/>
        <v>1.0228806372955717</v>
      </c>
      <c r="J30" s="60">
        <f>IF(INVOER!$S$36=1,100*'Berekening trap 1'!H136,100*'Berekening trap 1'!I136)</f>
        <v>5.2738510161942918</v>
      </c>
      <c r="K30" s="256">
        <f>J30*I30/100</f>
        <v>5.3945200884467158E-2</v>
      </c>
      <c r="L30" s="60">
        <f t="shared" si="0"/>
        <v>23.949638564735725</v>
      </c>
      <c r="M30" s="60">
        <f t="shared" si="4"/>
        <v>0.96893543641110447</v>
      </c>
      <c r="N30" s="60">
        <f t="shared" si="1"/>
        <v>96.681287013141926</v>
      </c>
      <c r="O30" s="104">
        <f t="shared" si="6"/>
        <v>94.726148983805714</v>
      </c>
      <c r="P30" s="134"/>
      <c r="Q30" s="234"/>
    </row>
    <row r="31" spans="1:17" x14ac:dyDescent="0.2">
      <c r="A31" s="43"/>
      <c r="F31" s="6"/>
      <c r="G31" s="64">
        <f>'Berekening trap 1'!B141</f>
        <v>7.817578834795766</v>
      </c>
      <c r="H31" s="60">
        <f>100*'Berekening trap 1'!R141</f>
        <v>94.742353063700818</v>
      </c>
      <c r="I31" s="60">
        <f t="shared" si="3"/>
        <v>1.3020663790596956</v>
      </c>
      <c r="J31" s="60">
        <f>IF(INVOER!$S$36=1,100*'Berekening trap 1'!H141,100*'Berekening trap 1'!I141)</f>
        <v>3.0852312820148531</v>
      </c>
      <c r="K31" s="256">
        <f t="shared" si="5"/>
        <v>4.0171759239347821E-2</v>
      </c>
      <c r="L31" s="60">
        <f t="shared" si="0"/>
        <v>19.361937123444818</v>
      </c>
      <c r="M31" s="60">
        <f t="shared" si="4"/>
        <v>1.2618946198203478</v>
      </c>
      <c r="N31" s="60">
        <f t="shared" si="1"/>
        <v>95.40824512647626</v>
      </c>
      <c r="O31" s="104">
        <f t="shared" si="6"/>
        <v>96.91476871798514</v>
      </c>
      <c r="P31" s="134"/>
      <c r="Q31" s="234"/>
    </row>
    <row r="32" spans="1:17" x14ac:dyDescent="0.2">
      <c r="A32" s="43"/>
      <c r="F32" s="6"/>
      <c r="G32" s="64">
        <f>'Berekening trap 1'!B146</f>
        <v>9.9285147590591922</v>
      </c>
      <c r="H32" s="60">
        <f>100*'Berekening trap 1'!R146</f>
        <v>93.002626002822382</v>
      </c>
      <c r="I32" s="60">
        <f t="shared" si="3"/>
        <v>1.7397270608784368</v>
      </c>
      <c r="J32" s="60">
        <f>IF(INVOER!$S$36=1,100*'Berekening trap 1'!H146,100*'Berekening trap 1'!I146)</f>
        <v>1.634373307407377</v>
      </c>
      <c r="K32" s="256">
        <f>J32*I32/100</f>
        <v>2.8433634704740057E-2</v>
      </c>
      <c r="L32" s="60">
        <f t="shared" si="0"/>
        <v>16.114754789734484</v>
      </c>
      <c r="M32" s="60">
        <f t="shared" si="4"/>
        <v>1.7112934261736967</v>
      </c>
      <c r="N32" s="60">
        <f t="shared" si="1"/>
        <v>93.681834554882826</v>
      </c>
      <c r="O32" s="104">
        <f t="shared" si="6"/>
        <v>98.365626692592627</v>
      </c>
      <c r="P32" s="134"/>
      <c r="Q32" s="234"/>
    </row>
    <row r="33" spans="1:24" x14ac:dyDescent="0.2">
      <c r="A33" s="43"/>
      <c r="F33" s="6"/>
      <c r="G33" s="64">
        <f>'Berekening trap 1'!B151</f>
        <v>12.609454589968522</v>
      </c>
      <c r="H33" s="60">
        <f>100*'Berekening trap 1'!R151</f>
        <v>90.856697566392924</v>
      </c>
      <c r="I33" s="60">
        <f t="shared" si="3"/>
        <v>2.1459284364294575</v>
      </c>
      <c r="J33" s="60">
        <f>IF(INVOER!$S$36=1,100*'Berekening trap 1'!H151,100*'Berekening trap 1'!I151)</f>
        <v>0.76981578679222762</v>
      </c>
      <c r="K33" s="256">
        <f t="shared" si="5"/>
        <v>1.6519695876897576E-2</v>
      </c>
      <c r="L33" s="60">
        <f t="shared" si="0"/>
        <v>14.228169934623198</v>
      </c>
      <c r="M33" s="60">
        <f t="shared" si="4"/>
        <v>2.1294087405525599</v>
      </c>
      <c r="N33" s="60">
        <f t="shared" si="1"/>
        <v>91.533615141013442</v>
      </c>
      <c r="O33" s="104">
        <f t="shared" si="6"/>
        <v>99.230184213207778</v>
      </c>
      <c r="P33" s="134"/>
      <c r="Q33" s="234"/>
    </row>
    <row r="34" spans="1:24" x14ac:dyDescent="0.2">
      <c r="A34" s="43"/>
      <c r="F34" s="6"/>
      <c r="G34" s="64">
        <f>'Berekening trap 1'!B156</f>
        <v>16.014313209475915</v>
      </c>
      <c r="H34" s="60">
        <f>100*'Berekening trap 1'!R156</f>
        <v>88.258357317591617</v>
      </c>
      <c r="I34" s="60">
        <f>H33-H34</f>
        <v>2.598340248801307</v>
      </c>
      <c r="J34" s="60">
        <f>IF(INVOER!$S$36=1,100*'Berekening trap 1'!H156,100*'Berekening trap 1'!I156)</f>
        <v>0.31550055362844875</v>
      </c>
      <c r="K34" s="256">
        <f t="shared" si="5"/>
        <v>8.1977778701189368E-3</v>
      </c>
      <c r="L34" s="60">
        <f t="shared" si="0"/>
        <v>13.291966042579313</v>
      </c>
      <c r="M34" s="60">
        <f t="shared" si="4"/>
        <v>2.590142470931188</v>
      </c>
      <c r="N34" s="60">
        <f t="shared" si="1"/>
        <v>88.920591988258778</v>
      </c>
      <c r="O34" s="104">
        <f t="shared" si="6"/>
        <v>99.684499446371547</v>
      </c>
      <c r="P34" s="134"/>
      <c r="Q34" s="234"/>
    </row>
    <row r="35" spans="1:24" x14ac:dyDescent="0.2">
      <c r="A35" s="43"/>
      <c r="F35" s="6"/>
      <c r="G35" s="64">
        <f>'Berekening trap 1'!B161</f>
        <v>20.338566251328629</v>
      </c>
      <c r="H35" s="60">
        <f>100*'Berekening trap 1'!R161</f>
        <v>84.936179924799575</v>
      </c>
      <c r="I35" s="60">
        <f t="shared" si="3"/>
        <v>3.3221773927920424</v>
      </c>
      <c r="J35" s="60">
        <f>IF(INVOER!$S$36=1,100*'Berekening trap 1'!H161,100*'Berekening trap 1'!I161)</f>
        <v>0.10966417225850189</v>
      </c>
      <c r="K35" s="256">
        <f t="shared" si="5"/>
        <v>3.6432383387644722E-3</v>
      </c>
      <c r="L35" s="60">
        <f t="shared" si="0"/>
        <v>12.875900376195831</v>
      </c>
      <c r="M35" s="60">
        <f t="shared" si="4"/>
        <v>3.3185341544532778</v>
      </c>
      <c r="N35" s="60">
        <f t="shared" si="1"/>
        <v>85.572742718918747</v>
      </c>
      <c r="O35" s="104">
        <f t="shared" si="6"/>
        <v>99.890335827741495</v>
      </c>
      <c r="P35" s="134"/>
      <c r="Q35" s="234"/>
    </row>
    <row r="36" spans="1:24" x14ac:dyDescent="0.2">
      <c r="A36" s="43"/>
      <c r="F36" s="6"/>
      <c r="G36" s="64">
        <f>'Berekening trap 1'!B166</f>
        <v>25.83047251223466</v>
      </c>
      <c r="H36" s="60">
        <f>100*'Berekening trap 1'!R166</f>
        <v>81.351492491183251</v>
      </c>
      <c r="I36" s="60">
        <f t="shared" si="3"/>
        <v>3.5846874336163239</v>
      </c>
      <c r="J36" s="60">
        <f>IF(INVOER!$S$36=1,100*'Berekening trap 1'!H166,100*'Berekening trap 1'!I166)</f>
        <v>3.1361936726115473E-2</v>
      </c>
      <c r="K36" s="256">
        <f t="shared" si="5"/>
        <v>1.1242274047597641E-3</v>
      </c>
      <c r="L36" s="60">
        <f t="shared" si="0"/>
        <v>12.747511184813263</v>
      </c>
      <c r="M36" s="60">
        <f t="shared" si="4"/>
        <v>3.5835632062115641</v>
      </c>
      <c r="N36" s="60">
        <f t="shared" si="1"/>
        <v>81.95752319633236</v>
      </c>
      <c r="O36" s="104">
        <f t="shared" si="6"/>
        <v>99.968638063273886</v>
      </c>
      <c r="P36" s="134"/>
      <c r="Q36" s="234"/>
    </row>
    <row r="37" spans="1:24" x14ac:dyDescent="0.2">
      <c r="A37" s="43"/>
      <c r="F37" s="6"/>
      <c r="G37" s="64">
        <f>'Berekening trap 1'!B171</f>
        <v>32.805326686276331</v>
      </c>
      <c r="H37" s="60">
        <f>100*'Berekening trap 1'!R171</f>
        <v>77.348643638374199</v>
      </c>
      <c r="I37" s="60">
        <f t="shared" si="3"/>
        <v>4.002848852809052</v>
      </c>
      <c r="J37" s="60">
        <f>IF(INVOER!$S$36=1,100*'Berekening trap 1'!H171,100*'Berekening trap 1'!I171)</f>
        <v>7.1188048885024863E-3</v>
      </c>
      <c r="K37" s="256">
        <f t="shared" si="5"/>
        <v>2.8495499981313649E-4</v>
      </c>
      <c r="L37" s="60">
        <f t="shared" si="0"/>
        <v>12.714968709997638</v>
      </c>
      <c r="M37" s="60">
        <f t="shared" si="4"/>
        <v>4.0025638978092388</v>
      </c>
      <c r="N37" s="60">
        <f t="shared" si="1"/>
        <v>77.919601633046511</v>
      </c>
      <c r="O37" s="104">
        <f t="shared" si="6"/>
        <v>99.992881195111494</v>
      </c>
      <c r="P37" s="134"/>
      <c r="Q37" s="234"/>
    </row>
    <row r="38" spans="1:24" x14ac:dyDescent="0.2">
      <c r="A38" s="43"/>
      <c r="F38" s="6"/>
      <c r="G38" s="64">
        <f>'Berekening trap 1'!B176</f>
        <v>41.663560683358568</v>
      </c>
      <c r="H38" s="60">
        <f>100*'Berekening trap 1'!R176</f>
        <v>72.267059982268165</v>
      </c>
      <c r="I38" s="60">
        <f t="shared" si="3"/>
        <v>5.0815836561060337</v>
      </c>
      <c r="J38" s="60">
        <f>IF(INVOER!$S$36=1,100*'Berekening trap 1'!H176,100*'Berekening trap 1'!I176)</f>
        <v>1.2291157172747273E-3</v>
      </c>
      <c r="K38" s="256">
        <f t="shared" si="5"/>
        <v>6.2458543403662986E-5</v>
      </c>
      <c r="L38" s="60">
        <f t="shared" si="0"/>
        <v>12.707835809795617</v>
      </c>
      <c r="M38" s="60">
        <f t="shared" si="4"/>
        <v>5.0815211975626298</v>
      </c>
      <c r="N38" s="60">
        <f t="shared" si="1"/>
        <v>72.793191526473834</v>
      </c>
      <c r="O38" s="104">
        <f t="shared" si="6"/>
        <v>99.99877088428272</v>
      </c>
      <c r="P38" s="134"/>
      <c r="Q38" s="234"/>
    </row>
    <row r="39" spans="1:24" x14ac:dyDescent="0.2">
      <c r="A39" s="43"/>
      <c r="F39" s="6"/>
      <c r="G39" s="64">
        <f>'Berekening trap 1'!B181</f>
        <v>52.913732742739995</v>
      </c>
      <c r="H39" s="60">
        <f>100*'Berekening trap 1'!R181</f>
        <v>65.442643463694353</v>
      </c>
      <c r="I39" s="60">
        <f t="shared" si="3"/>
        <v>6.8244165185738126</v>
      </c>
      <c r="J39" s="60">
        <f>IF(INVOER!$S$36=1,100*'Berekening trap 1'!H181,100*'Berekening trap 1'!I181)</f>
        <v>1.5348562461795379E-4</v>
      </c>
      <c r="K39" s="256">
        <f t="shared" si="5"/>
        <v>1.0474498320063832E-5</v>
      </c>
      <c r="L39" s="60">
        <f t="shared" si="0"/>
        <v>12.706639599523783</v>
      </c>
      <c r="M39" s="60">
        <f t="shared" si="4"/>
        <v>6.8244060440754923</v>
      </c>
      <c r="N39" s="60">
        <f t="shared" si="1"/>
        <v>65.908500357127764</v>
      </c>
      <c r="O39" s="104">
        <f t="shared" si="6"/>
        <v>99.999846514375378</v>
      </c>
      <c r="P39" s="134"/>
      <c r="Q39" s="234"/>
    </row>
    <row r="40" spans="1:24" x14ac:dyDescent="0.2">
      <c r="A40" s="43"/>
      <c r="F40" s="6"/>
      <c r="G40" s="64">
        <f>'Berekening trap 1'!B186</f>
        <v>67.201724164887594</v>
      </c>
      <c r="H40" s="60">
        <f>100*'Berekening trap 1'!R186</f>
        <v>56.331630928007279</v>
      </c>
      <c r="I40" s="60">
        <f t="shared" si="3"/>
        <v>9.1110125356870739</v>
      </c>
      <c r="J40" s="60">
        <f>IF(INVOER!$S$36=1,100*'Berekening trap 1'!H186,100*'Berekening trap 1'!I186)</f>
        <v>1.3058823716809201E-5</v>
      </c>
      <c r="K40" s="256">
        <f t="shared" si="5"/>
        <v>1.1897910658517629E-6</v>
      </c>
      <c r="L40" s="60">
        <f t="shared" si="0"/>
        <v>12.706503722821068</v>
      </c>
      <c r="M40" s="60">
        <f>I40-K40</f>
        <v>9.1110113458960083</v>
      </c>
      <c r="N40" s="60">
        <f t="shared" si="1"/>
        <v>56.717004576867566</v>
      </c>
      <c r="O40" s="104">
        <f t="shared" si="6"/>
        <v>99.999986941176289</v>
      </c>
      <c r="P40" s="134"/>
      <c r="Q40" s="235" t="s">
        <v>243</v>
      </c>
    </row>
    <row r="41" spans="1:24" x14ac:dyDescent="0.2">
      <c r="A41" s="43"/>
      <c r="B41" t="s">
        <v>255</v>
      </c>
      <c r="F41" s="6"/>
      <c r="G41" s="72"/>
      <c r="H41" s="73"/>
      <c r="I41" s="73"/>
      <c r="J41" s="124" t="s">
        <v>141</v>
      </c>
      <c r="K41" s="125">
        <f>IF(INVOER!$S$36=1,'Berekening trap 1'!U189,'Berekening trap 1'!V189)</f>
        <v>0.87564022535965458</v>
      </c>
      <c r="L41" s="124" t="s">
        <v>150</v>
      </c>
      <c r="M41" s="125">
        <f>100-K41</f>
        <v>99.12435977464034</v>
      </c>
      <c r="N41" s="73"/>
      <c r="O41" s="74"/>
      <c r="P41" s="134"/>
      <c r="Q41" s="41"/>
      <c r="R41" s="5"/>
      <c r="S41" s="236"/>
      <c r="T41" s="5"/>
      <c r="U41" s="5"/>
      <c r="V41" s="5"/>
      <c r="W41" s="5"/>
      <c r="X41" s="42"/>
    </row>
    <row r="42" spans="1:24" x14ac:dyDescent="0.2">
      <c r="A42" s="43"/>
      <c r="B42" s="6" t="s">
        <v>258</v>
      </c>
      <c r="C42" s="6"/>
      <c r="D42" s="56"/>
      <c r="E42" s="6"/>
      <c r="F42" s="6"/>
      <c r="G42" s="6"/>
      <c r="H42" s="6"/>
      <c r="I42" s="6"/>
      <c r="J42" s="118"/>
      <c r="K42" s="123"/>
      <c r="L42" s="118"/>
      <c r="M42" s="134"/>
      <c r="N42" s="6"/>
      <c r="O42" s="6"/>
      <c r="P42" s="134"/>
      <c r="Q42" s="43" t="s">
        <v>244</v>
      </c>
      <c r="R42" s="6"/>
      <c r="S42" s="6"/>
      <c r="T42" s="6"/>
      <c r="U42" s="237">
        <f>'Berekening trap 1'!U187/'Berekening trap 1'!U189</f>
        <v>6.1570115750220811E-6</v>
      </c>
      <c r="V42" s="231" t="str">
        <f>IF('Berekening trap 1'!U187&lt;'Berekening trap 1'!U189/10,"ok","waarschuwing: verlies van fractie &gt; Dmax bedraagt meer dan 10% van totale verlies")</f>
        <v>ok</v>
      </c>
      <c r="W42" s="6"/>
      <c r="X42" s="44"/>
    </row>
    <row r="43" spans="1:24" x14ac:dyDescent="0.2">
      <c r="A43" s="43"/>
      <c r="B43" s="230" t="s">
        <v>256</v>
      </c>
      <c r="D43" s="259">
        <f>'Berekening trap 1'!K56</f>
        <v>68.807781426752868</v>
      </c>
      <c r="E43" s="132" t="s">
        <v>242</v>
      </c>
      <c r="F43" s="132"/>
      <c r="G43" s="6"/>
      <c r="H43" s="6"/>
      <c r="I43" s="6"/>
      <c r="J43" s="6"/>
      <c r="K43" s="6"/>
      <c r="L43" s="6"/>
      <c r="M43" s="6"/>
      <c r="N43" s="6"/>
      <c r="O43" s="6"/>
      <c r="P43" s="134"/>
      <c r="Q43" s="43"/>
      <c r="R43" s="6"/>
      <c r="S43" s="6"/>
      <c r="T43" s="6"/>
      <c r="U43" s="6"/>
      <c r="V43" s="6"/>
      <c r="W43" s="6"/>
      <c r="X43" s="44"/>
    </row>
    <row r="44" spans="1:24" x14ac:dyDescent="0.2">
      <c r="A44" s="43"/>
      <c r="B44" s="230" t="s">
        <v>257</v>
      </c>
      <c r="D44" s="260">
        <f>'Berekening trap 1'!H57/2</f>
        <v>0.18060534457382807</v>
      </c>
      <c r="E44" s="132" t="s">
        <v>252</v>
      </c>
      <c r="F44" s="132"/>
      <c r="G44" s="6"/>
      <c r="H44" s="6"/>
      <c r="I44" s="6"/>
      <c r="J44" s="6"/>
      <c r="K44" s="6"/>
      <c r="L44" s="6"/>
      <c r="M44" s="6"/>
      <c r="N44" s="6"/>
      <c r="O44" s="6"/>
      <c r="P44" s="6"/>
      <c r="Q44" s="238" t="s">
        <v>251</v>
      </c>
      <c r="R44" s="143"/>
      <c r="S44" s="143"/>
      <c r="T44" s="143"/>
      <c r="U44" s="143"/>
      <c r="V44" s="143"/>
      <c r="W44" s="6"/>
      <c r="X44" s="44"/>
    </row>
    <row r="45" spans="1:24" x14ac:dyDescent="0.2">
      <c r="A45" s="43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238" t="s">
        <v>232</v>
      </c>
      <c r="R45" s="143"/>
      <c r="S45" s="143"/>
      <c r="T45" s="143"/>
      <c r="U45" s="143"/>
      <c r="V45" s="143"/>
      <c r="W45" s="6"/>
      <c r="X45" s="44"/>
    </row>
    <row r="46" spans="1:24" x14ac:dyDescent="0.2">
      <c r="A46" s="43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239" t="s">
        <v>247</v>
      </c>
      <c r="R46" s="186"/>
      <c r="S46" s="186"/>
      <c r="T46" s="186"/>
      <c r="U46" s="186"/>
      <c r="V46" s="186"/>
      <c r="W46" s="46"/>
      <c r="X46" s="50"/>
    </row>
    <row r="47" spans="1:24" x14ac:dyDescent="0.2">
      <c r="A47" s="43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44"/>
      <c r="R47" s="167"/>
      <c r="S47" s="167"/>
      <c r="T47" s="167"/>
      <c r="U47" s="167"/>
    </row>
    <row r="48" spans="1:24" x14ac:dyDescent="0.2">
      <c r="A48" s="43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44"/>
      <c r="R48" s="167"/>
      <c r="S48" s="167"/>
      <c r="T48" s="167"/>
      <c r="U48" s="167"/>
    </row>
    <row r="49" spans="1:24" x14ac:dyDescent="0.2">
      <c r="A49" s="43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44"/>
      <c r="R49" s="167"/>
      <c r="S49" s="167"/>
      <c r="T49" s="167"/>
      <c r="U49" s="167"/>
    </row>
    <row r="50" spans="1:24" x14ac:dyDescent="0.2">
      <c r="A50" s="43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44"/>
      <c r="Q50" s="143"/>
      <c r="R50" s="167"/>
      <c r="S50" s="167"/>
      <c r="T50" s="167"/>
      <c r="U50" s="167"/>
    </row>
    <row r="51" spans="1:24" x14ac:dyDescent="0.2">
      <c r="A51" s="43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44"/>
      <c r="Q51" s="143"/>
      <c r="R51" s="167"/>
      <c r="S51" s="167"/>
      <c r="T51" s="167"/>
      <c r="U51" s="167"/>
    </row>
    <row r="52" spans="1:24" x14ac:dyDescent="0.2">
      <c r="A52" s="43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44"/>
    </row>
    <row r="53" spans="1:24" x14ac:dyDescent="0.2">
      <c r="A53" s="43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44"/>
    </row>
    <row r="54" spans="1:24" x14ac:dyDescent="0.2">
      <c r="A54" s="43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44"/>
    </row>
    <row r="55" spans="1:24" x14ac:dyDescent="0.2">
      <c r="A55" s="43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44"/>
    </row>
    <row r="56" spans="1:24" x14ac:dyDescent="0.2">
      <c r="A56" s="43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44"/>
    </row>
    <row r="57" spans="1:24" x14ac:dyDescent="0.2">
      <c r="A57" s="43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44"/>
    </row>
    <row r="58" spans="1:24" x14ac:dyDescent="0.2">
      <c r="A58" s="43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44"/>
    </row>
    <row r="59" spans="1:24" x14ac:dyDescent="0.2">
      <c r="A59" s="43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44"/>
    </row>
    <row r="60" spans="1:24" x14ac:dyDescent="0.2">
      <c r="A60" s="43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44"/>
      <c r="R60" s="224"/>
      <c r="S60" s="224"/>
      <c r="T60" s="224"/>
      <c r="U60" s="224"/>
      <c r="V60" s="167"/>
    </row>
    <row r="61" spans="1:24" x14ac:dyDescent="0.2">
      <c r="A61" s="43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44"/>
    </row>
    <row r="62" spans="1:24" x14ac:dyDescent="0.2">
      <c r="A62" s="43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44"/>
      <c r="W62" s="167"/>
      <c r="X62" s="167"/>
    </row>
    <row r="63" spans="1:24" x14ac:dyDescent="0.2">
      <c r="A63" s="43"/>
      <c r="B63" s="6"/>
      <c r="C63" s="6"/>
      <c r="D63" s="6"/>
      <c r="E63" s="6"/>
      <c r="F63" s="6"/>
      <c r="G63" s="6"/>
      <c r="H63" s="123"/>
      <c r="I63" s="6"/>
      <c r="J63" s="6"/>
      <c r="K63" s="6"/>
      <c r="L63" s="6"/>
      <c r="M63" s="6"/>
      <c r="N63" s="6"/>
      <c r="O63" s="6"/>
      <c r="P63" s="44"/>
      <c r="W63" s="167"/>
      <c r="X63" s="167"/>
    </row>
    <row r="64" spans="1:24" x14ac:dyDescent="0.2">
      <c r="A64" s="43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44"/>
      <c r="W64" s="167"/>
      <c r="X64" s="167"/>
    </row>
    <row r="65" spans="1:22" x14ac:dyDescent="0.2">
      <c r="A65" s="43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44"/>
    </row>
    <row r="66" spans="1:22" x14ac:dyDescent="0.2">
      <c r="A66" s="43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44"/>
      <c r="R66" s="167"/>
      <c r="S66" s="167"/>
      <c r="T66" s="167"/>
      <c r="U66" s="167"/>
      <c r="V66" s="167"/>
    </row>
    <row r="67" spans="1:22" x14ac:dyDescent="0.2">
      <c r="A67" s="43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44"/>
    </row>
    <row r="68" spans="1:22" x14ac:dyDescent="0.2">
      <c r="A68" s="43"/>
      <c r="B68" s="6"/>
      <c r="C68" s="6"/>
      <c r="D68" s="6"/>
      <c r="E68" s="6"/>
      <c r="F68" s="6"/>
      <c r="G68" s="6"/>
      <c r="H68" s="6"/>
      <c r="I68" s="123"/>
      <c r="J68" s="6"/>
      <c r="K68" s="6"/>
      <c r="L68" s="6"/>
      <c r="M68" s="6"/>
      <c r="N68" s="6"/>
      <c r="O68" s="6"/>
      <c r="P68" s="44"/>
    </row>
    <row r="69" spans="1:22" x14ac:dyDescent="0.2">
      <c r="A69" s="43"/>
      <c r="B69" s="6"/>
      <c r="C69" s="6"/>
      <c r="D69" s="6"/>
      <c r="E69" s="6"/>
      <c r="F69" s="6"/>
      <c r="G69" s="6"/>
      <c r="H69" s="6"/>
      <c r="I69" s="123"/>
      <c r="J69" s="6"/>
      <c r="K69" s="6"/>
      <c r="L69" s="6"/>
      <c r="M69" s="6"/>
      <c r="N69" s="6"/>
      <c r="O69" s="6"/>
      <c r="P69" s="44"/>
    </row>
    <row r="70" spans="1:22" x14ac:dyDescent="0.2">
      <c r="A70" s="43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44"/>
    </row>
    <row r="71" spans="1:22" x14ac:dyDescent="0.2">
      <c r="A71" s="43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44"/>
    </row>
    <row r="72" spans="1:22" x14ac:dyDescent="0.2">
      <c r="A72" s="43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44"/>
    </row>
    <row r="73" spans="1:22" x14ac:dyDescent="0.2">
      <c r="A73" s="43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44"/>
    </row>
    <row r="74" spans="1:22" x14ac:dyDescent="0.2">
      <c r="A74" s="43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44"/>
    </row>
    <row r="75" spans="1:22" x14ac:dyDescent="0.2">
      <c r="A75" s="43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44"/>
    </row>
    <row r="76" spans="1:22" x14ac:dyDescent="0.2">
      <c r="A76" s="43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44"/>
    </row>
    <row r="77" spans="1:22" x14ac:dyDescent="0.2">
      <c r="A77" s="43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44"/>
    </row>
    <row r="78" spans="1:22" x14ac:dyDescent="0.2">
      <c r="A78" s="43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44"/>
    </row>
    <row r="79" spans="1:22" x14ac:dyDescent="0.2">
      <c r="A79" s="43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44"/>
    </row>
    <row r="80" spans="1:22" x14ac:dyDescent="0.2">
      <c r="A80" s="43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44"/>
    </row>
    <row r="81" spans="1:16" x14ac:dyDescent="0.2">
      <c r="A81" s="43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44"/>
    </row>
    <row r="82" spans="1:16" x14ac:dyDescent="0.2">
      <c r="A82" s="43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44"/>
    </row>
    <row r="83" spans="1:16" x14ac:dyDescent="0.2">
      <c r="A83" s="45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50"/>
    </row>
  </sheetData>
  <mergeCells count="12">
    <mergeCell ref="B15:E15"/>
    <mergeCell ref="O3:P3"/>
    <mergeCell ref="O4:P4"/>
    <mergeCell ref="O5:P5"/>
    <mergeCell ref="J3:M3"/>
    <mergeCell ref="J4:M4"/>
    <mergeCell ref="J5:M5"/>
    <mergeCell ref="J16:L16"/>
    <mergeCell ref="M16:N16"/>
    <mergeCell ref="G15:O15"/>
    <mergeCell ref="I1:P2"/>
    <mergeCell ref="H16:I16"/>
  </mergeCells>
  <phoneticPr fontId="0" type="noConversion"/>
  <pageMargins left="0.51" right="0.17" top="0.49" bottom="0.55000000000000004" header="0.36" footer="0.51"/>
  <pageSetup paperSize="9" scale="73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6">
    <pageSetUpPr fitToPage="1"/>
  </sheetPr>
  <dimension ref="A1:AC83"/>
  <sheetViews>
    <sheetView showGridLines="0" topLeftCell="H17" zoomScale="160" zoomScaleNormal="160" workbookViewId="0">
      <selection activeCell="N35" sqref="N35"/>
    </sheetView>
  </sheetViews>
  <sheetFormatPr defaultRowHeight="12.75" x14ac:dyDescent="0.2"/>
  <cols>
    <col min="1" max="1" width="2.28515625" customWidth="1"/>
    <col min="3" max="3" width="7.140625" customWidth="1"/>
    <col min="6" max="6" width="6.5703125" customWidth="1"/>
    <col min="7" max="7" width="8.28515625" customWidth="1"/>
    <col min="8" max="8" width="10.7109375" customWidth="1"/>
    <col min="9" max="9" width="10.5703125" customWidth="1"/>
    <col min="10" max="10" width="9.42578125" bestFit="1" customWidth="1"/>
    <col min="13" max="13" width="11" customWidth="1"/>
    <col min="15" max="15" width="10.5703125" customWidth="1"/>
    <col min="16" max="16" width="2.28515625" customWidth="1"/>
    <col min="17" max="17" width="9.140625" style="6"/>
    <col min="21" max="21" width="13.28515625" bestFit="1" customWidth="1"/>
  </cols>
  <sheetData>
    <row r="1" spans="1:29" ht="15.75" customHeight="1" x14ac:dyDescent="0.2">
      <c r="A1" s="105"/>
      <c r="B1" s="106"/>
      <c r="C1" s="106"/>
      <c r="D1" s="106"/>
      <c r="E1" s="106"/>
      <c r="F1" s="107"/>
      <c r="G1" s="107"/>
      <c r="H1" s="5"/>
      <c r="I1" s="406" t="s">
        <v>294</v>
      </c>
      <c r="J1" s="407"/>
      <c r="K1" s="407"/>
      <c r="L1" s="407"/>
      <c r="M1" s="407"/>
      <c r="N1" s="407"/>
      <c r="O1" s="407"/>
      <c r="P1" s="408"/>
      <c r="Q1" s="126"/>
    </row>
    <row r="2" spans="1:29" ht="15.75" customHeight="1" x14ac:dyDescent="0.2">
      <c r="A2" s="108"/>
      <c r="B2" s="110"/>
      <c r="C2" s="109"/>
      <c r="D2" s="109"/>
      <c r="E2" s="109"/>
      <c r="F2" s="110"/>
      <c r="G2" s="110"/>
      <c r="H2" s="6"/>
      <c r="I2" s="409"/>
      <c r="J2" s="410"/>
      <c r="K2" s="410"/>
      <c r="L2" s="410"/>
      <c r="M2" s="410"/>
      <c r="N2" s="410"/>
      <c r="O2" s="410"/>
      <c r="P2" s="411"/>
      <c r="Q2" s="126"/>
    </row>
    <row r="3" spans="1:29" x14ac:dyDescent="0.2">
      <c r="A3" s="108"/>
      <c r="B3" s="110"/>
      <c r="C3" s="109"/>
      <c r="D3" s="109"/>
      <c r="E3" s="109"/>
      <c r="F3" s="110"/>
      <c r="G3" s="110"/>
      <c r="H3" s="6"/>
      <c r="I3" s="120" t="s">
        <v>159</v>
      </c>
      <c r="J3" s="419" t="str">
        <f>INVOER!H2</f>
        <v>Cargill</v>
      </c>
      <c r="K3" s="419"/>
      <c r="L3" s="419"/>
      <c r="M3" s="420"/>
      <c r="N3" s="120" t="s">
        <v>161</v>
      </c>
      <c r="O3" s="413">
        <f>+INVOER!H5</f>
        <v>43865</v>
      </c>
      <c r="P3" s="414"/>
    </row>
    <row r="4" spans="1:29" x14ac:dyDescent="0.2">
      <c r="A4" s="108"/>
      <c r="B4" s="110"/>
      <c r="C4" s="109"/>
      <c r="D4" s="109"/>
      <c r="E4" s="109"/>
      <c r="F4" s="110"/>
      <c r="G4" s="110"/>
      <c r="H4" s="6"/>
      <c r="I4" s="121" t="s">
        <v>160</v>
      </c>
      <c r="J4" s="421" t="str">
        <f>INVOER!H3</f>
        <v>Maltodextrine</v>
      </c>
      <c r="K4" s="421"/>
      <c r="L4" s="421"/>
      <c r="M4" s="422"/>
      <c r="N4" s="121" t="s">
        <v>176</v>
      </c>
      <c r="O4" s="415" t="str">
        <f>+INVOER!H6</f>
        <v>GP</v>
      </c>
      <c r="P4" s="416"/>
    </row>
    <row r="5" spans="1:29" x14ac:dyDescent="0.2">
      <c r="A5" s="129"/>
      <c r="B5" s="130"/>
      <c r="C5" s="131"/>
      <c r="D5" s="131"/>
      <c r="E5" s="131"/>
      <c r="F5" s="130"/>
      <c r="G5" s="130"/>
      <c r="H5" s="46"/>
      <c r="I5" s="122" t="s">
        <v>162</v>
      </c>
      <c r="J5" s="423">
        <f>INVOER!H4</f>
        <v>0</v>
      </c>
      <c r="K5" s="423"/>
      <c r="L5" s="423"/>
      <c r="M5" s="424"/>
      <c r="N5" s="122" t="s">
        <v>177</v>
      </c>
      <c r="O5" s="417"/>
      <c r="P5" s="418"/>
    </row>
    <row r="6" spans="1:29" x14ac:dyDescent="0.2">
      <c r="A6" s="41" t="s">
        <v>105</v>
      </c>
      <c r="B6" s="5"/>
      <c r="C6" s="5"/>
      <c r="D6" s="5">
        <f>INVOER!C$5</f>
        <v>120</v>
      </c>
      <c r="E6" s="5" t="s">
        <v>107</v>
      </c>
      <c r="F6" s="5"/>
      <c r="G6" s="42"/>
      <c r="H6" s="5" t="s">
        <v>119</v>
      </c>
      <c r="I6" s="5"/>
      <c r="J6" s="54" t="s">
        <v>23</v>
      </c>
      <c r="K6" s="58">
        <f>'Berekening trap 2'!K$23</f>
        <v>850</v>
      </c>
      <c r="L6" s="41" t="s">
        <v>124</v>
      </c>
      <c r="M6" s="5"/>
      <c r="N6" s="5"/>
      <c r="O6" s="5"/>
      <c r="P6" s="42"/>
      <c r="R6" s="109"/>
      <c r="X6" s="109"/>
      <c r="Y6" s="111"/>
      <c r="Z6" s="111"/>
      <c r="AA6" s="111"/>
      <c r="AB6" s="111"/>
      <c r="AC6" s="111"/>
    </row>
    <row r="7" spans="1:29" x14ac:dyDescent="0.2">
      <c r="A7" s="43" t="s">
        <v>106</v>
      </c>
      <c r="B7" s="6"/>
      <c r="C7" s="6"/>
      <c r="D7" s="6">
        <f>INVOER!C$6-INVOER!C$28/100000</f>
        <v>0.98156384405059161</v>
      </c>
      <c r="E7" s="6" t="str">
        <f>INVOER!U2</f>
        <v>[bar(abs)]</v>
      </c>
      <c r="F7" s="6"/>
      <c r="G7" s="44"/>
      <c r="H7" s="6" t="s">
        <v>143</v>
      </c>
      <c r="I7" s="6"/>
      <c r="J7" s="6">
        <f>INVOER!E$15</f>
        <v>120</v>
      </c>
      <c r="K7" s="6"/>
      <c r="L7" s="52" t="s">
        <v>173</v>
      </c>
      <c r="M7" s="57">
        <f>J8</f>
        <v>300</v>
      </c>
      <c r="N7" s="118" t="s">
        <v>163</v>
      </c>
      <c r="O7" s="57">
        <f>'Berekening trap 2'!K$29*'OUTPUT trap 2'!M$7</f>
        <v>745.5</v>
      </c>
      <c r="P7" s="44"/>
      <c r="X7" s="115"/>
      <c r="Y7" s="116"/>
      <c r="Z7" s="117"/>
      <c r="AA7" s="116"/>
      <c r="AB7" s="116"/>
      <c r="AC7" s="116"/>
    </row>
    <row r="8" spans="1:29" x14ac:dyDescent="0.2">
      <c r="A8" s="43" t="s">
        <v>149</v>
      </c>
      <c r="B8" s="6"/>
      <c r="C8" s="6"/>
      <c r="D8" s="8">
        <f>'Berekening trap 2'!C$6</f>
        <v>21.219422232855933</v>
      </c>
      <c r="E8" s="6" t="s">
        <v>111</v>
      </c>
      <c r="F8" s="57">
        <f>3600*D8</f>
        <v>76389.920038281358</v>
      </c>
      <c r="G8" s="44" t="s">
        <v>110</v>
      </c>
      <c r="H8" s="6" t="s">
        <v>178</v>
      </c>
      <c r="I8" s="6"/>
      <c r="J8" s="6">
        <f>INVOER!E$18</f>
        <v>300</v>
      </c>
      <c r="K8" s="44" t="s">
        <v>121</v>
      </c>
      <c r="L8" s="52" t="s">
        <v>172</v>
      </c>
      <c r="M8" s="57">
        <f>'Berekening trap 2'!K$24*'OUTPUT trap 2'!M$7</f>
        <v>60.900000000000006</v>
      </c>
      <c r="N8" s="118" t="s">
        <v>164</v>
      </c>
      <c r="O8" s="57">
        <f>'Berekening trap 2'!K$30*'OUTPUT trap 2'!M$7</f>
        <v>393.6</v>
      </c>
      <c r="P8" s="44"/>
      <c r="X8" s="6"/>
      <c r="Y8" s="116"/>
      <c r="Z8" s="117"/>
      <c r="AA8" s="116"/>
      <c r="AB8" s="116"/>
      <c r="AC8" s="116"/>
    </row>
    <row r="9" spans="1:29" x14ac:dyDescent="0.2">
      <c r="A9" s="43" t="s">
        <v>149</v>
      </c>
      <c r="B9" s="6"/>
      <c r="C9" s="6"/>
      <c r="D9" s="8">
        <f>INVOER!V$9</f>
        <v>14.472010178117049</v>
      </c>
      <c r="E9" s="6" t="s">
        <v>108</v>
      </c>
      <c r="F9" s="57">
        <f>3600*D9</f>
        <v>52099.236641221374</v>
      </c>
      <c r="G9" s="44" t="s">
        <v>109</v>
      </c>
      <c r="H9" s="6" t="s">
        <v>123</v>
      </c>
      <c r="I9" s="6"/>
      <c r="J9" s="118" t="str">
        <f>IF('Berekening trap 2'!C$14=1,"NA",'Berekening trap 2'!C$14)</f>
        <v>NA</v>
      </c>
      <c r="K9" s="44"/>
      <c r="L9" s="52" t="s">
        <v>171</v>
      </c>
      <c r="M9" s="57">
        <f>'Berekening trap 2'!K$25*'OUTPUT trap 2'!M$7</f>
        <v>137.1</v>
      </c>
      <c r="N9" s="118" t="s">
        <v>165</v>
      </c>
      <c r="O9" s="57">
        <f>'Berekening trap 2'!K$31*'OUTPUT trap 2'!M$7</f>
        <v>180</v>
      </c>
      <c r="P9" s="44"/>
      <c r="X9" s="6"/>
      <c r="Y9" s="112"/>
      <c r="Z9" s="111"/>
      <c r="AA9" s="112"/>
      <c r="AB9" s="112"/>
      <c r="AC9" s="112"/>
    </row>
    <row r="10" spans="1:29" x14ac:dyDescent="0.2">
      <c r="A10" s="43" t="s">
        <v>112</v>
      </c>
      <c r="B10" s="6"/>
      <c r="C10" s="6"/>
      <c r="D10" s="6">
        <f>'Berekening trap 2'!C$7</f>
        <v>0.89770000000000005</v>
      </c>
      <c r="E10" s="6" t="s">
        <v>113</v>
      </c>
      <c r="F10" s="6">
        <f>INVOER!U$15</f>
        <v>1.2922934065934066</v>
      </c>
      <c r="G10" s="44" t="s">
        <v>142</v>
      </c>
      <c r="H10" s="6" t="s">
        <v>39</v>
      </c>
      <c r="I10" s="6"/>
      <c r="J10" s="61">
        <f>'Berekening trap 2'!R$24</f>
        <v>21.178615276940324</v>
      </c>
      <c r="K10" s="44" t="s">
        <v>122</v>
      </c>
      <c r="L10" s="52" t="s">
        <v>170</v>
      </c>
      <c r="M10" s="57">
        <f>'Berekening trap 2'!K$26*'OUTPUT trap 2'!M$7</f>
        <v>169.2</v>
      </c>
      <c r="N10" s="118" t="s">
        <v>166</v>
      </c>
      <c r="O10" s="57">
        <f>'Berekening trap 2'!K$32*'OUTPUT trap 2'!M$7</f>
        <v>120</v>
      </c>
      <c r="P10" s="44"/>
      <c r="X10" s="115"/>
      <c r="Y10" s="114"/>
      <c r="Z10" s="113"/>
      <c r="AA10" s="114"/>
      <c r="AB10" s="114"/>
      <c r="AC10" s="114"/>
    </row>
    <row r="11" spans="1:29" x14ac:dyDescent="0.2">
      <c r="A11" s="43" t="s">
        <v>152</v>
      </c>
      <c r="B11" s="6"/>
      <c r="C11" s="6"/>
      <c r="D11" s="6">
        <f>INVOER!C$9</f>
        <v>2.2700000000000001E-2</v>
      </c>
      <c r="E11" s="6" t="s">
        <v>114</v>
      </c>
      <c r="F11" s="6"/>
      <c r="G11" s="44"/>
      <c r="H11" s="43" t="s">
        <v>120</v>
      </c>
      <c r="I11" s="6"/>
      <c r="J11" s="61">
        <f>'Berekening trap 2'!R$25</f>
        <v>26.542581946350044</v>
      </c>
      <c r="K11" s="44" t="s">
        <v>122</v>
      </c>
      <c r="L11" s="52" t="s">
        <v>169</v>
      </c>
      <c r="M11" s="57">
        <f>'Berekening trap 2'!K$27*'OUTPUT trap 2'!M$7*INVOER!C20</f>
        <v>92.1</v>
      </c>
      <c r="N11" s="118" t="s">
        <v>167</v>
      </c>
      <c r="O11" s="57">
        <f>'Berekening trap 2'!K$33*'OUTPUT trap 2'!M$7</f>
        <v>90</v>
      </c>
      <c r="P11" s="44"/>
      <c r="X11" s="113"/>
      <c r="Y11" s="114"/>
      <c r="Z11" s="113"/>
      <c r="AA11" s="114"/>
      <c r="AB11" s="114"/>
      <c r="AC11" s="114"/>
    </row>
    <row r="12" spans="1:29" x14ac:dyDescent="0.2">
      <c r="A12" s="43" t="s">
        <v>115</v>
      </c>
      <c r="B12" s="6"/>
      <c r="C12" s="6"/>
      <c r="D12" s="6">
        <f>'Berekening trap 1'!C$9</f>
        <v>1200</v>
      </c>
      <c r="E12" s="6" t="s">
        <v>118</v>
      </c>
      <c r="F12" s="6"/>
      <c r="G12" s="44"/>
      <c r="H12" s="6" t="s">
        <v>187</v>
      </c>
      <c r="I12" s="6"/>
      <c r="J12" s="118" t="str">
        <f>INVOER!U$37</f>
        <v>Y</v>
      </c>
      <c r="K12" s="6"/>
      <c r="L12" s="52" t="s">
        <v>175</v>
      </c>
      <c r="M12" s="57">
        <f>'Berekening trap 2'!K$28*'OUTPUT trap 2'!M$7</f>
        <v>128.4</v>
      </c>
      <c r="N12" s="118" t="s">
        <v>168</v>
      </c>
      <c r="O12" s="57">
        <f>0.625*O10</f>
        <v>75</v>
      </c>
      <c r="P12" s="44"/>
      <c r="X12" s="113"/>
      <c r="Y12" s="6"/>
      <c r="Z12" s="6"/>
      <c r="AA12" s="6"/>
      <c r="AB12" s="6"/>
      <c r="AC12" s="6"/>
    </row>
    <row r="13" spans="1:29" x14ac:dyDescent="0.2">
      <c r="A13" s="45" t="s">
        <v>116</v>
      </c>
      <c r="B13" s="46"/>
      <c r="C13" s="46"/>
      <c r="D13" s="75">
        <f>INVOER!V$20*1000</f>
        <v>0.17194157781304995</v>
      </c>
      <c r="E13" s="46" t="s">
        <v>117</v>
      </c>
      <c r="F13" s="75">
        <f>INVOER!W$20*1000</f>
        <v>0.25210740554310934</v>
      </c>
      <c r="G13" s="50" t="s">
        <v>44</v>
      </c>
      <c r="H13" s="46"/>
      <c r="I13" s="46"/>
      <c r="J13" s="46"/>
      <c r="K13" s="46"/>
      <c r="L13" s="53" t="s">
        <v>174</v>
      </c>
      <c r="M13" s="119">
        <f>M7*0.892</f>
        <v>267.60000000000002</v>
      </c>
      <c r="N13" s="46"/>
      <c r="O13" s="46"/>
      <c r="P13" s="50"/>
      <c r="X13" s="6"/>
      <c r="Y13" s="6"/>
      <c r="Z13" s="6"/>
      <c r="AA13" s="6"/>
      <c r="AB13" s="6"/>
      <c r="AC13" s="6"/>
    </row>
    <row r="14" spans="1:29" x14ac:dyDescent="0.2">
      <c r="A14" s="43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73"/>
      <c r="N14" s="6"/>
      <c r="O14" s="6"/>
      <c r="P14" s="44"/>
      <c r="S14" s="6"/>
      <c r="T14" s="6"/>
      <c r="U14" s="6"/>
      <c r="V14" s="6"/>
      <c r="W14" s="6"/>
      <c r="X14" s="6"/>
    </row>
    <row r="15" spans="1:29" x14ac:dyDescent="0.2">
      <c r="A15" s="43"/>
      <c r="B15" s="403" t="s">
        <v>129</v>
      </c>
      <c r="C15" s="404"/>
      <c r="D15" s="404"/>
      <c r="E15" s="405"/>
      <c r="F15" s="6"/>
      <c r="G15" s="403" t="s">
        <v>254</v>
      </c>
      <c r="H15" s="404"/>
      <c r="I15" s="404"/>
      <c r="J15" s="404"/>
      <c r="K15" s="404"/>
      <c r="L15" s="404"/>
      <c r="M15" s="404"/>
      <c r="N15" s="404"/>
      <c r="O15" s="405"/>
      <c r="P15" s="44"/>
    </row>
    <row r="16" spans="1:29" x14ac:dyDescent="0.2">
      <c r="A16" s="43"/>
      <c r="B16" s="43" t="s">
        <v>130</v>
      </c>
      <c r="C16" s="6"/>
      <c r="D16" s="8">
        <f>100-K41</f>
        <v>73.762717663463661</v>
      </c>
      <c r="E16" s="44" t="s">
        <v>5</v>
      </c>
      <c r="F16" s="6"/>
      <c r="G16" s="62" t="s">
        <v>134</v>
      </c>
      <c r="H16" s="412" t="s">
        <v>182</v>
      </c>
      <c r="I16" s="412"/>
      <c r="J16" s="400" t="s">
        <v>183</v>
      </c>
      <c r="K16" s="401"/>
      <c r="L16" s="402"/>
      <c r="M16" s="400" t="s">
        <v>184</v>
      </c>
      <c r="N16" s="402"/>
      <c r="O16" s="102" t="s">
        <v>185</v>
      </c>
      <c r="P16" s="366"/>
      <c r="Q16" s="233"/>
    </row>
    <row r="17" spans="1:17" x14ac:dyDescent="0.2">
      <c r="A17" s="43"/>
      <c r="B17" s="43" t="s">
        <v>131</v>
      </c>
      <c r="C17" s="6"/>
      <c r="D17" s="134">
        <f>K41/100*D13</f>
        <v>4.5112797224705244E-2</v>
      </c>
      <c r="E17" s="44" t="s">
        <v>144</v>
      </c>
      <c r="F17" s="6"/>
      <c r="G17" s="63" t="s">
        <v>135</v>
      </c>
      <c r="H17" s="59" t="s">
        <v>136</v>
      </c>
      <c r="I17" s="59" t="s">
        <v>137</v>
      </c>
      <c r="J17" s="59" t="s">
        <v>138</v>
      </c>
      <c r="K17" s="59" t="s">
        <v>139</v>
      </c>
      <c r="L17" s="59" t="s">
        <v>136</v>
      </c>
      <c r="M17" s="59" t="s">
        <v>140</v>
      </c>
      <c r="N17" s="59" t="s">
        <v>136</v>
      </c>
      <c r="O17" s="103" t="s">
        <v>186</v>
      </c>
      <c r="P17" s="366"/>
      <c r="Q17" s="233"/>
    </row>
    <row r="18" spans="1:17" x14ac:dyDescent="0.2">
      <c r="A18" s="43"/>
      <c r="B18" s="43" t="s">
        <v>131</v>
      </c>
      <c r="C18" s="6"/>
      <c r="D18" s="134">
        <f>K41/100*F13</f>
        <v>6.6146131783662271E-2</v>
      </c>
      <c r="E18" s="44" t="s">
        <v>44</v>
      </c>
      <c r="F18" s="6"/>
      <c r="G18" s="64">
        <f>'Berekening trap 2'!B76</f>
        <v>0.17895473832498884</v>
      </c>
      <c r="H18" s="60">
        <f>'Berekening trap 2'!M76</f>
        <v>99.999999167538064</v>
      </c>
      <c r="I18" s="60">
        <f>'Berekening trap 2'!L76</f>
        <v>8.3246193838852022E-7</v>
      </c>
      <c r="J18" s="60">
        <f>IF(INVOER!$T$36=1,100*'Berekening trap 2'!H76,100*'Berekening trap 2'!I76)</f>
        <v>100</v>
      </c>
      <c r="K18" s="256">
        <f>J18*I18/100</f>
        <v>8.3246193838852011E-7</v>
      </c>
      <c r="L18" s="60">
        <f>100*(1-K18/K41)</f>
        <v>99.999996827179245</v>
      </c>
      <c r="M18" s="60">
        <f>I18-K18</f>
        <v>0</v>
      </c>
      <c r="N18" s="60">
        <f>100-M18/M41*100</f>
        <v>100</v>
      </c>
      <c r="O18" s="104">
        <f>100-J18</f>
        <v>0</v>
      </c>
      <c r="P18" s="348"/>
      <c r="Q18" s="234"/>
    </row>
    <row r="19" spans="1:17" x14ac:dyDescent="0.2">
      <c r="A19" s="43"/>
      <c r="B19" s="96" t="s">
        <v>153</v>
      </c>
      <c r="C19" s="97"/>
      <c r="D19" s="97"/>
      <c r="E19" s="98"/>
      <c r="F19" s="6"/>
      <c r="G19" s="64">
        <f>'Berekening trap 2'!B81</f>
        <v>0.44394388118899941</v>
      </c>
      <c r="H19" s="60">
        <f>'Berekening trap 2'!M81</f>
        <v>99.999866760052342</v>
      </c>
      <c r="I19" s="60">
        <f>H18-H19</f>
        <v>1.3240748572229677E-4</v>
      </c>
      <c r="J19" s="60">
        <f>IF(INVOER!$T$36=1,100*'Berekening trap 2'!H81,100*'Berekening trap 2'!I81)</f>
        <v>87.597377444905661</v>
      </c>
      <c r="K19" s="256">
        <f>J19*I19/100</f>
        <v>1.1598548503346987E-4</v>
      </c>
      <c r="L19" s="60">
        <f t="shared" ref="L19:L40" si="0">L18-100*K19/K$41</f>
        <v>99.999554763540388</v>
      </c>
      <c r="M19" s="60">
        <f>I19-K19</f>
        <v>1.6422000688826898E-5</v>
      </c>
      <c r="N19" s="60">
        <f t="shared" ref="N19:N40" si="1">N18-M19/M$41*100</f>
        <v>99.999977736719572</v>
      </c>
      <c r="O19" s="104">
        <f t="shared" ref="O19:O40" si="2">100-J19</f>
        <v>12.402622555094339</v>
      </c>
      <c r="P19" s="348"/>
      <c r="Q19" s="234"/>
    </row>
    <row r="20" spans="1:17" x14ac:dyDescent="0.2">
      <c r="A20" s="43"/>
      <c r="B20" s="127" t="s">
        <v>179</v>
      </c>
      <c r="C20" s="6"/>
      <c r="D20" s="57">
        <f>'Berekening trap 2'!R27</f>
        <v>1704.412128823423</v>
      </c>
      <c r="E20" s="44" t="s">
        <v>132</v>
      </c>
      <c r="F20" s="6"/>
      <c r="G20" s="64">
        <f>'Berekening trap 2'!B86</f>
        <v>0.56381949830303846</v>
      </c>
      <c r="H20" s="60">
        <f>'Berekening trap 2'!M86</f>
        <v>99.978809701113647</v>
      </c>
      <c r="I20" s="60">
        <f>H19-H20</f>
        <v>2.1057058938694695E-2</v>
      </c>
      <c r="J20" s="60">
        <f>IF(INVOER!$T$36=1,100*'Berekening trap 2'!H86,100*'Berekening trap 2'!I86)</f>
        <v>77.729161336716757</v>
      </c>
      <c r="K20" s="256">
        <f>J20*I20/100</f>
        <v>1.6367475315225536E-2</v>
      </c>
      <c r="L20" s="60">
        <f>L19-100*K20/K$41</f>
        <v>99.937172253395914</v>
      </c>
      <c r="M20" s="60">
        <f>I20-K20</f>
        <v>4.6895836234691589E-3</v>
      </c>
      <c r="N20" s="60">
        <f>N19-M20/M$41*100</f>
        <v>99.993620075597505</v>
      </c>
      <c r="O20" s="104">
        <f t="shared" si="2"/>
        <v>22.270838663283243</v>
      </c>
      <c r="P20" s="348"/>
      <c r="Q20" s="234"/>
    </row>
    <row r="21" spans="1:17" x14ac:dyDescent="0.2">
      <c r="A21" s="43"/>
      <c r="B21" s="128" t="s">
        <v>180</v>
      </c>
      <c r="C21" s="99"/>
      <c r="D21" s="100">
        <f>'Berekening trap 2'!R28</f>
        <v>1242.5740206825144</v>
      </c>
      <c r="E21" s="101" t="s">
        <v>132</v>
      </c>
      <c r="F21" s="6"/>
      <c r="G21" s="64">
        <f>'Berekening trap 2'!B91</f>
        <v>0.71606443998121994</v>
      </c>
      <c r="H21" s="60">
        <f>'Berekening trap 2'!M91</f>
        <v>98.630967526972995</v>
      </c>
      <c r="I21" s="60">
        <f t="shared" ref="I21:I40" si="3">H20-H21</f>
        <v>1.3478421741406521</v>
      </c>
      <c r="J21" s="60">
        <f>IF(INVOER!$T$36=1,100*'Berekening trap 2'!H91,100*'Berekening trap 2'!I91)</f>
        <v>68.464153865945462</v>
      </c>
      <c r="K21" s="256">
        <f>J21*I21/100</f>
        <v>0.92278873997376065</v>
      </c>
      <c r="L21" s="60">
        <f>L20-100*K21/K$41</f>
        <v>96.420082609211448</v>
      </c>
      <c r="M21" s="60">
        <f>I21-K21</f>
        <v>0.42505343416689145</v>
      </c>
      <c r="N21" s="60">
        <f>N20-M21/M$41*100</f>
        <v>99.41737580527905</v>
      </c>
      <c r="O21" s="104">
        <f t="shared" si="2"/>
        <v>31.535846134054538</v>
      </c>
      <c r="P21" s="348"/>
      <c r="Q21" s="234"/>
    </row>
    <row r="22" spans="1:17" x14ac:dyDescent="0.2">
      <c r="A22" s="43"/>
      <c r="B22" s="43" t="s">
        <v>74</v>
      </c>
      <c r="C22" s="6"/>
      <c r="D22" s="56">
        <f>'Berekening trap 2'!K51</f>
        <v>0.38166891048988288</v>
      </c>
      <c r="E22" s="44" t="s">
        <v>133</v>
      </c>
      <c r="F22" s="6"/>
      <c r="G22" s="64">
        <f>'Berekening trap 2'!B96</f>
        <v>0.90941920907110763</v>
      </c>
      <c r="H22" s="60">
        <f>'Berekening trap 2'!M96</f>
        <v>93.292433907254789</v>
      </c>
      <c r="I22" s="60">
        <f t="shared" si="3"/>
        <v>5.3385336197182056</v>
      </c>
      <c r="J22" s="60">
        <f>IF(INVOER!$T$36=1,100*'Berekening trap 2'!H96,100*'Berekening trap 2'!I96)</f>
        <v>59.405124732672718</v>
      </c>
      <c r="K22" s="256">
        <f>J22*I22/100</f>
        <v>3.1713625556892682</v>
      </c>
      <c r="L22" s="60">
        <f t="shared" si="0"/>
        <v>84.332845390770444</v>
      </c>
      <c r="M22" s="60">
        <f t="shared" ref="M22:M39" si="4">I22-K22</f>
        <v>2.1671710640289374</v>
      </c>
      <c r="N22" s="60">
        <f t="shared" si="1"/>
        <v>96.47934541177257</v>
      </c>
      <c r="O22" s="104">
        <f t="shared" si="2"/>
        <v>40.594875267327282</v>
      </c>
      <c r="P22" s="348"/>
      <c r="Q22" s="234"/>
    </row>
    <row r="23" spans="1:17" x14ac:dyDescent="0.2">
      <c r="A23" s="43"/>
      <c r="B23" s="43" t="s">
        <v>76</v>
      </c>
      <c r="C23" s="6"/>
      <c r="D23" s="56">
        <f>'Berekening trap 2'!K52</f>
        <v>0.4210027043945857</v>
      </c>
      <c r="E23" s="44" t="s">
        <v>133</v>
      </c>
      <c r="F23" s="6"/>
      <c r="G23" s="64">
        <f>'Berekening trap 2'!B101</f>
        <v>1.1549844562162725</v>
      </c>
      <c r="H23" s="60">
        <f>'Berekening trap 2'!M101</f>
        <v>84.774199981047232</v>
      </c>
      <c r="I23" s="60">
        <f t="shared" si="3"/>
        <v>8.5182339262075573</v>
      </c>
      <c r="J23" s="60">
        <f>IF(INVOER!$T$36=1,100*'Berekening trap 2'!H101,100*'Berekening trap 2'!I101)</f>
        <v>50.499625204396438</v>
      </c>
      <c r="K23" s="256">
        <f t="shared" ref="K23:K40" si="5">J23*I23/100</f>
        <v>4.3016762067685592</v>
      </c>
      <c r="L23" s="60">
        <f t="shared" si="0"/>
        <v>67.937564234770832</v>
      </c>
      <c r="M23" s="60">
        <f t="shared" si="4"/>
        <v>4.216557719438998</v>
      </c>
      <c r="N23" s="60">
        <f>N22-M23/M$41*100</f>
        <v>90.762964761758155</v>
      </c>
      <c r="O23" s="104">
        <f t="shared" si="2"/>
        <v>49.500374795603562</v>
      </c>
      <c r="P23" s="348"/>
      <c r="Q23" s="234"/>
    </row>
    <row r="24" spans="1:17" x14ac:dyDescent="0.2">
      <c r="A24" s="43"/>
      <c r="B24" s="43" t="s">
        <v>78</v>
      </c>
      <c r="C24" s="6"/>
      <c r="D24" s="56">
        <f>'Berekening trap 2'!K53</f>
        <v>1.1707637519056175</v>
      </c>
      <c r="E24" s="44" t="s">
        <v>133</v>
      </c>
      <c r="F24" s="6"/>
      <c r="G24" s="64">
        <f>'Berekening trap 2'!B106</f>
        <v>1.4668582770136913</v>
      </c>
      <c r="H24" s="60">
        <f>'Berekening trap 2'!M106</f>
        <v>75.319066037593302</v>
      </c>
      <c r="I24" s="60">
        <f t="shared" si="3"/>
        <v>9.4551339434539301</v>
      </c>
      <c r="J24" s="60">
        <f>IF(INVOER!$T$36=1,100*'Berekening trap 2'!H106,100*'Berekening trap 2'!I106)</f>
        <v>41.833599083381941</v>
      </c>
      <c r="K24" s="256">
        <f>J24*I24/100</f>
        <v>3.9554228267012781</v>
      </c>
      <c r="L24" s="60">
        <f>L23-100*K24/K$41</f>
        <v>52.861982945647711</v>
      </c>
      <c r="M24" s="60">
        <f t="shared" si="4"/>
        <v>5.4997111167526516</v>
      </c>
      <c r="N24" s="60">
        <f t="shared" si="1"/>
        <v>83.307015074756876</v>
      </c>
      <c r="O24" s="104">
        <f t="shared" si="2"/>
        <v>58.166400916618059</v>
      </c>
      <c r="P24" s="348"/>
      <c r="Q24" s="234"/>
    </row>
    <row r="25" spans="1:17" x14ac:dyDescent="0.2">
      <c r="A25" s="43"/>
      <c r="B25" s="43" t="s">
        <v>80</v>
      </c>
      <c r="C25" s="6"/>
      <c r="D25" s="56">
        <f>'Berekening trap 2'!K54</f>
        <v>4.5018558754725673</v>
      </c>
      <c r="E25" s="44" t="s">
        <v>133</v>
      </c>
      <c r="F25" s="6"/>
      <c r="G25" s="64">
        <f>'Berekening trap 2'!B111</f>
        <v>1.8629455948632017</v>
      </c>
      <c r="H25" s="60">
        <f>'Berekening trap 2'!M111</f>
        <v>65.067065790237905</v>
      </c>
      <c r="I25" s="60">
        <f t="shared" si="3"/>
        <v>10.252000247355397</v>
      </c>
      <c r="J25" s="60">
        <f>IF(INVOER!$T$36=1,100*'Berekening trap 2'!H111,100*'Berekening trap 2'!I111)</f>
        <v>33.572282053372192</v>
      </c>
      <c r="K25" s="256">
        <f>J25*I25/100</f>
        <v>3.4418304391545691</v>
      </c>
      <c r="L25" s="60">
        <f t="shared" si="0"/>
        <v>39.743892455148632</v>
      </c>
      <c r="M25" s="60">
        <f>I25-K25</f>
        <v>6.8101698082008282</v>
      </c>
      <c r="N25" s="60">
        <f>N24-M25/M$41*100</f>
        <v>74.074478606575667</v>
      </c>
      <c r="O25" s="104">
        <f t="shared" si="2"/>
        <v>66.427717946627808</v>
      </c>
      <c r="P25" s="348"/>
      <c r="Q25" s="234"/>
    </row>
    <row r="26" spans="1:17" x14ac:dyDescent="0.2">
      <c r="A26" s="43"/>
      <c r="B26" s="45" t="s">
        <v>81</v>
      </c>
      <c r="C26" s="46"/>
      <c r="D26" s="133">
        <f>'Berekening trap 2'!K55</f>
        <v>6.4789655863773259</v>
      </c>
      <c r="E26" s="50" t="s">
        <v>133</v>
      </c>
      <c r="F26" s="6"/>
      <c r="G26" s="64">
        <f>'Berekening trap 2'!B116</f>
        <v>2.3659860968203237</v>
      </c>
      <c r="H26" s="60">
        <f>'Berekening trap 2'!M116</f>
        <v>53.4220356367207</v>
      </c>
      <c r="I26" s="60">
        <f t="shared" si="3"/>
        <v>11.645030153517204</v>
      </c>
      <c r="J26" s="60">
        <f>IF(INVOER!$T$36=1,100*'Berekening trap 2'!H116,100*'Berekening trap 2'!I116)</f>
        <v>25.925553846017557</v>
      </c>
      <c r="K26" s="256">
        <f t="shared" si="5"/>
        <v>3.019038562835084</v>
      </c>
      <c r="L26" s="60">
        <f t="shared" si="0"/>
        <v>28.237218386885985</v>
      </c>
      <c r="M26" s="60">
        <f>I26-K26</f>
        <v>8.625991590682121</v>
      </c>
      <c r="N26" s="60">
        <f t="shared" si="1"/>
        <v>62.380235411744508</v>
      </c>
      <c r="O26" s="104">
        <f t="shared" si="2"/>
        <v>74.07444615398245</v>
      </c>
      <c r="P26" s="348"/>
      <c r="Q26" s="234"/>
    </row>
    <row r="27" spans="1:17" x14ac:dyDescent="0.2">
      <c r="A27" s="43"/>
      <c r="B27" s="6"/>
      <c r="C27" s="6"/>
      <c r="D27" s="56"/>
      <c r="E27" s="6"/>
      <c r="F27" s="6"/>
      <c r="G27" s="64">
        <f>'Berekening trap 2'!B121</f>
        <v>3.004859737065015</v>
      </c>
      <c r="H27" s="60">
        <f>'Berekening trap 2'!M121</f>
        <v>42.363267258056496</v>
      </c>
      <c r="I27" s="60">
        <f t="shared" si="3"/>
        <v>11.058768378664205</v>
      </c>
      <c r="J27" s="60">
        <f>IF(INVOER!$T$36=1,100*'Berekening trap 2'!H121,100*'Berekening trap 2'!I121)</f>
        <v>19.113765536011051</v>
      </c>
      <c r="K27" s="256">
        <f t="shared" si="5"/>
        <v>2.1137470590684071</v>
      </c>
      <c r="L27" s="60">
        <f t="shared" si="0"/>
        <v>20.180945515495871</v>
      </c>
      <c r="M27" s="60">
        <f>I27-K27</f>
        <v>8.9450213195957975</v>
      </c>
      <c r="N27" s="60">
        <f t="shared" si="1"/>
        <v>50.253484116589249</v>
      </c>
      <c r="O27" s="104">
        <f t="shared" si="2"/>
        <v>80.886234463988956</v>
      </c>
      <c r="P27" s="348"/>
      <c r="Q27" s="234"/>
    </row>
    <row r="28" spans="1:17" x14ac:dyDescent="0.2">
      <c r="A28" s="43"/>
      <c r="B28" s="6"/>
      <c r="C28" s="6"/>
      <c r="D28" s="6"/>
      <c r="E28" s="6"/>
      <c r="F28" s="6"/>
      <c r="G28" s="64">
        <f>'Berekening trap 2'!B126</f>
        <v>3.8162447579759049</v>
      </c>
      <c r="H28" s="60">
        <f>'Berekening trap 2'!M126</f>
        <v>31.444695753331885</v>
      </c>
      <c r="I28" s="60">
        <f t="shared" si="3"/>
        <v>10.918571504724611</v>
      </c>
      <c r="J28" s="60">
        <f>IF(INVOER!$T$36=1,100*'Berekening trap 2'!H126,100*'Berekening trap 2'!I126)</f>
        <v>13.329099405279834</v>
      </c>
      <c r="K28" s="256">
        <f t="shared" si="5"/>
        <v>1.4553472495013013</v>
      </c>
      <c r="L28" s="60">
        <f t="shared" si="0"/>
        <v>14.634078157687707</v>
      </c>
      <c r="M28" s="60">
        <f t="shared" si="4"/>
        <v>9.4632242552233095</v>
      </c>
      <c r="N28" s="60">
        <f t="shared" si="1"/>
        <v>37.424205918897982</v>
      </c>
      <c r="O28" s="104">
        <f t="shared" si="2"/>
        <v>86.670900594720166</v>
      </c>
      <c r="P28" s="348"/>
      <c r="Q28" s="234"/>
    </row>
    <row r="29" spans="1:17" x14ac:dyDescent="0.2">
      <c r="A29" s="43"/>
      <c r="B29" s="6"/>
      <c r="C29" s="6"/>
      <c r="D29" s="6"/>
      <c r="E29" s="6"/>
      <c r="F29" s="6"/>
      <c r="G29" s="64">
        <f>'Berekening trap 2'!B131</f>
        <v>4.8467234171148483</v>
      </c>
      <c r="H29" s="60">
        <f>'Berekening trap 2'!M131</f>
        <v>22.294456408436417</v>
      </c>
      <c r="I29" s="60">
        <f t="shared" si="3"/>
        <v>9.1502393448954678</v>
      </c>
      <c r="J29" s="60">
        <f>IF(INVOER!$T$36=1,100*'Berekening trap 2'!H131,100*'Berekening trap 2'!I131)</f>
        <v>8.6958071698493811</v>
      </c>
      <c r="K29" s="256">
        <f t="shared" si="5"/>
        <v>0.79568716901179914</v>
      </c>
      <c r="L29" s="60">
        <f t="shared" si="0"/>
        <v>11.601419672689904</v>
      </c>
      <c r="M29" s="60">
        <f t="shared" si="4"/>
        <v>8.3545521758836685</v>
      </c>
      <c r="N29" s="60">
        <f t="shared" si="1"/>
        <v>26.097952710602939</v>
      </c>
      <c r="O29" s="104">
        <f t="shared" si="2"/>
        <v>91.304192830150612</v>
      </c>
      <c r="P29" s="348"/>
      <c r="Q29" s="234"/>
    </row>
    <row r="30" spans="1:17" x14ac:dyDescent="0.2">
      <c r="A30" s="43"/>
      <c r="B30" s="6"/>
      <c r="C30" s="6"/>
      <c r="D30" s="6"/>
      <c r="E30" s="6"/>
      <c r="F30" s="6"/>
      <c r="G30" s="64">
        <f>'Berekening trap 2'!B136</f>
        <v>6.1554563115780505</v>
      </c>
      <c r="H30" s="60">
        <f>'Berekening trap 2'!M136</f>
        <v>14.908286661653076</v>
      </c>
      <c r="I30" s="60">
        <f t="shared" si="3"/>
        <v>7.3861697467833416</v>
      </c>
      <c r="J30" s="60">
        <f>IF(INVOER!$T$36=1,100*'Berekening trap 2'!H136,100*'Berekening trap 2'!I136)</f>
        <v>5.556072090916147</v>
      </c>
      <c r="K30" s="256">
        <f>J30*I30/100</f>
        <v>0.41038091588872105</v>
      </c>
      <c r="L30" s="60">
        <f t="shared" si="0"/>
        <v>10.037306017072259</v>
      </c>
      <c r="M30" s="60">
        <f t="shared" si="4"/>
        <v>6.9757888308946203</v>
      </c>
      <c r="N30" s="60">
        <f t="shared" si="1"/>
        <v>16.640886794565134</v>
      </c>
      <c r="O30" s="104">
        <f t="shared" si="2"/>
        <v>94.443927909083854</v>
      </c>
      <c r="P30" s="348"/>
      <c r="Q30" s="234"/>
    </row>
    <row r="31" spans="1:17" x14ac:dyDescent="0.2">
      <c r="A31" s="43"/>
      <c r="B31" s="6"/>
      <c r="C31" s="6"/>
      <c r="D31" s="6"/>
      <c r="E31" s="6"/>
      <c r="F31" s="6"/>
      <c r="G31" s="64">
        <f>'Berekening trap 2'!B141</f>
        <v>7.817578834795766</v>
      </c>
      <c r="H31" s="60">
        <f>'Berekening trap 2'!M141</f>
        <v>9.1787969592632699</v>
      </c>
      <c r="I31" s="60">
        <f t="shared" si="3"/>
        <v>5.7294897023898059</v>
      </c>
      <c r="J31" s="60">
        <f>IF(INVOER!$T$36=1,100*'Berekening trap 2'!H141,100*'Berekening trap 2'!I141)</f>
        <v>3.2811724947880005</v>
      </c>
      <c r="K31" s="256">
        <f t="shared" si="5"/>
        <v>0.1879944402065252</v>
      </c>
      <c r="L31" s="60">
        <f t="shared" si="0"/>
        <v>9.3207895814323667</v>
      </c>
      <c r="M31" s="60">
        <f t="shared" si="4"/>
        <v>5.5414952621832807</v>
      </c>
      <c r="N31" s="60">
        <f t="shared" si="1"/>
        <v>9.128290407504263</v>
      </c>
      <c r="O31" s="104">
        <f t="shared" si="2"/>
        <v>96.718827505212005</v>
      </c>
      <c r="P31" s="348"/>
      <c r="Q31" s="234"/>
    </row>
    <row r="32" spans="1:17" x14ac:dyDescent="0.2">
      <c r="A32" s="43"/>
      <c r="B32" s="6"/>
      <c r="C32" s="6"/>
      <c r="D32" s="6"/>
      <c r="E32" s="6"/>
      <c r="F32" s="6"/>
      <c r="G32" s="64">
        <f>'Berekening trap 2'!B146</f>
        <v>9.9285147590591922</v>
      </c>
      <c r="H32" s="60">
        <f>'Berekening trap 2'!M146</f>
        <v>4.9582429916773156</v>
      </c>
      <c r="I32" s="60">
        <f t="shared" si="3"/>
        <v>4.2205539675859542</v>
      </c>
      <c r="J32" s="60">
        <f>IF(INVOER!$T$36=1,100*'Berekening trap 2'!H146,100*'Berekening trap 2'!I146)</f>
        <v>1.7577399876205002</v>
      </c>
      <c r="K32" s="256">
        <f>J32*I32/100</f>
        <v>7.4186364787361889E-2</v>
      </c>
      <c r="L32" s="60">
        <f t="shared" si="0"/>
        <v>9.0380378702002364</v>
      </c>
      <c r="M32" s="60">
        <f t="shared" si="4"/>
        <v>4.1463676027985921</v>
      </c>
      <c r="N32" s="60">
        <f t="shared" si="1"/>
        <v>3.5070663879174937</v>
      </c>
      <c r="O32" s="104">
        <f t="shared" si="2"/>
        <v>98.242260012379504</v>
      </c>
      <c r="P32" s="348"/>
      <c r="Q32" s="234"/>
    </row>
    <row r="33" spans="1:24" x14ac:dyDescent="0.2">
      <c r="A33" s="43"/>
      <c r="B33" s="6"/>
      <c r="C33" s="6"/>
      <c r="D33" s="6"/>
      <c r="E33" s="6"/>
      <c r="F33" s="6"/>
      <c r="G33" s="64">
        <f>'Berekening trap 2'!B151</f>
        <v>12.609454589968522</v>
      </c>
      <c r="H33" s="60">
        <f>'Berekening trap 2'!M151</f>
        <v>2.3788036811970916</v>
      </c>
      <c r="I33" s="60">
        <f t="shared" si="3"/>
        <v>2.579439310480224</v>
      </c>
      <c r="J33" s="60">
        <f>IF(INVOER!$T$36=1,100*'Berekening trap 2'!H151,100*'Berekening trap 2'!I151)</f>
        <v>0.83898238225292787</v>
      </c>
      <c r="K33" s="256">
        <f t="shared" si="5"/>
        <v>2.1641041375835481E-2</v>
      </c>
      <c r="L33" s="60">
        <f t="shared" si="0"/>
        <v>8.9555558467259555</v>
      </c>
      <c r="M33" s="60">
        <f t="shared" si="4"/>
        <v>2.5577982691043886</v>
      </c>
      <c r="N33" s="60">
        <f t="shared" si="1"/>
        <v>3.9463308575795608E-2</v>
      </c>
      <c r="O33" s="104">
        <f t="shared" si="2"/>
        <v>99.161017617747078</v>
      </c>
      <c r="P33" s="348"/>
      <c r="Q33" s="234"/>
    </row>
    <row r="34" spans="1:24" x14ac:dyDescent="0.2">
      <c r="A34" s="43"/>
      <c r="B34" s="6"/>
      <c r="C34" s="6"/>
      <c r="D34" s="6"/>
      <c r="E34" s="6"/>
      <c r="F34" s="6"/>
      <c r="G34" s="64">
        <f>'Berekening trap 2'!B156</f>
        <v>16.014313209475915</v>
      </c>
      <c r="H34" s="60">
        <f>'Berekening trap 2'!M156</f>
        <v>0.97137483885341636</v>
      </c>
      <c r="I34" s="60">
        <f>H33-H34</f>
        <v>1.4074288423436752</v>
      </c>
      <c r="J34" s="60">
        <f>IF(INVOER!$T$36=1,100*'Berekening trap 2'!H156,100*'Berekening trap 2'!I156)</f>
        <v>0.34929722818295816</v>
      </c>
      <c r="K34" s="256">
        <f t="shared" si="5"/>
        <v>4.9161099349539529E-3</v>
      </c>
      <c r="L34" s="60">
        <f t="shared" si="0"/>
        <v>8.9368187310754212</v>
      </c>
      <c r="M34" s="60">
        <f t="shared" si="4"/>
        <v>1.4025127324087212</v>
      </c>
      <c r="N34" s="60">
        <f t="shared" si="1"/>
        <v>-1.8619209907494683</v>
      </c>
      <c r="O34" s="104">
        <f t="shared" si="2"/>
        <v>99.650702771817038</v>
      </c>
      <c r="P34" s="348"/>
      <c r="Q34" s="234"/>
    </row>
    <row r="35" spans="1:24" x14ac:dyDescent="0.2">
      <c r="A35" s="43"/>
      <c r="B35" s="6"/>
      <c r="C35" s="6"/>
      <c r="D35" s="6"/>
      <c r="E35" s="6"/>
      <c r="F35" s="6"/>
      <c r="G35" s="64">
        <f>'Berekening trap 2'!B161</f>
        <v>20.338566251328629</v>
      </c>
      <c r="H35" s="60">
        <f>'Berekening trap 2'!M161</f>
        <v>0.31145564374427687</v>
      </c>
      <c r="I35" s="60">
        <f t="shared" si="3"/>
        <v>0.65991919510913943</v>
      </c>
      <c r="J35" s="60">
        <f>IF(INVOER!$T$36=1,100*'Berekening trap 2'!H161,100*'Berekening trap 2'!I161)</f>
        <v>0.12369477701847988</v>
      </c>
      <c r="K35" s="256">
        <f t="shared" si="5"/>
        <v>8.1628557689239706E-4</v>
      </c>
      <c r="L35" s="60">
        <f t="shared" si="0"/>
        <v>8.9337075644293407</v>
      </c>
      <c r="M35" s="60">
        <f t="shared" si="4"/>
        <v>0.65910290953224704</v>
      </c>
      <c r="N35" s="60">
        <f t="shared" si="1"/>
        <v>-2.7554657656848902</v>
      </c>
      <c r="O35" s="104">
        <f t="shared" si="2"/>
        <v>99.876305222981514</v>
      </c>
      <c r="P35" s="348"/>
      <c r="Q35" s="234"/>
    </row>
    <row r="36" spans="1:24" x14ac:dyDescent="0.2">
      <c r="A36" s="43"/>
      <c r="B36" s="6"/>
      <c r="C36" s="6"/>
      <c r="D36" s="6"/>
      <c r="E36" s="6"/>
      <c r="F36" s="6"/>
      <c r="G36" s="64">
        <f>'Berekening trap 2'!B166</f>
        <v>25.83047251223466</v>
      </c>
      <c r="H36" s="60">
        <f>'Berekening trap 2'!M166</f>
        <v>8.3860771167088233E-2</v>
      </c>
      <c r="I36" s="60">
        <f t="shared" si="3"/>
        <v>0.22759487257718863</v>
      </c>
      <c r="J36" s="60">
        <f>IF(INVOER!$T$36=1,100*'Berekening trap 2'!H166,100*'Berekening trap 2'!I166)</f>
        <v>3.6163971060996399E-2</v>
      </c>
      <c r="K36" s="256">
        <f t="shared" si="5"/>
        <v>8.2307343855126132E-5</v>
      </c>
      <c r="L36" s="60">
        <f t="shared" si="0"/>
        <v>8.9333938606592653</v>
      </c>
      <c r="M36" s="60">
        <f t="shared" si="4"/>
        <v>0.22751256523333352</v>
      </c>
      <c r="N36" s="60">
        <f t="shared" si="1"/>
        <v>-3.0639041915456899</v>
      </c>
      <c r="O36" s="104">
        <f t="shared" si="2"/>
        <v>99.963836028938999</v>
      </c>
      <c r="P36" s="348"/>
      <c r="Q36" s="234"/>
    </row>
    <row r="37" spans="1:24" x14ac:dyDescent="0.2">
      <c r="A37" s="43"/>
      <c r="B37" s="6"/>
      <c r="C37" s="6"/>
      <c r="D37" s="6"/>
      <c r="E37" s="6"/>
      <c r="F37" s="6"/>
      <c r="G37" s="64">
        <f>'Berekening trap 2'!B171</f>
        <v>32.805326686276331</v>
      </c>
      <c r="H37" s="60">
        <f>'Berekening trap 2'!M171</f>
        <v>1.8521004831919114E-2</v>
      </c>
      <c r="I37" s="60">
        <f t="shared" si="3"/>
        <v>6.5339766335169122E-2</v>
      </c>
      <c r="J37" s="60">
        <f>IF(INVOER!$T$36=1,100*'Berekening trap 2'!H171,100*'Berekening trap 2'!I171)</f>
        <v>8.426308416727625E-3</v>
      </c>
      <c r="K37" s="256">
        <f t="shared" si="5"/>
        <v>5.505730230170519E-6</v>
      </c>
      <c r="L37" s="60">
        <f t="shared" si="0"/>
        <v>8.9333728762823021</v>
      </c>
      <c r="M37" s="60">
        <f t="shared" si="4"/>
        <v>6.5334260604938951E-2</v>
      </c>
      <c r="N37" s="60">
        <f t="shared" si="1"/>
        <v>-3.1524777456045592</v>
      </c>
      <c r="O37" s="104">
        <f t="shared" si="2"/>
        <v>99.99157369158327</v>
      </c>
      <c r="P37" s="348"/>
      <c r="Q37" s="234"/>
    </row>
    <row r="38" spans="1:24" x14ac:dyDescent="0.2">
      <c r="A38" s="43"/>
      <c r="B38" s="6"/>
      <c r="C38" s="6"/>
      <c r="D38" s="6"/>
      <c r="E38" s="6"/>
      <c r="F38" s="6"/>
      <c r="G38" s="64">
        <f>'Berekening trap 2'!B176</f>
        <v>41.663560683358568</v>
      </c>
      <c r="H38" s="60">
        <f>'Berekening trap 2'!M176</f>
        <v>3.6027915681779493E-3</v>
      </c>
      <c r="I38" s="60">
        <f t="shared" si="3"/>
        <v>1.4918213263741164E-2</v>
      </c>
      <c r="J38" s="60">
        <f>IF(INVOER!$T$36=1,100*'Berekening trap 2'!H176,100*'Berekening trap 2'!I176)</f>
        <v>1.5006400044736252E-3</v>
      </c>
      <c r="K38" s="256">
        <f t="shared" si="5"/>
        <v>2.2386867618839037E-7</v>
      </c>
      <c r="L38" s="60">
        <f t="shared" si="0"/>
        <v>8.9333720230358669</v>
      </c>
      <c r="M38" s="60">
        <f t="shared" si="4"/>
        <v>1.4917989395064975E-2</v>
      </c>
      <c r="N38" s="60">
        <f t="shared" si="1"/>
        <v>-3.172702040299241</v>
      </c>
      <c r="O38" s="104">
        <f t="shared" si="2"/>
        <v>99.99849935999552</v>
      </c>
      <c r="P38" s="348"/>
      <c r="Q38" s="234"/>
    </row>
    <row r="39" spans="1:24" x14ac:dyDescent="0.2">
      <c r="A39" s="43"/>
      <c r="B39" s="6"/>
      <c r="C39" s="6"/>
      <c r="D39" s="6"/>
      <c r="E39" s="6"/>
      <c r="F39" s="6"/>
      <c r="G39" s="64">
        <f>'Berekening trap 2'!B181</f>
        <v>52.913732742739995</v>
      </c>
      <c r="H39" s="60">
        <f>'Berekening trap 2'!M181</f>
        <v>4.5385882453940541E-4</v>
      </c>
      <c r="I39" s="60">
        <f t="shared" si="3"/>
        <v>3.1489327436385441E-3</v>
      </c>
      <c r="J39" s="60">
        <f>IF(INVOER!$T$36=1,100*'Berekening trap 2'!H181,100*'Berekening trap 2'!I181)</f>
        <v>1.9439612576321351E-4</v>
      </c>
      <c r="K39" s="256">
        <f t="shared" si="5"/>
        <v>6.1214032565225939E-9</v>
      </c>
      <c r="L39" s="60">
        <f t="shared" si="0"/>
        <v>8.9333719997049315</v>
      </c>
      <c r="M39" s="60">
        <f t="shared" si="4"/>
        <v>3.1489266222352874E-3</v>
      </c>
      <c r="N39" s="60">
        <f t="shared" si="1"/>
        <v>-3.1769710351546121</v>
      </c>
      <c r="O39" s="104">
        <f t="shared" si="2"/>
        <v>99.999805603874236</v>
      </c>
      <c r="P39" s="348"/>
      <c r="Q39" s="234"/>
    </row>
    <row r="40" spans="1:24" x14ac:dyDescent="0.2">
      <c r="A40" s="43"/>
      <c r="B40" s="6"/>
      <c r="C40" s="6"/>
      <c r="D40" s="6"/>
      <c r="E40" s="6"/>
      <c r="F40" s="6"/>
      <c r="G40" s="64">
        <f>'Berekening trap 2'!B186</f>
        <v>67.201724164887594</v>
      </c>
      <c r="H40" s="60">
        <f>'Berekening trap 2'!M186</f>
        <v>3.6965676559249511E-14</v>
      </c>
      <c r="I40" s="60">
        <f t="shared" si="3"/>
        <v>4.5385882450243976E-4</v>
      </c>
      <c r="J40" s="60">
        <f>IF(INVOER!$T$36=1,100*'Berekening trap 2'!H186,100*'Berekening trap 2'!I186)</f>
        <v>1.7274288699481114E-5</v>
      </c>
      <c r="K40" s="256">
        <f t="shared" si="5"/>
        <v>7.8400883632622777E-11</v>
      </c>
      <c r="L40" s="60">
        <f t="shared" si="0"/>
        <v>8.9333719994061163</v>
      </c>
      <c r="M40" s="60">
        <f>I40-K40</f>
        <v>4.538587461015561E-4</v>
      </c>
      <c r="N40" s="60">
        <f t="shared" si="1"/>
        <v>-3.1775863307408896</v>
      </c>
      <c r="O40" s="104">
        <f t="shared" si="2"/>
        <v>99.999982725711305</v>
      </c>
      <c r="P40" s="348"/>
      <c r="Q40" s="235" t="s">
        <v>243</v>
      </c>
    </row>
    <row r="41" spans="1:24" x14ac:dyDescent="0.2">
      <c r="A41" s="43"/>
      <c r="B41" s="6" t="s">
        <v>255</v>
      </c>
      <c r="C41" s="6"/>
      <c r="D41" s="6"/>
      <c r="E41" s="6"/>
      <c r="F41" s="6"/>
      <c r="G41" s="72"/>
      <c r="H41" s="73"/>
      <c r="I41" s="73"/>
      <c r="J41" s="124" t="s">
        <v>141</v>
      </c>
      <c r="K41" s="125">
        <f>IF(INVOER!$T$36=1,'Berekening trap 2'!N189,'Berekening trap 2'!O189)</f>
        <v>26.237282336536342</v>
      </c>
      <c r="L41" s="124" t="s">
        <v>150</v>
      </c>
      <c r="M41" s="125">
        <f>100-K41</f>
        <v>73.762717663463661</v>
      </c>
      <c r="N41" s="73"/>
      <c r="O41" s="74"/>
      <c r="P41" s="348"/>
      <c r="Q41" s="41"/>
      <c r="R41" s="5"/>
      <c r="S41" s="236"/>
      <c r="T41" s="5"/>
      <c r="U41" s="5"/>
      <c r="V41" s="5"/>
      <c r="W41" s="5"/>
      <c r="X41" s="42"/>
    </row>
    <row r="42" spans="1:24" x14ac:dyDescent="0.2">
      <c r="A42" s="43"/>
      <c r="B42" s="6" t="s">
        <v>258</v>
      </c>
      <c r="C42" s="6"/>
      <c r="D42" s="56"/>
      <c r="E42" s="6"/>
      <c r="F42" s="6"/>
      <c r="G42" s="6"/>
      <c r="H42" s="6"/>
      <c r="I42" s="6"/>
      <c r="J42" s="118"/>
      <c r="K42" s="123"/>
      <c r="L42" s="118"/>
      <c r="M42" s="134"/>
      <c r="N42" s="6"/>
      <c r="O42" s="6"/>
      <c r="P42" s="348"/>
      <c r="Q42" s="43" t="s">
        <v>244</v>
      </c>
      <c r="R42" s="6"/>
      <c r="S42" s="6"/>
      <c r="T42" s="6"/>
      <c r="U42" s="237">
        <f>'Berekening trap 2'!N187/'Berekening trap 2'!N189</f>
        <v>5.41628303302316E-23</v>
      </c>
      <c r="V42" s="231" t="str">
        <f>IF('Berekening trap 1'!U187&lt;'Berekening trap 1'!U189/10,"ok","waarschuwing: verlies van fractie &gt; Dmax bedraagt meer dan 10% van totale verlies")</f>
        <v>ok</v>
      </c>
      <c r="W42" s="6"/>
      <c r="X42" s="44"/>
    </row>
    <row r="43" spans="1:24" x14ac:dyDescent="0.2">
      <c r="A43" s="43"/>
      <c r="B43" s="230" t="s">
        <v>256</v>
      </c>
      <c r="C43" s="6"/>
      <c r="D43" s="259">
        <f>'Berekening trap 2'!K56</f>
        <v>70.562857593202722</v>
      </c>
      <c r="E43" s="132" t="s">
        <v>242</v>
      </c>
      <c r="F43" s="132"/>
      <c r="G43" s="6"/>
      <c r="H43" s="6"/>
      <c r="I43" s="6"/>
      <c r="J43" s="6"/>
      <c r="K43" s="6"/>
      <c r="L43" s="6"/>
      <c r="M43" s="6"/>
      <c r="N43" s="6"/>
      <c r="O43" s="6"/>
      <c r="P43" s="348"/>
      <c r="Q43" s="43"/>
      <c r="R43" s="6"/>
      <c r="S43" s="6"/>
      <c r="T43" s="6"/>
      <c r="U43" s="6"/>
      <c r="V43" s="6"/>
      <c r="W43" s="6"/>
      <c r="X43" s="44"/>
    </row>
    <row r="44" spans="1:24" x14ac:dyDescent="0.2">
      <c r="A44" s="43"/>
      <c r="B44" s="230" t="s">
        <v>257</v>
      </c>
      <c r="C44" s="6"/>
      <c r="D44" s="260">
        <f>'Berekening trap 2'!H57/2</f>
        <v>0.17895473832498884</v>
      </c>
      <c r="E44" s="132" t="s">
        <v>252</v>
      </c>
      <c r="F44" s="132"/>
      <c r="G44" s="6"/>
      <c r="H44" s="6"/>
      <c r="I44" s="6"/>
      <c r="J44" s="6"/>
      <c r="K44" s="6"/>
      <c r="L44" s="6"/>
      <c r="M44" s="6"/>
      <c r="N44" s="6"/>
      <c r="O44" s="6"/>
      <c r="P44" s="44"/>
      <c r="Q44" s="238" t="s">
        <v>251</v>
      </c>
      <c r="R44" s="143"/>
      <c r="S44" s="143"/>
      <c r="T44" s="143"/>
      <c r="U44" s="143"/>
      <c r="V44" s="143"/>
      <c r="W44" s="6"/>
      <c r="X44" s="44"/>
    </row>
    <row r="45" spans="1:24" x14ac:dyDescent="0.2">
      <c r="A45" s="43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44"/>
      <c r="Q45" s="238" t="s">
        <v>232</v>
      </c>
      <c r="R45" s="143"/>
      <c r="S45" s="143"/>
      <c r="T45" s="143"/>
      <c r="U45" s="143"/>
      <c r="V45" s="143"/>
      <c r="W45" s="6"/>
      <c r="X45" s="44"/>
    </row>
    <row r="46" spans="1:24" x14ac:dyDescent="0.2">
      <c r="A46" s="43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44"/>
      <c r="Q46" s="239" t="s">
        <v>247</v>
      </c>
      <c r="R46" s="186"/>
      <c r="S46" s="186"/>
      <c r="T46" s="186"/>
      <c r="U46" s="186"/>
      <c r="V46" s="186"/>
      <c r="W46" s="46"/>
      <c r="X46" s="50"/>
    </row>
    <row r="47" spans="1:24" x14ac:dyDescent="0.2">
      <c r="A47" s="43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44"/>
      <c r="R47" s="167"/>
      <c r="S47" s="167"/>
      <c r="T47" s="167"/>
      <c r="U47" s="167"/>
    </row>
    <row r="48" spans="1:24" x14ac:dyDescent="0.2">
      <c r="A48" s="43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44"/>
      <c r="R48" s="167"/>
      <c r="S48" s="167"/>
      <c r="T48" s="167"/>
      <c r="U48" s="167"/>
    </row>
    <row r="49" spans="1:24" x14ac:dyDescent="0.2">
      <c r="A49" s="43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44"/>
      <c r="R49" s="167"/>
      <c r="S49" s="167"/>
      <c r="T49" s="167"/>
      <c r="U49" s="167"/>
    </row>
    <row r="50" spans="1:24" x14ac:dyDescent="0.2">
      <c r="A50" s="43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44"/>
      <c r="Q50" s="143"/>
      <c r="R50" s="167"/>
      <c r="S50" s="167"/>
      <c r="T50" s="167"/>
      <c r="U50" s="167"/>
    </row>
    <row r="51" spans="1:24" x14ac:dyDescent="0.2">
      <c r="A51" s="43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44"/>
      <c r="Q51" s="143"/>
      <c r="R51" s="167"/>
      <c r="S51" s="167"/>
      <c r="T51" s="167"/>
      <c r="U51" s="167"/>
    </row>
    <row r="52" spans="1:24" x14ac:dyDescent="0.2">
      <c r="A52" s="43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44"/>
    </row>
    <row r="53" spans="1:24" x14ac:dyDescent="0.2">
      <c r="A53" s="43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44"/>
    </row>
    <row r="54" spans="1:24" x14ac:dyDescent="0.2">
      <c r="A54" s="43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44"/>
    </row>
    <row r="55" spans="1:24" x14ac:dyDescent="0.2">
      <c r="A55" s="43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44"/>
    </row>
    <row r="56" spans="1:24" x14ac:dyDescent="0.2">
      <c r="A56" s="43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44"/>
    </row>
    <row r="57" spans="1:24" x14ac:dyDescent="0.2">
      <c r="A57" s="43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44"/>
    </row>
    <row r="58" spans="1:24" x14ac:dyDescent="0.2">
      <c r="A58" s="43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44"/>
    </row>
    <row r="59" spans="1:24" x14ac:dyDescent="0.2">
      <c r="A59" s="43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44"/>
    </row>
    <row r="60" spans="1:24" x14ac:dyDescent="0.2">
      <c r="A60" s="43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44"/>
      <c r="R60" s="224"/>
      <c r="S60" s="224"/>
      <c r="T60" s="224"/>
      <c r="U60" s="224"/>
      <c r="V60" s="167"/>
    </row>
    <row r="61" spans="1:24" x14ac:dyDescent="0.2">
      <c r="A61" s="43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44"/>
    </row>
    <row r="62" spans="1:24" x14ac:dyDescent="0.2">
      <c r="A62" s="43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44"/>
      <c r="W62" s="167"/>
      <c r="X62" s="167"/>
    </row>
    <row r="63" spans="1:24" x14ac:dyDescent="0.2">
      <c r="A63" s="43"/>
      <c r="B63" s="6"/>
      <c r="C63" s="6"/>
      <c r="D63" s="6"/>
      <c r="E63" s="6"/>
      <c r="F63" s="6"/>
      <c r="G63" s="6"/>
      <c r="H63" s="123"/>
      <c r="I63" s="6"/>
      <c r="J63" s="6"/>
      <c r="K63" s="6"/>
      <c r="L63" s="6"/>
      <c r="M63" s="6"/>
      <c r="N63" s="6"/>
      <c r="O63" s="6"/>
      <c r="P63" s="44"/>
      <c r="W63" s="167"/>
      <c r="X63" s="167"/>
    </row>
    <row r="64" spans="1:24" x14ac:dyDescent="0.2">
      <c r="A64" s="43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44"/>
      <c r="W64" s="167"/>
      <c r="X64" s="167"/>
    </row>
    <row r="65" spans="1:22" x14ac:dyDescent="0.2">
      <c r="A65" s="43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44"/>
    </row>
    <row r="66" spans="1:22" x14ac:dyDescent="0.2">
      <c r="A66" s="43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44"/>
      <c r="R66" s="167"/>
      <c r="S66" s="167"/>
      <c r="T66" s="167"/>
      <c r="U66" s="167"/>
      <c r="V66" s="167"/>
    </row>
    <row r="67" spans="1:22" x14ac:dyDescent="0.2">
      <c r="A67" s="43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44"/>
    </row>
    <row r="68" spans="1:22" x14ac:dyDescent="0.2">
      <c r="A68" s="43"/>
      <c r="B68" s="6"/>
      <c r="C68" s="6"/>
      <c r="D68" s="6"/>
      <c r="E68" s="6"/>
      <c r="F68" s="6"/>
      <c r="G68" s="6"/>
      <c r="H68" s="6"/>
      <c r="I68" s="123"/>
      <c r="J68" s="6"/>
      <c r="K68" s="6"/>
      <c r="L68" s="6"/>
      <c r="M68" s="6"/>
      <c r="N68" s="6"/>
      <c r="O68" s="6"/>
      <c r="P68" s="44"/>
    </row>
    <row r="69" spans="1:22" x14ac:dyDescent="0.2">
      <c r="A69" s="43"/>
      <c r="B69" s="6"/>
      <c r="C69" s="6"/>
      <c r="D69" s="6"/>
      <c r="E69" s="6"/>
      <c r="F69" s="6"/>
      <c r="G69" s="6"/>
      <c r="H69" s="6"/>
      <c r="I69" s="123"/>
      <c r="J69" s="6"/>
      <c r="K69" s="6"/>
      <c r="L69" s="6"/>
      <c r="M69" s="6"/>
      <c r="N69" s="6"/>
      <c r="O69" s="6"/>
      <c r="P69" s="44"/>
    </row>
    <row r="70" spans="1:22" x14ac:dyDescent="0.2">
      <c r="A70" s="43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44"/>
    </row>
    <row r="71" spans="1:22" x14ac:dyDescent="0.2">
      <c r="A71" s="43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44"/>
    </row>
    <row r="72" spans="1:22" x14ac:dyDescent="0.2">
      <c r="A72" s="43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44"/>
    </row>
    <row r="73" spans="1:22" x14ac:dyDescent="0.2">
      <c r="A73" s="43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44"/>
    </row>
    <row r="74" spans="1:22" x14ac:dyDescent="0.2">
      <c r="A74" s="43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44"/>
    </row>
    <row r="75" spans="1:22" x14ac:dyDescent="0.2">
      <c r="A75" s="43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44"/>
    </row>
    <row r="76" spans="1:22" x14ac:dyDescent="0.2">
      <c r="A76" s="43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44"/>
    </row>
    <row r="77" spans="1:22" x14ac:dyDescent="0.2">
      <c r="A77" s="43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44"/>
    </row>
    <row r="78" spans="1:22" x14ac:dyDescent="0.2">
      <c r="A78" s="43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44"/>
    </row>
    <row r="79" spans="1:22" x14ac:dyDescent="0.2">
      <c r="A79" s="43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44"/>
    </row>
    <row r="80" spans="1:22" x14ac:dyDescent="0.2">
      <c r="A80" s="43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44"/>
    </row>
    <row r="81" spans="1:16" x14ac:dyDescent="0.2">
      <c r="A81" s="43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44"/>
    </row>
    <row r="82" spans="1:16" x14ac:dyDescent="0.2">
      <c r="A82" s="43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44"/>
    </row>
    <row r="83" spans="1:16" x14ac:dyDescent="0.2">
      <c r="A83" s="45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50"/>
    </row>
  </sheetData>
  <mergeCells count="12">
    <mergeCell ref="J5:M5"/>
    <mergeCell ref="O5:P5"/>
    <mergeCell ref="I1:P2"/>
    <mergeCell ref="J3:M3"/>
    <mergeCell ref="O3:P3"/>
    <mergeCell ref="J4:M4"/>
    <mergeCell ref="O4:P4"/>
    <mergeCell ref="B15:E15"/>
    <mergeCell ref="G15:O15"/>
    <mergeCell ref="H16:I16"/>
    <mergeCell ref="J16:L16"/>
    <mergeCell ref="M16:N16"/>
  </mergeCells>
  <pageMargins left="0.51" right="0.17" top="0.49" bottom="0.55000000000000004" header="0.36" footer="0.51"/>
  <pageSetup paperSize="9" scale="73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4">
    <pageSetUpPr fitToPage="1"/>
  </sheetPr>
  <dimension ref="A1:AD84"/>
  <sheetViews>
    <sheetView showGridLines="0" tabSelected="1" zoomScale="115" zoomScaleNormal="115" workbookViewId="0">
      <selection activeCell="L30" sqref="L30"/>
    </sheetView>
  </sheetViews>
  <sheetFormatPr defaultRowHeight="12.75" x14ac:dyDescent="0.2"/>
  <cols>
    <col min="1" max="1" width="2.28515625" customWidth="1"/>
    <col min="3" max="3" width="7.140625" customWidth="1"/>
    <col min="6" max="6" width="6.5703125" customWidth="1"/>
    <col min="7" max="7" width="8.28515625" customWidth="1"/>
    <col min="8" max="8" width="10.7109375" customWidth="1"/>
    <col min="9" max="9" width="10.5703125" customWidth="1"/>
    <col min="10" max="10" width="9.42578125" bestFit="1" customWidth="1"/>
    <col min="13" max="13" width="11" customWidth="1"/>
    <col min="15" max="15" width="10.5703125" customWidth="1"/>
    <col min="16" max="16" width="2.28515625" customWidth="1"/>
    <col min="17" max="17" width="9.140625" style="6"/>
    <col min="21" max="21" width="12.7109375" bestFit="1" customWidth="1"/>
  </cols>
  <sheetData>
    <row r="1" spans="1:30" ht="15.75" customHeight="1" x14ac:dyDescent="0.2">
      <c r="A1" s="105"/>
      <c r="B1" s="106"/>
      <c r="C1" s="106"/>
      <c r="D1" s="106"/>
      <c r="E1" s="106"/>
      <c r="F1" s="107"/>
      <c r="G1" s="107"/>
      <c r="H1" s="5"/>
      <c r="I1" s="406" t="s">
        <v>295</v>
      </c>
      <c r="J1" s="407"/>
      <c r="K1" s="407"/>
      <c r="L1" s="407"/>
      <c r="M1" s="407"/>
      <c r="N1" s="407"/>
      <c r="O1" s="407"/>
      <c r="P1" s="408"/>
      <c r="Q1" s="126"/>
    </row>
    <row r="2" spans="1:30" ht="15.75" customHeight="1" x14ac:dyDescent="0.2">
      <c r="A2" s="108"/>
      <c r="B2" s="110"/>
      <c r="C2" s="109"/>
      <c r="D2" s="109"/>
      <c r="E2" s="109"/>
      <c r="F2" s="110"/>
      <c r="G2" s="110"/>
      <c r="H2" s="6"/>
      <c r="I2" s="409"/>
      <c r="J2" s="410"/>
      <c r="K2" s="410"/>
      <c r="L2" s="410"/>
      <c r="M2" s="410"/>
      <c r="N2" s="410"/>
      <c r="O2" s="410"/>
      <c r="P2" s="411"/>
      <c r="Q2" s="126"/>
    </row>
    <row r="3" spans="1:30" x14ac:dyDescent="0.2">
      <c r="A3" s="108"/>
      <c r="B3" s="110"/>
      <c r="C3" s="109"/>
      <c r="D3" s="109"/>
      <c r="E3" s="109"/>
      <c r="F3" s="110"/>
      <c r="G3" s="110"/>
      <c r="H3" s="6"/>
      <c r="I3" s="120" t="s">
        <v>159</v>
      </c>
      <c r="J3" s="419" t="str">
        <f>INVOER!H2</f>
        <v>Cargill</v>
      </c>
      <c r="K3" s="419"/>
      <c r="L3" s="419"/>
      <c r="M3" s="420"/>
      <c r="N3" s="120" t="s">
        <v>161</v>
      </c>
      <c r="O3" s="413">
        <f>+INVOER!H5</f>
        <v>43865</v>
      </c>
      <c r="P3" s="414"/>
    </row>
    <row r="4" spans="1:30" x14ac:dyDescent="0.2">
      <c r="A4" s="108"/>
      <c r="B4" s="110"/>
      <c r="C4" s="109"/>
      <c r="D4" s="109"/>
      <c r="E4" s="109"/>
      <c r="F4" s="110"/>
      <c r="G4" s="110"/>
      <c r="H4" s="6"/>
      <c r="I4" s="121" t="s">
        <v>160</v>
      </c>
      <c r="J4" s="421" t="str">
        <f>INVOER!H3</f>
        <v>Maltodextrine</v>
      </c>
      <c r="K4" s="421"/>
      <c r="L4" s="421"/>
      <c r="M4" s="422"/>
      <c r="N4" s="121" t="s">
        <v>176</v>
      </c>
      <c r="O4" s="415" t="str">
        <f>+INVOER!H6</f>
        <v>GP</v>
      </c>
      <c r="P4" s="416"/>
    </row>
    <row r="5" spans="1:30" x14ac:dyDescent="0.2">
      <c r="A5" s="129"/>
      <c r="B5" s="130"/>
      <c r="C5" s="131"/>
      <c r="D5" s="131"/>
      <c r="E5" s="131"/>
      <c r="F5" s="130"/>
      <c r="G5" s="130"/>
      <c r="H5" s="46"/>
      <c r="I5" s="122" t="s">
        <v>162</v>
      </c>
      <c r="J5" s="423">
        <f>INVOER!H4</f>
        <v>0</v>
      </c>
      <c r="K5" s="423"/>
      <c r="L5" s="423"/>
      <c r="M5" s="424"/>
      <c r="N5" s="122" t="s">
        <v>177</v>
      </c>
      <c r="O5" s="417"/>
      <c r="P5" s="418"/>
    </row>
    <row r="6" spans="1:30" x14ac:dyDescent="0.2">
      <c r="A6" s="41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42"/>
      <c r="R6" s="109"/>
      <c r="X6" s="109"/>
      <c r="Y6" s="111"/>
      <c r="Z6" s="111"/>
      <c r="AA6" s="111"/>
      <c r="AB6" s="111"/>
      <c r="AC6" s="111"/>
    </row>
    <row r="7" spans="1:30" x14ac:dyDescent="0.2">
      <c r="A7" s="354" t="s">
        <v>285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44"/>
      <c r="X7" s="115"/>
      <c r="Y7" s="116"/>
      <c r="Z7" s="117"/>
      <c r="AA7" s="116"/>
      <c r="AB7" s="116"/>
      <c r="AC7" s="116"/>
    </row>
    <row r="8" spans="1:30" x14ac:dyDescent="0.2">
      <c r="A8" s="41" t="s">
        <v>105</v>
      </c>
      <c r="B8" s="5"/>
      <c r="C8" s="5"/>
      <c r="D8" s="5">
        <f>INVOER!C5</f>
        <v>120</v>
      </c>
      <c r="E8" s="5" t="s">
        <v>107</v>
      </c>
      <c r="F8" s="5"/>
      <c r="G8" s="42"/>
      <c r="H8" s="41" t="s">
        <v>119</v>
      </c>
      <c r="I8" s="5"/>
      <c r="J8" s="54" t="s">
        <v>23</v>
      </c>
      <c r="K8" s="58">
        <f>'Berekening trap 1'!K23</f>
        <v>850</v>
      </c>
      <c r="L8" s="41" t="s">
        <v>124</v>
      </c>
      <c r="M8" s="5"/>
      <c r="N8" s="5"/>
      <c r="O8" s="5"/>
      <c r="P8" s="42"/>
      <c r="X8" s="6"/>
      <c r="Y8" s="116"/>
      <c r="Z8" s="117"/>
      <c r="AA8" s="116"/>
      <c r="AB8" s="116"/>
      <c r="AC8" s="116"/>
    </row>
    <row r="9" spans="1:30" x14ac:dyDescent="0.2">
      <c r="A9" s="43" t="s">
        <v>106</v>
      </c>
      <c r="B9" s="6"/>
      <c r="C9" s="6"/>
      <c r="D9" s="6">
        <f>INVOER!C6</f>
        <v>1</v>
      </c>
      <c r="E9" s="6" t="str">
        <f>INVOER!U2</f>
        <v>[bar(abs)]</v>
      </c>
      <c r="F9" s="6"/>
      <c r="G9" s="44"/>
      <c r="H9" s="43" t="s">
        <v>143</v>
      </c>
      <c r="I9" s="6"/>
      <c r="J9" s="6">
        <f>INVOER!C15</f>
        <v>120</v>
      </c>
      <c r="K9" s="6"/>
      <c r="L9" s="52" t="s">
        <v>173</v>
      </c>
      <c r="M9" s="57">
        <f>J10</f>
        <v>300</v>
      </c>
      <c r="N9" s="118" t="s">
        <v>163</v>
      </c>
      <c r="O9" s="57">
        <f>'Berekening trap 1'!K29*'OUTPUT trap 1&amp;2'!M$9</f>
        <v>745.5</v>
      </c>
      <c r="P9" s="44"/>
      <c r="X9" s="6"/>
      <c r="Y9" s="112"/>
      <c r="Z9" s="111"/>
      <c r="AA9" s="112"/>
      <c r="AB9" s="112"/>
      <c r="AC9" s="112"/>
    </row>
    <row r="10" spans="1:30" x14ac:dyDescent="0.2">
      <c r="A10" s="43" t="s">
        <v>149</v>
      </c>
      <c r="B10" s="6"/>
      <c r="C10" s="6"/>
      <c r="D10" s="8">
        <f>'Berekening trap 1'!C6</f>
        <v>20.833333333333332</v>
      </c>
      <c r="E10" s="6" t="s">
        <v>111</v>
      </c>
      <c r="F10" s="57">
        <f>3600*D10</f>
        <v>75000</v>
      </c>
      <c r="G10" s="44" t="s">
        <v>110</v>
      </c>
      <c r="H10" s="43" t="s">
        <v>178</v>
      </c>
      <c r="I10" s="6"/>
      <c r="J10" s="6">
        <f>'Berekening trap 1'!C13</f>
        <v>300</v>
      </c>
      <c r="K10" s="6" t="s">
        <v>121</v>
      </c>
      <c r="L10" s="52" t="s">
        <v>172</v>
      </c>
      <c r="M10" s="57">
        <f>'Berekening trap 1'!K24*'OUTPUT trap 1&amp;2'!M$9</f>
        <v>60.900000000000006</v>
      </c>
      <c r="N10" s="118" t="s">
        <v>164</v>
      </c>
      <c r="O10" s="57">
        <f>'Berekening trap 1'!K30*'OUTPUT trap 1&amp;2'!M$9</f>
        <v>393.6</v>
      </c>
      <c r="P10" s="44"/>
      <c r="X10" s="115"/>
      <c r="Y10" s="114"/>
      <c r="Z10" s="113"/>
      <c r="AA10" s="114"/>
      <c r="AB10" s="114"/>
      <c r="AC10" s="114"/>
    </row>
    <row r="11" spans="1:30" x14ac:dyDescent="0.2">
      <c r="A11" s="43" t="s">
        <v>149</v>
      </c>
      <c r="B11" s="6"/>
      <c r="C11" s="6"/>
      <c r="D11" s="8">
        <f>INVOER!V9</f>
        <v>14.472010178117049</v>
      </c>
      <c r="E11" s="6" t="s">
        <v>108</v>
      </c>
      <c r="F11" s="57">
        <f>3600*D11</f>
        <v>52099.236641221374</v>
      </c>
      <c r="G11" s="44" t="s">
        <v>109</v>
      </c>
      <c r="H11" s="43" t="s">
        <v>123</v>
      </c>
      <c r="I11" s="6"/>
      <c r="J11" s="118" t="str">
        <f>IF('Berekening trap 1'!C14=1,"NA",'Berekening trap 1'!C14)</f>
        <v>NA</v>
      </c>
      <c r="K11" s="6"/>
      <c r="L11" s="52" t="s">
        <v>171</v>
      </c>
      <c r="M11" s="57">
        <f>'Berekening trap 1'!K25*'OUTPUT trap 1&amp;2'!M$9</f>
        <v>137.1</v>
      </c>
      <c r="N11" s="118" t="s">
        <v>165</v>
      </c>
      <c r="O11" s="57">
        <f>'Berekening trap 1'!K31*'OUTPUT trap 1&amp;2'!M$9</f>
        <v>180</v>
      </c>
      <c r="P11" s="44"/>
      <c r="X11" s="113"/>
      <c r="Y11" s="114"/>
      <c r="Z11" s="113"/>
      <c r="AA11" s="114"/>
      <c r="AB11" s="114"/>
      <c r="AC11" s="114"/>
    </row>
    <row r="12" spans="1:30" x14ac:dyDescent="0.2">
      <c r="A12" s="43" t="s">
        <v>112</v>
      </c>
      <c r="B12" s="6"/>
      <c r="C12" s="6"/>
      <c r="D12" s="6">
        <f>INVOER!T15</f>
        <v>0.89770000000000005</v>
      </c>
      <c r="E12" s="6" t="s">
        <v>113</v>
      </c>
      <c r="F12" s="6">
        <f>INVOER!U15</f>
        <v>1.2922934065934066</v>
      </c>
      <c r="G12" s="44" t="s">
        <v>142</v>
      </c>
      <c r="H12" s="43" t="s">
        <v>39</v>
      </c>
      <c r="I12" s="6"/>
      <c r="J12" s="61">
        <f>'Berekening trap 1'!R24</f>
        <v>20.793268862888318</v>
      </c>
      <c r="K12" s="6" t="s">
        <v>122</v>
      </c>
      <c r="L12" s="52" t="s">
        <v>170</v>
      </c>
      <c r="M12" s="57">
        <f>'Berekening trap 1'!K26*'OUTPUT trap 1&amp;2'!M$9</f>
        <v>169.2</v>
      </c>
      <c r="N12" s="118" t="s">
        <v>166</v>
      </c>
      <c r="O12" s="57">
        <f>'Berekening trap 1'!K32*'OUTPUT trap 1&amp;2'!M$9</f>
        <v>120</v>
      </c>
      <c r="P12" s="44"/>
      <c r="X12" s="113"/>
      <c r="Y12" s="6"/>
      <c r="Z12" s="6"/>
      <c r="AA12" s="6"/>
      <c r="AB12" s="6"/>
      <c r="AC12" s="6"/>
    </row>
    <row r="13" spans="1:30" x14ac:dyDescent="0.2">
      <c r="A13" s="43" t="s">
        <v>152</v>
      </c>
      <c r="B13" s="6"/>
      <c r="C13" s="6"/>
      <c r="D13" s="6">
        <f>INVOER!C9</f>
        <v>2.2700000000000001E-2</v>
      </c>
      <c r="E13" s="6" t="s">
        <v>114</v>
      </c>
      <c r="F13" s="6"/>
      <c r="G13" s="44"/>
      <c r="H13" s="43" t="s">
        <v>120</v>
      </c>
      <c r="I13" s="6"/>
      <c r="J13" s="61">
        <f>'Berekening trap 1'!R25</f>
        <v>26.059637776537201</v>
      </c>
      <c r="K13" s="6" t="s">
        <v>122</v>
      </c>
      <c r="L13" s="52" t="s">
        <v>169</v>
      </c>
      <c r="M13" s="57">
        <f>'Berekening trap 1'!K27*'OUTPUT trap 1&amp;2'!M$9*INVOER!C20</f>
        <v>92.1</v>
      </c>
      <c r="N13" s="118" t="s">
        <v>167</v>
      </c>
      <c r="O13" s="57">
        <f>'Berekening trap 1'!K33*'OUTPUT trap 1&amp;2'!M$9</f>
        <v>90</v>
      </c>
      <c r="P13" s="44"/>
      <c r="X13" s="6"/>
      <c r="Y13" s="6"/>
      <c r="Z13" s="6"/>
      <c r="AA13" s="6"/>
      <c r="AB13" s="6"/>
      <c r="AC13" s="6"/>
    </row>
    <row r="14" spans="1:30" x14ac:dyDescent="0.2">
      <c r="A14" s="43" t="s">
        <v>115</v>
      </c>
      <c r="B14" s="6"/>
      <c r="C14" s="6"/>
      <c r="D14" s="6">
        <f>'Berekening trap 1'!C9</f>
        <v>1200</v>
      </c>
      <c r="E14" s="6" t="s">
        <v>118</v>
      </c>
      <c r="F14" s="6"/>
      <c r="G14" s="44"/>
      <c r="H14" s="43" t="s">
        <v>187</v>
      </c>
      <c r="I14" s="6"/>
      <c r="J14" s="118" t="str">
        <f>INVOER!U36</f>
        <v>Y</v>
      </c>
      <c r="K14" s="6"/>
      <c r="L14" s="52" t="s">
        <v>175</v>
      </c>
      <c r="M14" s="57">
        <f>'Berekening trap 1'!K28*'OUTPUT trap 1&amp;2'!M$9</f>
        <v>128.4</v>
      </c>
      <c r="N14" s="118" t="s">
        <v>168</v>
      </c>
      <c r="O14" s="57">
        <f>0.625*O12</f>
        <v>75</v>
      </c>
      <c r="P14" s="44"/>
      <c r="U14" s="6"/>
      <c r="V14" s="6"/>
      <c r="W14" s="6"/>
      <c r="X14" s="6"/>
    </row>
    <row r="15" spans="1:30" x14ac:dyDescent="0.2">
      <c r="A15" s="45" t="s">
        <v>116</v>
      </c>
      <c r="B15" s="46"/>
      <c r="C15" s="46"/>
      <c r="D15" s="75">
        <f>INVOER!V19*1000</f>
        <v>20</v>
      </c>
      <c r="E15" s="46" t="s">
        <v>117</v>
      </c>
      <c r="F15" s="75">
        <f>INVOER!W19*1000</f>
        <v>28.791208791208792</v>
      </c>
      <c r="G15" s="50" t="s">
        <v>44</v>
      </c>
      <c r="H15" s="45"/>
      <c r="I15" s="46"/>
      <c r="J15" s="46"/>
      <c r="K15" s="46"/>
      <c r="L15" s="53" t="s">
        <v>174</v>
      </c>
      <c r="M15" s="119">
        <f>M9*0.892</f>
        <v>267.60000000000002</v>
      </c>
      <c r="N15" s="46"/>
      <c r="O15" s="46"/>
      <c r="P15" s="50"/>
      <c r="R15" s="6"/>
      <c r="S15" s="6"/>
      <c r="T15" s="6"/>
      <c r="U15" s="6"/>
      <c r="V15" s="8"/>
    </row>
    <row r="16" spans="1:30" x14ac:dyDescent="0.2">
      <c r="A16" s="43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44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</row>
    <row r="17" spans="1:30" x14ac:dyDescent="0.2">
      <c r="A17" s="354" t="s">
        <v>286</v>
      </c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44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</row>
    <row r="18" spans="1:30" x14ac:dyDescent="0.2">
      <c r="A18" s="41" t="s">
        <v>105</v>
      </c>
      <c r="B18" s="5"/>
      <c r="C18" s="5"/>
      <c r="D18" s="5">
        <f>INVOER!C$5</f>
        <v>120</v>
      </c>
      <c r="E18" s="5" t="s">
        <v>107</v>
      </c>
      <c r="F18" s="5"/>
      <c r="G18" s="42"/>
      <c r="H18" s="5" t="s">
        <v>119</v>
      </c>
      <c r="I18" s="5"/>
      <c r="J18" s="54" t="s">
        <v>23</v>
      </c>
      <c r="K18" s="58">
        <f>'Berekening trap 2'!K$23</f>
        <v>850</v>
      </c>
      <c r="L18" s="41" t="s">
        <v>124</v>
      </c>
      <c r="M18" s="5"/>
      <c r="N18" s="5"/>
      <c r="O18" s="5"/>
      <c r="P18" s="42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</row>
    <row r="19" spans="1:30" x14ac:dyDescent="0.2">
      <c r="A19" s="43" t="s">
        <v>106</v>
      </c>
      <c r="B19" s="6"/>
      <c r="C19" s="6"/>
      <c r="D19" s="6">
        <f>INVOER!C$6-INVOER!C$28/100000</f>
        <v>0.98156384405059161</v>
      </c>
      <c r="E19" s="6">
        <f>INVOER!U12</f>
        <v>0</v>
      </c>
      <c r="F19" s="6"/>
      <c r="G19" s="44"/>
      <c r="H19" s="6" t="s">
        <v>143</v>
      </c>
      <c r="I19" s="6"/>
      <c r="J19" s="6">
        <f>INVOER!E$15</f>
        <v>120</v>
      </c>
      <c r="K19" s="6"/>
      <c r="L19" s="52" t="s">
        <v>173</v>
      </c>
      <c r="M19" s="57">
        <f>J20</f>
        <v>300</v>
      </c>
      <c r="N19" s="118" t="s">
        <v>163</v>
      </c>
      <c r="O19" s="57">
        <f>'Berekening trap 2'!K$29*'OUTPUT trap 2'!M$7</f>
        <v>745.5</v>
      </c>
      <c r="P19" s="44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</row>
    <row r="20" spans="1:30" x14ac:dyDescent="0.2">
      <c r="A20" s="43" t="s">
        <v>149</v>
      </c>
      <c r="B20" s="6"/>
      <c r="C20" s="6"/>
      <c r="D20" s="8">
        <f>'Berekening trap 2'!C$6</f>
        <v>21.219422232855933</v>
      </c>
      <c r="E20" s="6" t="s">
        <v>111</v>
      </c>
      <c r="F20" s="57">
        <f>3600*D20</f>
        <v>76389.920038281358</v>
      </c>
      <c r="G20" s="44" t="s">
        <v>110</v>
      </c>
      <c r="H20" s="6" t="s">
        <v>178</v>
      </c>
      <c r="I20" s="6"/>
      <c r="J20" s="6">
        <f>INVOER!E$18</f>
        <v>300</v>
      </c>
      <c r="K20" s="44" t="s">
        <v>121</v>
      </c>
      <c r="L20" s="52" t="s">
        <v>172</v>
      </c>
      <c r="M20" s="57">
        <f>'Berekening trap 2'!K$24*M19</f>
        <v>60.900000000000006</v>
      </c>
      <c r="N20" s="118" t="s">
        <v>164</v>
      </c>
      <c r="O20" s="57">
        <f>'Berekening trap 2'!K$30*'OUTPUT trap 2'!M$7</f>
        <v>393.6</v>
      </c>
      <c r="P20" s="44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</row>
    <row r="21" spans="1:30" x14ac:dyDescent="0.2">
      <c r="A21" s="43" t="s">
        <v>149</v>
      </c>
      <c r="B21" s="6"/>
      <c r="C21" s="6"/>
      <c r="D21" s="8">
        <f>INVOER!V$9</f>
        <v>14.472010178117049</v>
      </c>
      <c r="E21" s="6" t="s">
        <v>108</v>
      </c>
      <c r="F21" s="57">
        <f>3600*D21</f>
        <v>52099.236641221374</v>
      </c>
      <c r="G21" s="44" t="s">
        <v>109</v>
      </c>
      <c r="H21" s="6" t="s">
        <v>123</v>
      </c>
      <c r="I21" s="6"/>
      <c r="J21" s="118" t="str">
        <f>IF('Berekening trap 2'!C$14=1,"NA",'Berekening trap 2'!C$14)</f>
        <v>NA</v>
      </c>
      <c r="K21" s="44"/>
      <c r="L21" s="52" t="s">
        <v>171</v>
      </c>
      <c r="M21" s="57">
        <f>'Berekening trap 2'!K$25*M19</f>
        <v>137.1</v>
      </c>
      <c r="N21" s="118" t="s">
        <v>165</v>
      </c>
      <c r="O21" s="57">
        <f>'Berekening trap 2'!K$31*'OUTPUT trap 2'!M$7</f>
        <v>180</v>
      </c>
      <c r="P21" s="44"/>
      <c r="R21" s="6"/>
      <c r="S21" s="6"/>
      <c r="T21" s="6"/>
      <c r="U21" s="6"/>
      <c r="V21" s="6"/>
      <c r="W21" s="6"/>
      <c r="X21" s="6"/>
      <c r="Y21" s="6"/>
      <c r="Z21" s="57"/>
      <c r="AA21" s="6"/>
      <c r="AB21" s="6"/>
      <c r="AC21" s="6"/>
      <c r="AD21" s="6"/>
    </row>
    <row r="22" spans="1:30" x14ac:dyDescent="0.2">
      <c r="A22" s="43" t="s">
        <v>112</v>
      </c>
      <c r="B22" s="6"/>
      <c r="C22" s="6"/>
      <c r="D22" s="6">
        <f>'Berekening trap 2'!C$7</f>
        <v>0.89770000000000005</v>
      </c>
      <c r="E22" s="6" t="s">
        <v>113</v>
      </c>
      <c r="F22" s="6">
        <f>INVOER!U$15</f>
        <v>1.2922934065934066</v>
      </c>
      <c r="G22" s="44" t="s">
        <v>142</v>
      </c>
      <c r="H22" s="6" t="s">
        <v>39</v>
      </c>
      <c r="I22" s="6"/>
      <c r="J22" s="61">
        <f>'Berekening trap 2'!R$24</f>
        <v>21.178615276940324</v>
      </c>
      <c r="K22" s="44" t="s">
        <v>122</v>
      </c>
      <c r="L22" s="52" t="s">
        <v>170</v>
      </c>
      <c r="M22" s="57">
        <f>'Berekening trap 2'!K$26*M19</f>
        <v>169.2</v>
      </c>
      <c r="N22" s="118" t="s">
        <v>166</v>
      </c>
      <c r="O22" s="57">
        <f>'Berekening trap 2'!K$32*'OUTPUT trap 2'!M$7</f>
        <v>120</v>
      </c>
      <c r="P22" s="44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</row>
    <row r="23" spans="1:30" x14ac:dyDescent="0.2">
      <c r="A23" s="43" t="s">
        <v>152</v>
      </c>
      <c r="B23" s="6"/>
      <c r="C23" s="6"/>
      <c r="D23" s="6">
        <f>INVOER!C$9</f>
        <v>2.2700000000000001E-2</v>
      </c>
      <c r="E23" s="6" t="s">
        <v>114</v>
      </c>
      <c r="F23" s="6"/>
      <c r="G23" s="44"/>
      <c r="H23" s="43" t="s">
        <v>120</v>
      </c>
      <c r="I23" s="6"/>
      <c r="J23" s="61">
        <f>'Berekening trap 2'!R$25</f>
        <v>26.542581946350044</v>
      </c>
      <c r="K23" s="44" t="s">
        <v>122</v>
      </c>
      <c r="L23" s="52" t="s">
        <v>169</v>
      </c>
      <c r="M23" s="57">
        <f>'Berekening trap 2'!K$27*M19*INVOER!C20</f>
        <v>92.1</v>
      </c>
      <c r="N23" s="118" t="s">
        <v>167</v>
      </c>
      <c r="O23" s="57">
        <f>'Berekening trap 2'!K$33*'OUTPUT trap 2'!M$7</f>
        <v>90</v>
      </c>
      <c r="P23" s="44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</row>
    <row r="24" spans="1:30" x14ac:dyDescent="0.2">
      <c r="A24" s="43" t="s">
        <v>115</v>
      </c>
      <c r="B24" s="6"/>
      <c r="C24" s="6"/>
      <c r="D24" s="6">
        <f>'Berekening trap 1'!C$9</f>
        <v>1200</v>
      </c>
      <c r="E24" s="6" t="s">
        <v>118</v>
      </c>
      <c r="F24" s="6"/>
      <c r="G24" s="44"/>
      <c r="H24" s="6" t="s">
        <v>187</v>
      </c>
      <c r="I24" s="6"/>
      <c r="J24" s="118" t="str">
        <f>INVOER!U$37</f>
        <v>Y</v>
      </c>
      <c r="K24" s="6"/>
      <c r="L24" s="52" t="s">
        <v>175</v>
      </c>
      <c r="M24" s="57">
        <f>'Berekening trap 2'!K$28*M19</f>
        <v>128.4</v>
      </c>
      <c r="N24" s="118" t="s">
        <v>168</v>
      </c>
      <c r="O24" s="57">
        <f>0.625*O22</f>
        <v>75</v>
      </c>
      <c r="P24" s="44"/>
      <c r="Q24"/>
      <c r="U24" s="134"/>
      <c r="V24" s="6"/>
    </row>
    <row r="25" spans="1:30" x14ac:dyDescent="0.2">
      <c r="A25" s="45" t="s">
        <v>116</v>
      </c>
      <c r="B25" s="46"/>
      <c r="C25" s="46"/>
      <c r="D25" s="75">
        <f>INVOER!V$20*1000</f>
        <v>0.17194157781304995</v>
      </c>
      <c r="E25" s="46" t="s">
        <v>117</v>
      </c>
      <c r="F25" s="75">
        <f>INVOER!W$19*1000</f>
        <v>28.791208791208792</v>
      </c>
      <c r="G25" s="50" t="s">
        <v>44</v>
      </c>
      <c r="H25" s="46"/>
      <c r="I25" s="46"/>
      <c r="J25" s="46"/>
      <c r="K25" s="46"/>
      <c r="L25" s="53" t="s">
        <v>174</v>
      </c>
      <c r="M25" s="119">
        <f>M19*0.892</f>
        <v>267.60000000000002</v>
      </c>
      <c r="N25" s="46"/>
      <c r="O25" s="46"/>
      <c r="P25" s="50"/>
      <c r="Q25"/>
      <c r="U25" s="134"/>
      <c r="V25" s="6"/>
    </row>
    <row r="26" spans="1:30" x14ac:dyDescent="0.2">
      <c r="A26" s="43"/>
      <c r="B26" s="6"/>
      <c r="C26" s="6"/>
      <c r="D26" s="6"/>
      <c r="E26" s="6"/>
      <c r="F26" s="6"/>
      <c r="G26" s="6"/>
      <c r="H26" s="6"/>
      <c r="I26" s="6"/>
      <c r="J26" s="134"/>
      <c r="K26" s="345"/>
      <c r="L26" s="134"/>
      <c r="M26" s="134"/>
      <c r="N26" s="134"/>
      <c r="O26" s="134"/>
      <c r="P26" s="348"/>
      <c r="Q26"/>
      <c r="U26" s="134"/>
      <c r="V26" s="6"/>
    </row>
    <row r="27" spans="1:30" x14ac:dyDescent="0.2">
      <c r="A27" s="43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134"/>
      <c r="O27" s="134"/>
      <c r="P27" s="348"/>
      <c r="Q27"/>
      <c r="U27" s="134"/>
      <c r="V27" s="6"/>
    </row>
    <row r="28" spans="1:30" x14ac:dyDescent="0.2">
      <c r="A28" s="43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134"/>
      <c r="O28" s="134"/>
      <c r="P28" s="348"/>
      <c r="Q28"/>
      <c r="U28" s="134"/>
      <c r="V28" s="6"/>
    </row>
    <row r="29" spans="1:30" x14ac:dyDescent="0.2">
      <c r="A29" s="43"/>
      <c r="B29" s="403" t="s">
        <v>276</v>
      </c>
      <c r="C29" s="404"/>
      <c r="D29" s="404"/>
      <c r="E29" s="405"/>
      <c r="F29" s="403" t="s">
        <v>277</v>
      </c>
      <c r="G29" s="404"/>
      <c r="H29" s="404"/>
      <c r="I29" s="405"/>
      <c r="J29" s="403" t="s">
        <v>278</v>
      </c>
      <c r="K29" s="404"/>
      <c r="L29" s="404"/>
      <c r="M29" s="405"/>
      <c r="N29" s="134"/>
      <c r="O29" s="134"/>
      <c r="P29" s="348"/>
      <c r="Q29"/>
      <c r="U29" s="134"/>
      <c r="V29" s="6"/>
    </row>
    <row r="30" spans="1:30" x14ac:dyDescent="0.2">
      <c r="A30" s="43"/>
      <c r="B30" s="43" t="s">
        <v>130</v>
      </c>
      <c r="C30" s="6"/>
      <c r="D30" s="8">
        <f>'OUTPUT trap 1'!D16</f>
        <v>99.12435977464034</v>
      </c>
      <c r="E30" s="44" t="s">
        <v>5</v>
      </c>
      <c r="F30" s="43" t="s">
        <v>130</v>
      </c>
      <c r="G30" s="6"/>
      <c r="H30" s="8">
        <f>'OUTPUT trap 2'!D16</f>
        <v>73.762717663463661</v>
      </c>
      <c r="I30" s="44" t="s">
        <v>5</v>
      </c>
      <c r="J30" s="43" t="s">
        <v>130</v>
      </c>
      <c r="K30" s="6"/>
      <c r="L30" s="8">
        <f>INVOER!G27</f>
        <v>99.770255801820099</v>
      </c>
      <c r="M30" s="44" t="s">
        <v>5</v>
      </c>
      <c r="N30" s="134"/>
      <c r="O30" s="134"/>
      <c r="P30" s="348"/>
      <c r="Q30"/>
      <c r="U30" s="134"/>
      <c r="V30" s="6"/>
    </row>
    <row r="31" spans="1:30" x14ac:dyDescent="0.2">
      <c r="A31" s="43"/>
      <c r="B31" s="43" t="s">
        <v>131</v>
      </c>
      <c r="C31" s="6"/>
      <c r="D31" s="8">
        <f>'OUTPUT trap 1'!D17</f>
        <v>0.17512804507193092</v>
      </c>
      <c r="E31" s="44" t="s">
        <v>144</v>
      </c>
      <c r="F31" s="43" t="s">
        <v>131</v>
      </c>
      <c r="G31" s="6"/>
      <c r="H31" s="8">
        <f>'OUTPUT trap 2'!D17</f>
        <v>4.5112797224705244E-2</v>
      </c>
      <c r="I31" s="44" t="s">
        <v>144</v>
      </c>
      <c r="J31" s="43" t="s">
        <v>131</v>
      </c>
      <c r="K31" s="6"/>
      <c r="L31" s="134">
        <f>H31</f>
        <v>4.5112797224705244E-2</v>
      </c>
      <c r="M31" s="44" t="s">
        <v>144</v>
      </c>
      <c r="N31" s="134"/>
      <c r="O31" s="134"/>
      <c r="P31" s="348"/>
      <c r="Q31"/>
      <c r="U31" s="134"/>
      <c r="V31" s="6"/>
    </row>
    <row r="32" spans="1:30" x14ac:dyDescent="0.2">
      <c r="A32" s="43"/>
      <c r="B32" s="43" t="s">
        <v>131</v>
      </c>
      <c r="C32" s="6"/>
      <c r="D32" s="353">
        <f>'OUTPUT trap 1'!D18</f>
        <v>0.25210740554310934</v>
      </c>
      <c r="E32" s="44" t="s">
        <v>44</v>
      </c>
      <c r="F32" s="43" t="s">
        <v>131</v>
      </c>
      <c r="G32" s="6"/>
      <c r="H32" s="353">
        <f>'OUTPUT trap 2'!D18</f>
        <v>6.6146131783662271E-2</v>
      </c>
      <c r="I32" s="44" t="s">
        <v>44</v>
      </c>
      <c r="J32" s="43" t="s">
        <v>131</v>
      </c>
      <c r="K32" s="6"/>
      <c r="L32" s="134">
        <f>H32</f>
        <v>6.6146131783662271E-2</v>
      </c>
      <c r="M32" s="44" t="s">
        <v>44</v>
      </c>
      <c r="N32" s="134"/>
      <c r="O32" s="134"/>
      <c r="P32" s="348"/>
      <c r="Q32"/>
      <c r="U32" s="134"/>
      <c r="V32" s="6"/>
    </row>
    <row r="33" spans="1:24" x14ac:dyDescent="0.2">
      <c r="A33" s="43"/>
      <c r="B33" s="96" t="s">
        <v>153</v>
      </c>
      <c r="C33" s="97"/>
      <c r="D33" s="8"/>
      <c r="E33" s="98"/>
      <c r="F33" s="96" t="s">
        <v>153</v>
      </c>
      <c r="G33" s="97"/>
      <c r="H33" s="8"/>
      <c r="I33" s="98"/>
      <c r="J33" s="96" t="s">
        <v>153</v>
      </c>
      <c r="K33" s="97"/>
      <c r="L33" s="97"/>
      <c r="M33" s="98"/>
      <c r="N33" s="134"/>
      <c r="O33" s="134"/>
      <c r="P33" s="348"/>
      <c r="Q33"/>
      <c r="U33" s="134"/>
      <c r="V33" s="143"/>
    </row>
    <row r="34" spans="1:24" x14ac:dyDescent="0.2">
      <c r="A34" s="43"/>
      <c r="B34" s="127" t="s">
        <v>179</v>
      </c>
      <c r="C34" s="6"/>
      <c r="D34" s="57">
        <f>'OUTPUT trap 1'!D20</f>
        <v>1843.6155949408451</v>
      </c>
      <c r="E34" s="44" t="s">
        <v>132</v>
      </c>
      <c r="F34" s="127" t="s">
        <v>179</v>
      </c>
      <c r="G34" s="6"/>
      <c r="H34" s="57">
        <f>'OUTPUT trap 2'!D20</f>
        <v>1704.412128823423</v>
      </c>
      <c r="I34" s="44" t="s">
        <v>132</v>
      </c>
      <c r="J34" s="127" t="s">
        <v>179</v>
      </c>
      <c r="K34" s="6"/>
      <c r="L34" s="57">
        <f>D34+H34</f>
        <v>3548.0277237642681</v>
      </c>
      <c r="M34" s="44" t="s">
        <v>132</v>
      </c>
      <c r="N34" s="134"/>
      <c r="O34" s="134"/>
      <c r="P34" s="348"/>
      <c r="Q34"/>
      <c r="U34" s="134"/>
      <c r="V34" s="143"/>
    </row>
    <row r="35" spans="1:24" x14ac:dyDescent="0.2">
      <c r="A35" s="43"/>
      <c r="B35" s="128" t="s">
        <v>180</v>
      </c>
      <c r="C35" s="99"/>
      <c r="D35" s="100">
        <f>'OUTPUT trap 1'!D21</f>
        <v>1197.7679423131469</v>
      </c>
      <c r="E35" s="101" t="s">
        <v>132</v>
      </c>
      <c r="F35" s="128" t="s">
        <v>180</v>
      </c>
      <c r="G35" s="99"/>
      <c r="H35" s="100">
        <f>'OUTPUT trap 2'!D21</f>
        <v>1242.5740206825144</v>
      </c>
      <c r="I35" s="101" t="s">
        <v>132</v>
      </c>
      <c r="J35" s="128" t="s">
        <v>180</v>
      </c>
      <c r="K35" s="99"/>
      <c r="L35" s="100">
        <f>D35+H35</f>
        <v>2440.3419629956616</v>
      </c>
      <c r="M35" s="101" t="s">
        <v>132</v>
      </c>
      <c r="N35" s="134"/>
      <c r="O35" s="134"/>
      <c r="P35" s="348"/>
      <c r="Q35"/>
      <c r="U35" s="134"/>
      <c r="V35" s="6"/>
    </row>
    <row r="36" spans="1:24" x14ac:dyDescent="0.2">
      <c r="A36" s="43"/>
      <c r="B36" s="43" t="s">
        <v>74</v>
      </c>
      <c r="C36" s="6"/>
      <c r="D36" s="8">
        <f>'OUTPUT trap 1'!D22</f>
        <v>0.38441170011996861</v>
      </c>
      <c r="E36" s="44" t="s">
        <v>133</v>
      </c>
      <c r="F36" s="43" t="s">
        <v>74</v>
      </c>
      <c r="G36" s="6"/>
      <c r="H36" s="8">
        <f>'OUTPUT trap 2'!D22</f>
        <v>0.38166891048988288</v>
      </c>
      <c r="I36" s="44" t="s">
        <v>133</v>
      </c>
      <c r="J36" s="43" t="s">
        <v>74</v>
      </c>
      <c r="K36" s="6"/>
      <c r="L36" s="56">
        <f>'Berekening trap 2'!P51</f>
        <v>0.36667260295394372</v>
      </c>
      <c r="M36" s="44" t="s">
        <v>133</v>
      </c>
      <c r="N36" s="134"/>
      <c r="O36" s="134"/>
      <c r="P36" s="348"/>
      <c r="Q36"/>
      <c r="U36" s="134"/>
      <c r="V36" s="6"/>
    </row>
    <row r="37" spans="1:24" x14ac:dyDescent="0.2">
      <c r="A37" s="43"/>
      <c r="B37" s="43" t="s">
        <v>76</v>
      </c>
      <c r="C37" s="6"/>
      <c r="D37" s="8">
        <f>'OUTPUT trap 1'!D23</f>
        <v>0.42282102376441322</v>
      </c>
      <c r="E37" s="44" t="s">
        <v>133</v>
      </c>
      <c r="F37" s="43" t="s">
        <v>76</v>
      </c>
      <c r="G37" s="6"/>
      <c r="H37" s="8">
        <f>'OUTPUT trap 2'!D23</f>
        <v>0.4210027043945857</v>
      </c>
      <c r="I37" s="44" t="s">
        <v>133</v>
      </c>
      <c r="J37" s="43" t="s">
        <v>76</v>
      </c>
      <c r="K37" s="6"/>
      <c r="L37" s="56">
        <f>'Berekening trap 2'!P52</f>
        <v>0.36667260295394372</v>
      </c>
      <c r="M37" s="44" t="s">
        <v>133</v>
      </c>
      <c r="N37" s="134"/>
      <c r="O37" s="134"/>
      <c r="P37" s="348"/>
      <c r="Q37"/>
      <c r="U37" s="134"/>
      <c r="V37" s="6"/>
    </row>
    <row r="38" spans="1:24" x14ac:dyDescent="0.2">
      <c r="A38" s="43"/>
      <c r="B38" s="43" t="s">
        <v>78</v>
      </c>
      <c r="C38" s="6"/>
      <c r="D38" s="8">
        <f>'OUTPUT trap 1'!D24</f>
        <v>1.1549602829373224</v>
      </c>
      <c r="E38" s="44" t="s">
        <v>133</v>
      </c>
      <c r="F38" s="43" t="s">
        <v>78</v>
      </c>
      <c r="G38" s="6"/>
      <c r="H38" s="8">
        <f>'OUTPUT trap 2'!D24</f>
        <v>1.1707637519056175</v>
      </c>
      <c r="I38" s="44" t="s">
        <v>133</v>
      </c>
      <c r="J38" s="43" t="s">
        <v>78</v>
      </c>
      <c r="K38" s="6"/>
      <c r="L38" s="56">
        <f>'Berekening trap 2'!P53</f>
        <v>0.65076966503684375</v>
      </c>
      <c r="M38" s="44" t="s">
        <v>133</v>
      </c>
      <c r="N38" s="134"/>
      <c r="O38" s="134"/>
      <c r="P38" s="348"/>
      <c r="Q38"/>
      <c r="U38" s="134"/>
      <c r="V38" s="6"/>
    </row>
    <row r="39" spans="1:24" x14ac:dyDescent="0.2">
      <c r="A39" s="43"/>
      <c r="B39" s="43" t="s">
        <v>80</v>
      </c>
      <c r="C39" s="6"/>
      <c r="D39" s="8">
        <f>'OUTPUT trap 1'!D25</f>
        <v>4.4077610621737708</v>
      </c>
      <c r="E39" s="44" t="s">
        <v>133</v>
      </c>
      <c r="F39" s="43" t="s">
        <v>80</v>
      </c>
      <c r="G39" s="6"/>
      <c r="H39" s="8">
        <f>'OUTPUT trap 2'!D25</f>
        <v>4.5018558754725673</v>
      </c>
      <c r="I39" s="44" t="s">
        <v>133</v>
      </c>
      <c r="J39" s="43" t="s">
        <v>80</v>
      </c>
      <c r="K39" s="6"/>
      <c r="L39" s="56">
        <f>'Berekening trap 2'!P54</f>
        <v>1.9541710505175589</v>
      </c>
      <c r="M39" s="44" t="s">
        <v>133</v>
      </c>
      <c r="N39" s="134"/>
      <c r="O39" s="134"/>
      <c r="P39" s="348"/>
      <c r="Q39"/>
      <c r="U39" s="134"/>
      <c r="V39" s="6"/>
    </row>
    <row r="40" spans="1:24" x14ac:dyDescent="0.2">
      <c r="A40" s="43"/>
      <c r="B40" s="45" t="s">
        <v>81</v>
      </c>
      <c r="C40" s="46"/>
      <c r="D40" s="352">
        <f>'OUTPUT trap 1'!D26</f>
        <v>6.3155605182436476</v>
      </c>
      <c r="E40" s="50" t="s">
        <v>133</v>
      </c>
      <c r="F40" s="45" t="s">
        <v>81</v>
      </c>
      <c r="G40" s="46"/>
      <c r="H40" s="352">
        <f>'OUTPUT trap 2'!D26</f>
        <v>6.4789655863773259</v>
      </c>
      <c r="I40" s="50" t="s">
        <v>133</v>
      </c>
      <c r="J40" s="45" t="s">
        <v>81</v>
      </c>
      <c r="K40" s="46"/>
      <c r="L40" s="133">
        <f>'Berekening trap 2'!P55</f>
        <v>2.6033765869020322</v>
      </c>
      <c r="M40" s="50" t="s">
        <v>133</v>
      </c>
      <c r="N40" s="134"/>
      <c r="O40" s="134"/>
      <c r="P40" s="348"/>
      <c r="Q40" s="346"/>
      <c r="R40" s="6"/>
      <c r="S40" s="6"/>
      <c r="T40" s="6"/>
      <c r="U40" s="134"/>
      <c r="V40" s="6"/>
      <c r="W40" s="6"/>
      <c r="X40" s="6"/>
    </row>
    <row r="41" spans="1:24" x14ac:dyDescent="0.2">
      <c r="A41" s="43"/>
      <c r="B41" s="6"/>
      <c r="C41" s="6"/>
      <c r="D41" s="6"/>
      <c r="E41" s="6"/>
      <c r="F41" s="6"/>
      <c r="G41" s="6"/>
      <c r="H41" s="6"/>
      <c r="I41" s="6"/>
      <c r="J41" s="134"/>
      <c r="K41" s="345"/>
      <c r="L41" s="134"/>
      <c r="M41" s="134"/>
      <c r="N41" s="134"/>
      <c r="O41" s="134"/>
      <c r="P41" s="348"/>
      <c r="R41" s="6"/>
      <c r="S41" s="134"/>
      <c r="T41" s="6"/>
      <c r="U41" s="6"/>
      <c r="V41" s="6"/>
      <c r="W41" s="6"/>
      <c r="X41" s="6"/>
    </row>
    <row r="42" spans="1:24" x14ac:dyDescent="0.2">
      <c r="A42" s="43"/>
      <c r="B42" s="156"/>
      <c r="C42" s="6"/>
      <c r="D42" s="6"/>
      <c r="E42" s="6"/>
      <c r="F42" s="6"/>
      <c r="G42" s="6"/>
      <c r="H42" s="6"/>
      <c r="I42" s="6"/>
      <c r="J42" s="118"/>
      <c r="K42" s="134"/>
      <c r="L42" s="134"/>
      <c r="M42" s="6"/>
      <c r="N42" s="6"/>
      <c r="O42" s="6"/>
      <c r="P42" s="44"/>
      <c r="R42" s="6"/>
      <c r="S42" s="134"/>
      <c r="T42" s="6"/>
      <c r="U42" s="237"/>
      <c r="V42" s="231"/>
      <c r="W42" s="6"/>
      <c r="X42" s="6"/>
    </row>
    <row r="43" spans="1:24" x14ac:dyDescent="0.2">
      <c r="A43" s="43"/>
      <c r="B43" s="156" t="s">
        <v>282</v>
      </c>
      <c r="C43" s="6"/>
      <c r="D43" s="6"/>
      <c r="E43" s="6"/>
      <c r="F43" s="6"/>
      <c r="G43" s="134"/>
      <c r="H43" s="6"/>
      <c r="I43" s="6"/>
      <c r="J43" s="6"/>
      <c r="K43" s="6"/>
      <c r="L43" s="6"/>
      <c r="M43" s="6"/>
      <c r="N43" s="6"/>
      <c r="O43" s="6"/>
      <c r="P43" s="348"/>
      <c r="R43" s="6"/>
      <c r="S43" s="6"/>
      <c r="T43" s="6"/>
      <c r="U43" s="6"/>
      <c r="V43" s="6"/>
      <c r="W43" s="6"/>
      <c r="X43" s="6"/>
    </row>
    <row r="44" spans="1:24" x14ac:dyDescent="0.2">
      <c r="A44" s="43"/>
      <c r="B44" s="230" t="s">
        <v>256</v>
      </c>
      <c r="C44" s="6"/>
      <c r="D44" s="259">
        <f>'Berekening trap 2'!K56</f>
        <v>70.562857593202722</v>
      </c>
      <c r="E44" s="351" t="s">
        <v>284</v>
      </c>
      <c r="F44" s="132"/>
      <c r="G44" s="6"/>
      <c r="H44" s="6"/>
      <c r="I44" s="6"/>
      <c r="J44" s="118"/>
      <c r="K44" s="123"/>
      <c r="L44" s="118"/>
      <c r="M44" s="134"/>
      <c r="N44" s="6"/>
      <c r="O44" s="6"/>
      <c r="P44" s="348"/>
      <c r="R44" s="143"/>
      <c r="S44" s="143"/>
      <c r="T44" s="143"/>
      <c r="U44" s="143"/>
      <c r="V44" s="143"/>
      <c r="W44" s="6"/>
      <c r="X44" s="6"/>
    </row>
    <row r="45" spans="1:24" x14ac:dyDescent="0.2">
      <c r="A45" s="43"/>
      <c r="B45" s="230" t="s">
        <v>257</v>
      </c>
      <c r="C45" s="6"/>
      <c r="D45" s="260">
        <f>'Berekening trap 1'!B76</f>
        <v>0.17895473832498884</v>
      </c>
      <c r="E45" s="351" t="s">
        <v>281</v>
      </c>
      <c r="F45" s="132"/>
      <c r="G45" s="6"/>
      <c r="H45" s="6"/>
      <c r="I45" s="6"/>
      <c r="J45" s="6"/>
      <c r="K45" s="6"/>
      <c r="L45" s="6"/>
      <c r="M45" s="6"/>
      <c r="N45" s="6"/>
      <c r="O45" s="6"/>
      <c r="P45" s="348"/>
      <c r="R45" s="143"/>
      <c r="S45" s="143"/>
      <c r="T45" s="143"/>
      <c r="U45" s="143"/>
      <c r="V45" s="143"/>
      <c r="W45" s="6"/>
      <c r="X45" s="6"/>
    </row>
    <row r="46" spans="1:24" x14ac:dyDescent="0.2">
      <c r="A46" s="43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44"/>
      <c r="Q46" s="347"/>
      <c r="R46" s="143"/>
      <c r="S46" s="143"/>
      <c r="T46" s="143"/>
      <c r="U46" s="143"/>
      <c r="V46" s="143"/>
      <c r="W46" s="6"/>
      <c r="X46" s="6"/>
    </row>
    <row r="47" spans="1:24" x14ac:dyDescent="0.2">
      <c r="A47" s="43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44"/>
      <c r="R47" s="167"/>
      <c r="S47" s="167"/>
      <c r="T47" s="167"/>
      <c r="U47" s="167"/>
    </row>
    <row r="48" spans="1:24" x14ac:dyDescent="0.2">
      <c r="A48" s="43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44"/>
      <c r="R48" s="167"/>
      <c r="S48" s="167"/>
      <c r="T48" s="167"/>
      <c r="U48" s="167"/>
    </row>
    <row r="49" spans="1:24" x14ac:dyDescent="0.2">
      <c r="A49" s="43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44"/>
      <c r="R49" s="167"/>
      <c r="S49" s="167"/>
      <c r="T49" s="167"/>
      <c r="U49" s="167"/>
    </row>
    <row r="50" spans="1:24" x14ac:dyDescent="0.2">
      <c r="A50" s="43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44"/>
      <c r="R50" s="167"/>
      <c r="S50" s="167"/>
      <c r="T50" s="167"/>
      <c r="U50" s="167"/>
    </row>
    <row r="51" spans="1:24" x14ac:dyDescent="0.2">
      <c r="A51" s="43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44"/>
      <c r="R51" s="167"/>
      <c r="S51" s="167"/>
      <c r="T51" s="167"/>
      <c r="U51" s="167"/>
    </row>
    <row r="52" spans="1:24" x14ac:dyDescent="0.2">
      <c r="A52" s="43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44"/>
    </row>
    <row r="53" spans="1:24" x14ac:dyDescent="0.2">
      <c r="A53" s="43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44"/>
    </row>
    <row r="54" spans="1:24" x14ac:dyDescent="0.2">
      <c r="A54" s="43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44"/>
    </row>
    <row r="55" spans="1:24" x14ac:dyDescent="0.2">
      <c r="A55" s="43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44"/>
    </row>
    <row r="56" spans="1:24" x14ac:dyDescent="0.2">
      <c r="A56" s="43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44"/>
    </row>
    <row r="57" spans="1:24" x14ac:dyDescent="0.2">
      <c r="A57" s="43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44"/>
    </row>
    <row r="58" spans="1:24" x14ac:dyDescent="0.2">
      <c r="A58" s="43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44"/>
    </row>
    <row r="59" spans="1:24" x14ac:dyDescent="0.2">
      <c r="A59" s="43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44"/>
    </row>
    <row r="60" spans="1:24" x14ac:dyDescent="0.2">
      <c r="A60" s="43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44"/>
      <c r="R60" s="224"/>
      <c r="S60" s="224"/>
      <c r="T60" s="224"/>
      <c r="U60" s="224"/>
      <c r="V60" s="167"/>
    </row>
    <row r="61" spans="1:24" x14ac:dyDescent="0.2">
      <c r="A61" s="43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44"/>
    </row>
    <row r="62" spans="1:24" x14ac:dyDescent="0.2">
      <c r="A62" s="43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44"/>
      <c r="W62" s="167"/>
      <c r="X62" s="167"/>
    </row>
    <row r="63" spans="1:24" x14ac:dyDescent="0.2">
      <c r="A63" s="43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44"/>
      <c r="W63" s="167"/>
      <c r="X63" s="167"/>
    </row>
    <row r="64" spans="1:24" x14ac:dyDescent="0.2">
      <c r="A64" s="43"/>
      <c r="B64" s="6"/>
      <c r="C64" s="6"/>
      <c r="D64" s="6"/>
      <c r="E64" s="6"/>
      <c r="F64" s="6"/>
      <c r="G64" s="6"/>
      <c r="H64" s="123"/>
      <c r="I64" s="6"/>
      <c r="J64" s="6"/>
      <c r="K64" s="6"/>
      <c r="L64" s="6"/>
      <c r="M64" s="6"/>
      <c r="N64" s="6"/>
      <c r="O64" s="6"/>
      <c r="P64" s="44"/>
      <c r="W64" s="167"/>
      <c r="X64" s="167"/>
    </row>
    <row r="65" spans="1:22" x14ac:dyDescent="0.2">
      <c r="A65" s="43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44"/>
    </row>
    <row r="66" spans="1:22" x14ac:dyDescent="0.2">
      <c r="A66" s="43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44"/>
      <c r="R66" s="167"/>
      <c r="S66" s="167"/>
      <c r="T66" s="167"/>
      <c r="U66" s="167"/>
      <c r="V66" s="167"/>
    </row>
    <row r="67" spans="1:22" x14ac:dyDescent="0.2">
      <c r="A67" s="43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44"/>
    </row>
    <row r="68" spans="1:22" x14ac:dyDescent="0.2">
      <c r="A68" s="43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44"/>
    </row>
    <row r="69" spans="1:22" x14ac:dyDescent="0.2">
      <c r="A69" s="43"/>
      <c r="B69" s="6"/>
      <c r="C69" s="6"/>
      <c r="D69" s="6"/>
      <c r="E69" s="6"/>
      <c r="F69" s="6"/>
      <c r="G69" s="6"/>
      <c r="H69" s="6"/>
      <c r="I69" s="123"/>
      <c r="J69" s="6"/>
      <c r="K69" s="6"/>
      <c r="L69" s="6"/>
      <c r="M69" s="6"/>
      <c r="N69" s="6"/>
      <c r="O69" s="6"/>
      <c r="P69" s="44"/>
    </row>
    <row r="70" spans="1:22" x14ac:dyDescent="0.2">
      <c r="A70" s="43"/>
      <c r="B70" s="6"/>
      <c r="C70" s="6"/>
      <c r="D70" s="6"/>
      <c r="E70" s="6"/>
      <c r="F70" s="6"/>
      <c r="G70" s="6"/>
      <c r="H70" s="6"/>
      <c r="I70" s="123"/>
      <c r="J70" s="6"/>
      <c r="K70" s="6"/>
      <c r="L70" s="6"/>
      <c r="M70" s="6"/>
      <c r="N70" s="6"/>
      <c r="O70" s="6"/>
      <c r="P70" s="44"/>
    </row>
    <row r="71" spans="1:22" x14ac:dyDescent="0.2">
      <c r="A71" s="43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44"/>
    </row>
    <row r="72" spans="1:22" x14ac:dyDescent="0.2">
      <c r="A72" s="43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44"/>
    </row>
    <row r="73" spans="1:22" x14ac:dyDescent="0.2">
      <c r="A73" s="43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44"/>
    </row>
    <row r="74" spans="1:22" x14ac:dyDescent="0.2">
      <c r="A74" s="43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44"/>
    </row>
    <row r="75" spans="1:22" x14ac:dyDescent="0.2">
      <c r="A75" s="43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44"/>
    </row>
    <row r="76" spans="1:22" x14ac:dyDescent="0.2">
      <c r="A76" s="43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44"/>
    </row>
    <row r="77" spans="1:22" x14ac:dyDescent="0.2">
      <c r="A77" s="43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44"/>
    </row>
    <row r="78" spans="1:22" x14ac:dyDescent="0.2">
      <c r="A78" s="43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44"/>
    </row>
    <row r="79" spans="1:22" x14ac:dyDescent="0.2">
      <c r="A79" s="43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44"/>
    </row>
    <row r="80" spans="1:22" x14ac:dyDescent="0.2">
      <c r="A80" s="43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44"/>
    </row>
    <row r="81" spans="1:16" x14ac:dyDescent="0.2">
      <c r="A81" s="43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44"/>
    </row>
    <row r="82" spans="1:16" x14ac:dyDescent="0.2">
      <c r="A82" s="43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44"/>
    </row>
    <row r="83" spans="1:16" x14ac:dyDescent="0.2">
      <c r="A83" s="43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44"/>
    </row>
    <row r="84" spans="1:16" x14ac:dyDescent="0.2">
      <c r="A84" s="45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50"/>
    </row>
  </sheetData>
  <mergeCells count="10">
    <mergeCell ref="B29:E29"/>
    <mergeCell ref="F29:I29"/>
    <mergeCell ref="J29:M29"/>
    <mergeCell ref="I1:P2"/>
    <mergeCell ref="J3:M3"/>
    <mergeCell ref="O3:P3"/>
    <mergeCell ref="J4:M4"/>
    <mergeCell ref="O4:P4"/>
    <mergeCell ref="J5:M5"/>
    <mergeCell ref="O5:P5"/>
  </mergeCells>
  <pageMargins left="0.51" right="0.17" top="0.49" bottom="0.55000000000000004" header="0.36" footer="0.51"/>
  <pageSetup paperSize="9" scale="7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4</vt:i4>
      </vt:variant>
    </vt:vector>
  </HeadingPairs>
  <TitlesOfParts>
    <vt:vector size="10" baseType="lpstr">
      <vt:lpstr>INVOER</vt:lpstr>
      <vt:lpstr>Berekening trap 1</vt:lpstr>
      <vt:lpstr>Berekening trap 2</vt:lpstr>
      <vt:lpstr>OUTPUT trap 1</vt:lpstr>
      <vt:lpstr>OUTPUT trap 2</vt:lpstr>
      <vt:lpstr>OUTPUT trap 1&amp;2</vt:lpstr>
      <vt:lpstr>INVOER!Afdrukbereik</vt:lpstr>
      <vt:lpstr>'OUTPUT trap 1'!Afdrukbereik</vt:lpstr>
      <vt:lpstr>'OUTPUT trap 1&amp;2'!Afdrukbereik</vt:lpstr>
      <vt:lpstr>'OUTPUT trap 2'!Afdrukbereik</vt:lpstr>
    </vt:vector>
  </TitlesOfParts>
  <Company>Van Tongeren van Kennemer BV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H.C. Geljon</dc:creator>
  <cp:lastModifiedBy>Gerrit Pathuis</cp:lastModifiedBy>
  <cp:lastPrinted>2020-03-13T13:39:07Z</cp:lastPrinted>
  <dcterms:created xsi:type="dcterms:W3CDTF">2002-02-06T11:54:34Z</dcterms:created>
  <dcterms:modified xsi:type="dcterms:W3CDTF">2020-03-13T13:46:03Z</dcterms:modified>
</cp:coreProperties>
</file>