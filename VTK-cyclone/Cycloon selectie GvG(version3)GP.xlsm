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Cyclone\VTK-cyclone\"/>
    </mc:Choice>
  </mc:AlternateContent>
  <xr:revisionPtr revIDLastSave="0" documentId="13_ncr:1_{3C3E0F31-71FC-48FE-989A-B139434699C2}" xr6:coauthVersionLast="43" xr6:coauthVersionMax="43" xr10:uidLastSave="{00000000-0000-0000-0000-000000000000}"/>
  <bookViews>
    <workbookView xWindow="28680" yWindow="-120" windowWidth="29040" windowHeight="15840" xr2:uid="{00000000-000D-0000-FFFF-FFFF00000000}"/>
  </bookViews>
  <sheets>
    <sheet name="INVOER" sheetId="2" r:id="rId1"/>
    <sheet name="Berekening" sheetId="3" r:id="rId2"/>
    <sheet name="OUTPUT" sheetId="52252" r:id="rId3"/>
  </sheets>
  <externalReferences>
    <externalReference r:id="rId4"/>
    <externalReference r:id="rId5"/>
    <externalReference r:id="rId6"/>
  </externalReferences>
  <definedNames>
    <definedName name="_xlnm.Print_Area" localSheetId="1">Berekening!$A$68:$V$146</definedName>
    <definedName name="_xlnm.Print_Area" localSheetId="0">INVOER!$A$1:$J$24</definedName>
    <definedName name="_xlnm.Print_Area" localSheetId="2">OUTPUT!$A$1:$P$83</definedName>
    <definedName name="Al">[1]Tabellen!$C$74</definedName>
    <definedName name="ASDIA">[1]Tabellen!#REF!</definedName>
    <definedName name="isolatie">[1]Tabellen!$A$67:$M$84</definedName>
    <definedName name="lijst">[1]Tabellen!$A$6:$V$25</definedName>
    <definedName name="reductie">'[2]Dempings waarden'!$A$3:$K$14</definedName>
    <definedName name="veld">[3]page1!$E$3:$AJ$83</definedName>
    <definedName name="vsnaarenlager">[1]Tabellen!#REF!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8" i="2" l="1"/>
  <c r="T8" i="2" s="1"/>
  <c r="C13" i="3"/>
  <c r="J8" i="52252" s="1"/>
  <c r="M7" i="52252" s="1"/>
  <c r="C12" i="3"/>
  <c r="K24" i="3"/>
  <c r="K25" i="3"/>
  <c r="K35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93" i="3"/>
  <c r="Z84" i="3"/>
  <c r="Z79" i="3"/>
  <c r="Z77" i="3"/>
  <c r="AA77" i="3"/>
  <c r="AC77" i="3" s="1"/>
  <c r="Z78" i="3"/>
  <c r="AA78" i="3"/>
  <c r="AC78" i="3" s="1"/>
  <c r="Z110" i="3"/>
  <c r="Z92" i="3"/>
  <c r="Z83" i="3"/>
  <c r="K37" i="3"/>
  <c r="C14" i="3"/>
  <c r="B54" i="3" s="1"/>
  <c r="K39" i="3"/>
  <c r="K38" i="3"/>
  <c r="K40" i="3"/>
  <c r="K36" i="3"/>
  <c r="K41" i="3"/>
  <c r="AA79" i="3"/>
  <c r="AC79" i="3" s="1"/>
  <c r="Z80" i="3"/>
  <c r="Z81" i="3"/>
  <c r="AA80" i="3"/>
  <c r="AC80" i="3" s="1"/>
  <c r="Z82" i="3"/>
  <c r="AA81" i="3"/>
  <c r="AC81" i="3" s="1"/>
  <c r="AA82" i="3"/>
  <c r="AC82" i="3" s="1"/>
  <c r="AA83" i="3"/>
  <c r="AC83" i="3" s="1"/>
  <c r="Z87" i="3"/>
  <c r="Z85" i="3"/>
  <c r="AA84" i="3"/>
  <c r="AC84" i="3" s="1"/>
  <c r="Z88" i="3"/>
  <c r="Z86" i="3"/>
  <c r="AA85" i="3"/>
  <c r="AC85" i="3" s="1"/>
  <c r="AA86" i="3"/>
  <c r="AC86" i="3" s="1"/>
  <c r="AA87" i="3"/>
  <c r="Z89" i="3"/>
  <c r="AA88" i="3"/>
  <c r="AC88" i="3" s="1"/>
  <c r="Z90" i="3"/>
  <c r="AA89" i="3"/>
  <c r="AC89" i="3" s="1"/>
  <c r="Z91" i="3"/>
  <c r="AA90" i="3"/>
  <c r="AC90" i="3" s="1"/>
  <c r="AA91" i="3"/>
  <c r="AC91" i="3" s="1"/>
  <c r="AA92" i="3"/>
  <c r="AC92" i="3" s="1"/>
  <c r="Z101" i="3"/>
  <c r="Z96" i="3"/>
  <c r="Z94" i="3"/>
  <c r="AA93" i="3"/>
  <c r="AC93" i="3" s="1"/>
  <c r="Z102" i="3"/>
  <c r="Z97" i="3"/>
  <c r="Z95" i="3"/>
  <c r="AA94" i="3"/>
  <c r="AA95" i="3"/>
  <c r="AC95" i="3" s="1"/>
  <c r="AA96" i="3"/>
  <c r="Z98" i="3"/>
  <c r="AA97" i="3"/>
  <c r="AC97" i="3" s="1"/>
  <c r="Z99" i="3"/>
  <c r="AA98" i="3"/>
  <c r="AC98" i="3" s="1"/>
  <c r="Z100" i="3"/>
  <c r="AA99" i="3"/>
  <c r="AA100" i="3"/>
  <c r="AC100" i="3" s="1"/>
  <c r="AA101" i="3"/>
  <c r="T35" i="2"/>
  <c r="J12" i="52252" s="1"/>
  <c r="C15" i="3"/>
  <c r="AD91" i="3"/>
  <c r="S2" i="2"/>
  <c r="S6" i="2" s="1"/>
  <c r="J3" i="52252"/>
  <c r="O3" i="52252"/>
  <c r="J4" i="52252"/>
  <c r="O4" i="52252"/>
  <c r="J5" i="52252"/>
  <c r="D6" i="52252"/>
  <c r="K23" i="3"/>
  <c r="K6" i="52252" s="1"/>
  <c r="D7" i="52252"/>
  <c r="T2" i="2"/>
  <c r="E7" i="52252" s="1"/>
  <c r="J7" i="52252"/>
  <c r="K29" i="3"/>
  <c r="J9" i="52252"/>
  <c r="S14" i="2"/>
  <c r="D10" i="52252" s="1"/>
  <c r="K26" i="3"/>
  <c r="D11" i="52252"/>
  <c r="K27" i="3"/>
  <c r="C9" i="3"/>
  <c r="D12" i="52252" s="1"/>
  <c r="K28" i="3"/>
  <c r="Z105" i="3"/>
  <c r="Z103" i="3"/>
  <c r="AA102" i="3"/>
  <c r="AC102" i="3" s="1"/>
  <c r="Z106" i="3"/>
  <c r="Z104" i="3"/>
  <c r="AA103" i="3"/>
  <c r="AC103" i="3" s="1"/>
  <c r="AA104" i="3"/>
  <c r="AC104" i="3" s="1"/>
  <c r="AA105" i="3"/>
  <c r="AC105" i="3" s="1"/>
  <c r="Z107" i="3"/>
  <c r="AA106" i="3"/>
  <c r="AC106" i="3" s="1"/>
  <c r="Z108" i="3"/>
  <c r="AA107" i="3"/>
  <c r="AC107" i="3" s="1"/>
  <c r="Z109" i="3"/>
  <c r="AA108" i="3"/>
  <c r="AC108" i="3" s="1"/>
  <c r="AA109" i="3"/>
  <c r="AC109" i="3" s="1"/>
  <c r="AA110" i="3"/>
  <c r="AC110" i="3" s="1"/>
  <c r="AA145" i="3"/>
  <c r="K43" i="3"/>
  <c r="K22" i="3"/>
  <c r="T36" i="3"/>
  <c r="T39" i="3" s="1"/>
  <c r="A6" i="3"/>
  <c r="A7" i="3"/>
  <c r="A8" i="3"/>
  <c r="C8" i="3"/>
  <c r="D8" i="3"/>
  <c r="A9" i="3"/>
  <c r="D9" i="3"/>
  <c r="A11" i="3"/>
  <c r="C11" i="3"/>
  <c r="A12" i="3"/>
  <c r="D12" i="3"/>
  <c r="D13" i="3"/>
  <c r="T32" i="3"/>
  <c r="T33" i="3"/>
  <c r="K34" i="3"/>
  <c r="T34" i="3"/>
  <c r="T35" i="3"/>
  <c r="AC76" i="3"/>
  <c r="Y77" i="3"/>
  <c r="AD77" i="3"/>
  <c r="AD78" i="3"/>
  <c r="AD79" i="3"/>
  <c r="AD80" i="3"/>
  <c r="AD81" i="3"/>
  <c r="AD82" i="3"/>
  <c r="AD83" i="3"/>
  <c r="AD84" i="3"/>
  <c r="AD85" i="3"/>
  <c r="AD86" i="3"/>
  <c r="AC87" i="3"/>
  <c r="AD87" i="3"/>
  <c r="AD88" i="3"/>
  <c r="AD89" i="3"/>
  <c r="AD90" i="3"/>
  <c r="AD92" i="3"/>
  <c r="AD93" i="3"/>
  <c r="AC94" i="3"/>
  <c r="AD94" i="3"/>
  <c r="AD95" i="3"/>
  <c r="AC96" i="3"/>
  <c r="AD96" i="3"/>
  <c r="AD97" i="3"/>
  <c r="AD98" i="3"/>
  <c r="AC99" i="3"/>
  <c r="AD99" i="3"/>
  <c r="AD100" i="3"/>
  <c r="AC101" i="3"/>
  <c r="AD101" i="3"/>
  <c r="AD102" i="3"/>
  <c r="AD103" i="3"/>
  <c r="AD104" i="3"/>
  <c r="AD105" i="3"/>
  <c r="AD106" i="3"/>
  <c r="AD107" i="3"/>
  <c r="AD108" i="3"/>
  <c r="AD109" i="3"/>
  <c r="AD110" i="3"/>
  <c r="AA111" i="3"/>
  <c r="AC111" i="3" s="1"/>
  <c r="AD111" i="3"/>
  <c r="AA112" i="3"/>
  <c r="AC112" i="3" s="1"/>
  <c r="AD112" i="3"/>
  <c r="AA113" i="3"/>
  <c r="AC113" i="3" s="1"/>
  <c r="AD113" i="3"/>
  <c r="AA114" i="3"/>
  <c r="AC114" i="3" s="1"/>
  <c r="AD114" i="3"/>
  <c r="AA115" i="3"/>
  <c r="AC115" i="3" s="1"/>
  <c r="AD115" i="3"/>
  <c r="AA116" i="3"/>
  <c r="AC116" i="3" s="1"/>
  <c r="AD116" i="3"/>
  <c r="AA117" i="3"/>
  <c r="AC117" i="3" s="1"/>
  <c r="AD117" i="3"/>
  <c r="AA118" i="3"/>
  <c r="AC118" i="3" s="1"/>
  <c r="AD118" i="3"/>
  <c r="AA119" i="3"/>
  <c r="AC119" i="3" s="1"/>
  <c r="AD119" i="3"/>
  <c r="AA120" i="3"/>
  <c r="AC120" i="3" s="1"/>
  <c r="AD120" i="3"/>
  <c r="AA121" i="3"/>
  <c r="AC121" i="3" s="1"/>
  <c r="AD121" i="3"/>
  <c r="AA122" i="3"/>
  <c r="AC122" i="3" s="1"/>
  <c r="AD122" i="3"/>
  <c r="AA123" i="3"/>
  <c r="AC123" i="3" s="1"/>
  <c r="AD123" i="3"/>
  <c r="AA124" i="3"/>
  <c r="AC124" i="3" s="1"/>
  <c r="AD124" i="3"/>
  <c r="AA125" i="3"/>
  <c r="AC125" i="3" s="1"/>
  <c r="AD125" i="3"/>
  <c r="AA126" i="3"/>
  <c r="AC126" i="3" s="1"/>
  <c r="AD126" i="3"/>
  <c r="AA127" i="3"/>
  <c r="AC127" i="3" s="1"/>
  <c r="AD127" i="3"/>
  <c r="AA128" i="3"/>
  <c r="AC128" i="3" s="1"/>
  <c r="AD128" i="3"/>
  <c r="AA129" i="3"/>
  <c r="AC129" i="3" s="1"/>
  <c r="AD129" i="3"/>
  <c r="AA130" i="3"/>
  <c r="AC130" i="3" s="1"/>
  <c r="AD130" i="3"/>
  <c r="AA131" i="3"/>
  <c r="AC131" i="3" s="1"/>
  <c r="AD131" i="3"/>
  <c r="AA132" i="3"/>
  <c r="AC132" i="3" s="1"/>
  <c r="AD132" i="3"/>
  <c r="AA133" i="3"/>
  <c r="AC133" i="3" s="1"/>
  <c r="AD133" i="3"/>
  <c r="AA134" i="3"/>
  <c r="AC134" i="3" s="1"/>
  <c r="AD134" i="3"/>
  <c r="AA135" i="3"/>
  <c r="AC135" i="3" s="1"/>
  <c r="AD135" i="3"/>
  <c r="AA136" i="3"/>
  <c r="AC136" i="3" s="1"/>
  <c r="AD136" i="3"/>
  <c r="AA137" i="3"/>
  <c r="AC137" i="3" s="1"/>
  <c r="AD137" i="3"/>
  <c r="AA138" i="3"/>
  <c r="AC138" i="3" s="1"/>
  <c r="AD138" i="3"/>
  <c r="AA139" i="3"/>
  <c r="AC139" i="3" s="1"/>
  <c r="AD139" i="3"/>
  <c r="AA140" i="3"/>
  <c r="AC140" i="3" s="1"/>
  <c r="AD140" i="3"/>
  <c r="AA141" i="3"/>
  <c r="AC141" i="3" s="1"/>
  <c r="AD141" i="3"/>
  <c r="AA142" i="3"/>
  <c r="AC142" i="3" s="1"/>
  <c r="AD142" i="3"/>
  <c r="AA143" i="3"/>
  <c r="AC143" i="3" s="1"/>
  <c r="AD143" i="3"/>
  <c r="AA144" i="3"/>
  <c r="AC144" i="3" s="1"/>
  <c r="AD144" i="3"/>
  <c r="AC145" i="3"/>
  <c r="AD145" i="3"/>
  <c r="AA146" i="3"/>
  <c r="AC146" i="3" s="1"/>
  <c r="AD146" i="3"/>
  <c r="C30" i="2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U8" i="2" l="1"/>
  <c r="D9" i="52252" s="1"/>
  <c r="F9" i="52252" s="1"/>
  <c r="AB77" i="3"/>
  <c r="M12" i="52252"/>
  <c r="Y78" i="3"/>
  <c r="C6" i="3"/>
  <c r="R24" i="3" s="1"/>
  <c r="S18" i="2"/>
  <c r="T18" i="2" s="1"/>
  <c r="C13" i="2"/>
  <c r="C7" i="3"/>
  <c r="T14" i="2"/>
  <c r="F10" i="52252" s="1"/>
  <c r="O7" i="52252"/>
  <c r="O8" i="52252"/>
  <c r="O9" i="52252"/>
  <c r="O10" i="52252"/>
  <c r="O12" i="52252" s="1"/>
  <c r="O11" i="52252"/>
  <c r="M8" i="52252"/>
  <c r="M9" i="52252"/>
  <c r="M10" i="52252"/>
  <c r="M11" i="52252"/>
  <c r="M13" i="52252"/>
  <c r="AB78" i="3" l="1"/>
  <c r="Y79" i="3"/>
  <c r="R25" i="3"/>
  <c r="D8" i="52252"/>
  <c r="F8" i="52252" s="1"/>
  <c r="U18" i="2"/>
  <c r="V18" i="2"/>
  <c r="F13" i="52252" s="1"/>
  <c r="B21" i="2"/>
  <c r="B51" i="3" s="1"/>
  <c r="J10" i="52252"/>
  <c r="R27" i="3"/>
  <c r="D20" i="52252" s="1"/>
  <c r="F22" i="2" s="1"/>
  <c r="R28" i="3"/>
  <c r="D21" i="52252" s="1"/>
  <c r="F23" i="2" s="1"/>
  <c r="AB79" i="3" l="1"/>
  <c r="Y80" i="3"/>
  <c r="B58" i="3"/>
  <c r="D13" i="52252"/>
  <c r="J11" i="52252"/>
  <c r="B22" i="2"/>
  <c r="B23" i="2"/>
  <c r="H57" i="3"/>
  <c r="A76" i="3" s="1"/>
  <c r="AB80" i="3" l="1"/>
  <c r="Y81" i="3"/>
  <c r="B60" i="3"/>
  <c r="B62" i="3"/>
  <c r="B61" i="3"/>
  <c r="B59" i="3"/>
  <c r="B63" i="3"/>
  <c r="B64" i="3" s="1"/>
  <c r="K76" i="3"/>
  <c r="B76" i="3"/>
  <c r="AB81" i="3" l="1"/>
  <c r="Y82" i="3"/>
  <c r="C64" i="3"/>
  <c r="J51" i="3"/>
  <c r="I51" i="3"/>
  <c r="K51" i="3" s="1"/>
  <c r="D22" i="52252" s="1"/>
  <c r="J52" i="3"/>
  <c r="I52" i="3"/>
  <c r="K52" i="3" s="1"/>
  <c r="D23" i="52252" s="1"/>
  <c r="J56" i="3"/>
  <c r="J54" i="3"/>
  <c r="I53" i="3"/>
  <c r="K53" i="3" s="1"/>
  <c r="D24" i="52252" s="1"/>
  <c r="I56" i="3"/>
  <c r="I55" i="3"/>
  <c r="I54" i="3"/>
  <c r="K54" i="3" s="1"/>
  <c r="D25" i="52252" s="1"/>
  <c r="J55" i="3"/>
  <c r="J53" i="3"/>
  <c r="C76" i="3"/>
  <c r="D44" i="52252"/>
  <c r="G18" i="52252"/>
  <c r="K56" i="3" l="1"/>
  <c r="H58" i="3" s="1"/>
  <c r="A77" i="3" s="1"/>
  <c r="AB82" i="3"/>
  <c r="Y83" i="3"/>
  <c r="K55" i="3"/>
  <c r="D26" i="52252" s="1"/>
  <c r="E76" i="3"/>
  <c r="G76" i="3" s="1"/>
  <c r="D76" i="3"/>
  <c r="A186" i="3" l="1"/>
  <c r="AB83" i="3"/>
  <c r="Y84" i="3"/>
  <c r="K77" i="3"/>
  <c r="B77" i="3"/>
  <c r="C77" i="3" s="1"/>
  <c r="A78" i="3"/>
  <c r="B78" i="3" s="1"/>
  <c r="C78" i="3" s="1"/>
  <c r="F76" i="3"/>
  <c r="I76" i="3" s="1"/>
  <c r="H76" i="3"/>
  <c r="AB84" i="3" l="1"/>
  <c r="Y85" i="3"/>
  <c r="K78" i="3"/>
  <c r="A79" i="3"/>
  <c r="B79" i="3" s="1"/>
  <c r="C79" i="3" s="1"/>
  <c r="E78" i="3"/>
  <c r="G78" i="3" s="1"/>
  <c r="D78" i="3"/>
  <c r="D77" i="3"/>
  <c r="E77" i="3"/>
  <c r="G77" i="3" s="1"/>
  <c r="J18" i="52252"/>
  <c r="O18" i="52252" s="1"/>
  <c r="J76" i="3"/>
  <c r="AB85" i="3" l="1"/>
  <c r="Y86" i="3"/>
  <c r="D79" i="3"/>
  <c r="F79" i="3" s="1"/>
  <c r="I79" i="3" s="1"/>
  <c r="E79" i="3"/>
  <c r="G79" i="3" s="1"/>
  <c r="F78" i="3"/>
  <c r="I78" i="3" s="1"/>
  <c r="H78" i="3"/>
  <c r="F77" i="3"/>
  <c r="I77" i="3" s="1"/>
  <c r="H77" i="3"/>
  <c r="K79" i="3"/>
  <c r="A80" i="3"/>
  <c r="B80" i="3" s="1"/>
  <c r="C80" i="3" s="1"/>
  <c r="J78" i="3" l="1"/>
  <c r="H79" i="3"/>
  <c r="J79" i="3" s="1"/>
  <c r="J77" i="3"/>
  <c r="AB86" i="3"/>
  <c r="Y87" i="3"/>
  <c r="K80" i="3"/>
  <c r="A81" i="3"/>
  <c r="E80" i="3"/>
  <c r="G80" i="3" s="1"/>
  <c r="D80" i="3"/>
  <c r="F80" i="3" s="1"/>
  <c r="I80" i="3" s="1"/>
  <c r="AB87" i="3" l="1"/>
  <c r="Y88" i="3"/>
  <c r="B81" i="3"/>
  <c r="K81" i="3"/>
  <c r="A82" i="3"/>
  <c r="B82" i="3" s="1"/>
  <c r="C82" i="3" s="1"/>
  <c r="H80" i="3"/>
  <c r="J80" i="3" s="1"/>
  <c r="AB88" i="3" l="1"/>
  <c r="Y89" i="3"/>
  <c r="K82" i="3"/>
  <c r="A83" i="3"/>
  <c r="C81" i="3"/>
  <c r="G19" i="52252"/>
  <c r="E82" i="3"/>
  <c r="G82" i="3" s="1"/>
  <c r="D82" i="3"/>
  <c r="AB89" i="3" l="1"/>
  <c r="Y90" i="3"/>
  <c r="E81" i="3"/>
  <c r="G81" i="3" s="1"/>
  <c r="D81" i="3"/>
  <c r="F81" i="3" s="1"/>
  <c r="I81" i="3" s="1"/>
  <c r="F82" i="3"/>
  <c r="I82" i="3" s="1"/>
  <c r="H82" i="3"/>
  <c r="J82" i="3" s="1"/>
  <c r="A84" i="3"/>
  <c r="K83" i="3"/>
  <c r="B83" i="3"/>
  <c r="C83" i="3" s="1"/>
  <c r="AB90" i="3" l="1"/>
  <c r="Y91" i="3"/>
  <c r="K84" i="3"/>
  <c r="A85" i="3"/>
  <c r="B85" i="3" s="1"/>
  <c r="C85" i="3" s="1"/>
  <c r="E83" i="3"/>
  <c r="G83" i="3" s="1"/>
  <c r="D83" i="3"/>
  <c r="F83" i="3" s="1"/>
  <c r="I83" i="3" s="1"/>
  <c r="B84" i="3"/>
  <c r="C84" i="3" s="1"/>
  <c r="H81" i="3"/>
  <c r="AB91" i="3" l="1"/>
  <c r="Y92" i="3"/>
  <c r="H83" i="3"/>
  <c r="J83" i="3" s="1"/>
  <c r="D85" i="3"/>
  <c r="F85" i="3" s="1"/>
  <c r="I85" i="3" s="1"/>
  <c r="E85" i="3"/>
  <c r="G85" i="3" s="1"/>
  <c r="H85" i="3"/>
  <c r="D84" i="3"/>
  <c r="F84" i="3" s="1"/>
  <c r="I84" i="3" s="1"/>
  <c r="E84" i="3"/>
  <c r="G84" i="3" s="1"/>
  <c r="J19" i="52252"/>
  <c r="O19" i="52252" s="1"/>
  <c r="J81" i="3"/>
  <c r="A86" i="3"/>
  <c r="B86" i="3" s="1"/>
  <c r="K85" i="3"/>
  <c r="J85" i="3" l="1"/>
  <c r="H84" i="3"/>
  <c r="J84" i="3" s="1"/>
  <c r="AB92" i="3"/>
  <c r="Y93" i="3"/>
  <c r="C86" i="3"/>
  <c r="G20" i="52252"/>
  <c r="K86" i="3"/>
  <c r="A87" i="3"/>
  <c r="B87" i="3" s="1"/>
  <c r="C87" i="3" s="1"/>
  <c r="Y94" i="3" l="1"/>
  <c r="AB93" i="3"/>
  <c r="E87" i="3"/>
  <c r="G87" i="3" s="1"/>
  <c r="D87" i="3"/>
  <c r="F87" i="3" s="1"/>
  <c r="I87" i="3" s="1"/>
  <c r="D86" i="3"/>
  <c r="E86" i="3"/>
  <c r="G86" i="3" s="1"/>
  <c r="A88" i="3"/>
  <c r="B88" i="3" s="1"/>
  <c r="C88" i="3" s="1"/>
  <c r="K87" i="3"/>
  <c r="AB94" i="3" l="1"/>
  <c r="Y95" i="3"/>
  <c r="A89" i="3"/>
  <c r="K88" i="3"/>
  <c r="H87" i="3"/>
  <c r="J87" i="3" s="1"/>
  <c r="E88" i="3"/>
  <c r="G88" i="3" s="1"/>
  <c r="D88" i="3"/>
  <c r="F88" i="3" s="1"/>
  <c r="I88" i="3" s="1"/>
  <c r="F86" i="3"/>
  <c r="I86" i="3" s="1"/>
  <c r="H86" i="3"/>
  <c r="AB95" i="3" l="1"/>
  <c r="Y96" i="3"/>
  <c r="H88" i="3"/>
  <c r="J88" i="3" s="1"/>
  <c r="J20" i="52252"/>
  <c r="O20" i="52252" s="1"/>
  <c r="J86" i="3"/>
  <c r="B89" i="3"/>
  <c r="C89" i="3" s="1"/>
  <c r="K89" i="3"/>
  <c r="A90" i="3"/>
  <c r="Y97" i="3" l="1"/>
  <c r="AB96" i="3"/>
  <c r="K90" i="3"/>
  <c r="A91" i="3"/>
  <c r="E89" i="3"/>
  <c r="G89" i="3" s="1"/>
  <c r="D89" i="3"/>
  <c r="F89" i="3" s="1"/>
  <c r="I89" i="3" s="1"/>
  <c r="B90" i="3"/>
  <c r="C90" i="3" s="1"/>
  <c r="Y98" i="3" l="1"/>
  <c r="AB97" i="3"/>
  <c r="E90" i="3"/>
  <c r="G90" i="3" s="1"/>
  <c r="D90" i="3"/>
  <c r="F90" i="3" s="1"/>
  <c r="I90" i="3" s="1"/>
  <c r="H89" i="3"/>
  <c r="J89" i="3" s="1"/>
  <c r="B91" i="3"/>
  <c r="K91" i="3"/>
  <c r="A92" i="3"/>
  <c r="B92" i="3" s="1"/>
  <c r="C92" i="3" s="1"/>
  <c r="AB98" i="3" l="1"/>
  <c r="Y99" i="3"/>
  <c r="E92" i="3"/>
  <c r="G92" i="3" s="1"/>
  <c r="D92" i="3"/>
  <c r="F92" i="3" s="1"/>
  <c r="I92" i="3" s="1"/>
  <c r="H90" i="3"/>
  <c r="J90" i="3" s="1"/>
  <c r="A93" i="3"/>
  <c r="B93" i="3" s="1"/>
  <c r="C93" i="3" s="1"/>
  <c r="K92" i="3"/>
  <c r="C91" i="3"/>
  <c r="G21" i="52252"/>
  <c r="AB99" i="3" l="1"/>
  <c r="Y100" i="3"/>
  <c r="A94" i="3"/>
  <c r="B94" i="3" s="1"/>
  <c r="C94" i="3" s="1"/>
  <c r="K93" i="3"/>
  <c r="H92" i="3"/>
  <c r="J92" i="3" s="1"/>
  <c r="D91" i="3"/>
  <c r="F91" i="3" s="1"/>
  <c r="I91" i="3" s="1"/>
  <c r="E91" i="3"/>
  <c r="G91" i="3" s="1"/>
  <c r="D93" i="3"/>
  <c r="E93" i="3"/>
  <c r="G93" i="3" s="1"/>
  <c r="H91" i="3" l="1"/>
  <c r="J91" i="3" s="1"/>
  <c r="AB100" i="3"/>
  <c r="Y101" i="3"/>
  <c r="A95" i="3"/>
  <c r="K94" i="3"/>
  <c r="F93" i="3"/>
  <c r="I93" i="3" s="1"/>
  <c r="H93" i="3"/>
  <c r="J93" i="3" s="1"/>
  <c r="D94" i="3"/>
  <c r="F94" i="3" s="1"/>
  <c r="I94" i="3" s="1"/>
  <c r="E94" i="3"/>
  <c r="G94" i="3" s="1"/>
  <c r="J21" i="52252" l="1"/>
  <c r="O21" i="52252" s="1"/>
  <c r="Y102" i="3"/>
  <c r="AB101" i="3"/>
  <c r="K186" i="3" s="1"/>
  <c r="H94" i="3"/>
  <c r="J94" i="3" s="1"/>
  <c r="B95" i="3"/>
  <c r="C95" i="3" s="1"/>
  <c r="K95" i="3"/>
  <c r="A96" i="3"/>
  <c r="B96" i="3" s="1"/>
  <c r="AB102" i="3" l="1"/>
  <c r="Y103" i="3"/>
  <c r="C96" i="3"/>
  <c r="G22" i="52252"/>
  <c r="A97" i="3"/>
  <c r="B97" i="3" s="1"/>
  <c r="C97" i="3" s="1"/>
  <c r="K96" i="3"/>
  <c r="E95" i="3"/>
  <c r="G95" i="3" s="1"/>
  <c r="D95" i="3"/>
  <c r="F95" i="3" s="1"/>
  <c r="I95" i="3" s="1"/>
  <c r="Y104" i="3" l="1"/>
  <c r="AB103" i="3"/>
  <c r="D97" i="3"/>
  <c r="F97" i="3" s="1"/>
  <c r="I97" i="3" s="1"/>
  <c r="E97" i="3"/>
  <c r="G97" i="3" s="1"/>
  <c r="E96" i="3"/>
  <c r="G96" i="3" s="1"/>
  <c r="D96" i="3"/>
  <c r="H95" i="3"/>
  <c r="J95" i="3" s="1"/>
  <c r="A98" i="3"/>
  <c r="B98" i="3" s="1"/>
  <c r="C98" i="3" s="1"/>
  <c r="K97" i="3"/>
  <c r="H97" i="3" l="1"/>
  <c r="J97" i="3" s="1"/>
  <c r="AB104" i="3"/>
  <c r="Y105" i="3"/>
  <c r="A99" i="3"/>
  <c r="K98" i="3"/>
  <c r="F96" i="3"/>
  <c r="I96" i="3" s="1"/>
  <c r="H96" i="3"/>
  <c r="E98" i="3"/>
  <c r="G98" i="3" s="1"/>
  <c r="D98" i="3"/>
  <c r="Y106" i="3" l="1"/>
  <c r="AB105" i="3"/>
  <c r="F98" i="3"/>
  <c r="I98" i="3" s="1"/>
  <c r="H98" i="3"/>
  <c r="B99" i="3"/>
  <c r="C99" i="3" s="1"/>
  <c r="A100" i="3"/>
  <c r="B100" i="3" s="1"/>
  <c r="C100" i="3" s="1"/>
  <c r="K99" i="3"/>
  <c r="J22" i="52252"/>
  <c r="O22" i="52252" s="1"/>
  <c r="J96" i="3"/>
  <c r="J98" i="3" l="1"/>
  <c r="Y107" i="3"/>
  <c r="AB106" i="3"/>
  <c r="E99" i="3"/>
  <c r="G99" i="3" s="1"/>
  <c r="D99" i="3"/>
  <c r="F99" i="3" s="1"/>
  <c r="I99" i="3" s="1"/>
  <c r="D100" i="3"/>
  <c r="E100" i="3"/>
  <c r="G100" i="3" s="1"/>
  <c r="K100" i="3"/>
  <c r="A101" i="3"/>
  <c r="Y108" i="3" l="1"/>
  <c r="AB107" i="3"/>
  <c r="A102" i="3"/>
  <c r="B102" i="3" s="1"/>
  <c r="C102" i="3" s="1"/>
  <c r="K101" i="3"/>
  <c r="F100" i="3"/>
  <c r="I100" i="3" s="1"/>
  <c r="H100" i="3"/>
  <c r="J100" i="3" s="1"/>
  <c r="B101" i="3"/>
  <c r="H99" i="3"/>
  <c r="J99" i="3" s="1"/>
  <c r="AB108" i="3" l="1"/>
  <c r="Y109" i="3"/>
  <c r="K102" i="3"/>
  <c r="A103" i="3"/>
  <c r="B103" i="3" s="1"/>
  <c r="C103" i="3" s="1"/>
  <c r="C101" i="3"/>
  <c r="G23" i="52252"/>
  <c r="D102" i="3"/>
  <c r="E102" i="3"/>
  <c r="G102" i="3" s="1"/>
  <c r="AB109" i="3" l="1"/>
  <c r="Y110" i="3"/>
  <c r="E103" i="3"/>
  <c r="G103" i="3" s="1"/>
  <c r="D103" i="3"/>
  <c r="F103" i="3" s="1"/>
  <c r="I103" i="3" s="1"/>
  <c r="F102" i="3"/>
  <c r="I102" i="3" s="1"/>
  <c r="H102" i="3"/>
  <c r="D101" i="3"/>
  <c r="F101" i="3" s="1"/>
  <c r="I101" i="3" s="1"/>
  <c r="E101" i="3"/>
  <c r="G101" i="3" s="1"/>
  <c r="K103" i="3"/>
  <c r="A104" i="3"/>
  <c r="B104" i="3" s="1"/>
  <c r="C104" i="3" s="1"/>
  <c r="J102" i="3" l="1"/>
  <c r="H101" i="3"/>
  <c r="J23" i="52252" s="1"/>
  <c r="O23" i="52252" s="1"/>
  <c r="Y111" i="3"/>
  <c r="AB110" i="3"/>
  <c r="L186" i="3"/>
  <c r="N186" i="3" s="1"/>
  <c r="D104" i="3"/>
  <c r="F104" i="3" s="1"/>
  <c r="I104" i="3" s="1"/>
  <c r="E104" i="3"/>
  <c r="G104" i="3" s="1"/>
  <c r="L103" i="3"/>
  <c r="N103" i="3" s="1"/>
  <c r="M103" i="3"/>
  <c r="O103" i="3" s="1"/>
  <c r="H103" i="3"/>
  <c r="J103" i="3" s="1"/>
  <c r="A105" i="3"/>
  <c r="K104" i="3"/>
  <c r="J101" i="3" l="1"/>
  <c r="H104" i="3"/>
  <c r="J104" i="3" s="1"/>
  <c r="M78" i="3"/>
  <c r="M82" i="3"/>
  <c r="L86" i="3"/>
  <c r="L90" i="3"/>
  <c r="M83" i="3"/>
  <c r="L76" i="3"/>
  <c r="N76" i="3" s="1"/>
  <c r="L84" i="3"/>
  <c r="M81" i="3"/>
  <c r="L78" i="3"/>
  <c r="N78" i="3" s="1"/>
  <c r="AB111" i="3"/>
  <c r="L79" i="3"/>
  <c r="N79" i="3" s="1"/>
  <c r="L83" i="3"/>
  <c r="N83" i="3" s="1"/>
  <c r="M86" i="3"/>
  <c r="M90" i="3"/>
  <c r="L87" i="3"/>
  <c r="N87" i="3" s="1"/>
  <c r="M80" i="3"/>
  <c r="M84" i="3"/>
  <c r="M89" i="3"/>
  <c r="Y112" i="3"/>
  <c r="M79" i="3"/>
  <c r="M87" i="3"/>
  <c r="L80" i="3"/>
  <c r="L77" i="3"/>
  <c r="N77" i="3" s="1"/>
  <c r="M76" i="3"/>
  <c r="O76" i="3" s="1"/>
  <c r="L88" i="3"/>
  <c r="M88" i="3"/>
  <c r="L85" i="3"/>
  <c r="N85" i="3" s="1"/>
  <c r="M77" i="3"/>
  <c r="L81" i="3"/>
  <c r="N81" i="3" s="1"/>
  <c r="M85" i="3"/>
  <c r="L89" i="3"/>
  <c r="L82" i="3"/>
  <c r="N82" i="3" s="1"/>
  <c r="L91" i="3"/>
  <c r="M91" i="3"/>
  <c r="M92" i="3"/>
  <c r="L92" i="3"/>
  <c r="N92" i="3" s="1"/>
  <c r="M93" i="3"/>
  <c r="L93" i="3"/>
  <c r="N93" i="3" s="1"/>
  <c r="M94" i="3"/>
  <c r="L94" i="3"/>
  <c r="N94" i="3" s="1"/>
  <c r="M95" i="3"/>
  <c r="O95" i="3" s="1"/>
  <c r="L95" i="3"/>
  <c r="N95" i="3" s="1"/>
  <c r="M186" i="3"/>
  <c r="O186" i="3" s="1"/>
  <c r="P186" i="3" s="1"/>
  <c r="Q186" i="3" s="1"/>
  <c r="R186" i="3" s="1"/>
  <c r="L96" i="3"/>
  <c r="N96" i="3" s="1"/>
  <c r="M96" i="3"/>
  <c r="L97" i="3"/>
  <c r="N97" i="3" s="1"/>
  <c r="M97" i="3"/>
  <c r="M98" i="3"/>
  <c r="L98" i="3"/>
  <c r="N98" i="3" s="1"/>
  <c r="M99" i="3"/>
  <c r="O99" i="3" s="1"/>
  <c r="L99" i="3"/>
  <c r="N99" i="3" s="1"/>
  <c r="M100" i="3"/>
  <c r="L100" i="3"/>
  <c r="N100" i="3" s="1"/>
  <c r="L101" i="3"/>
  <c r="N101" i="3" s="1"/>
  <c r="M101" i="3"/>
  <c r="O101" i="3" s="1"/>
  <c r="L102" i="3"/>
  <c r="N102" i="3" s="1"/>
  <c r="M102" i="3"/>
  <c r="O102" i="3" s="1"/>
  <c r="P103" i="3"/>
  <c r="Q103" i="3" s="1"/>
  <c r="R103" i="3" s="1"/>
  <c r="L104" i="3"/>
  <c r="N104" i="3" s="1"/>
  <c r="M104" i="3"/>
  <c r="O104" i="3" s="1"/>
  <c r="K105" i="3"/>
  <c r="A106" i="3"/>
  <c r="B105" i="3"/>
  <c r="C105" i="3" s="1"/>
  <c r="P99" i="3" l="1"/>
  <c r="Q99" i="3" s="1"/>
  <c r="R99" i="3" s="1"/>
  <c r="S99" i="3" s="1"/>
  <c r="P95" i="3"/>
  <c r="Q95" i="3" s="1"/>
  <c r="R95" i="3" s="1"/>
  <c r="S95" i="3" s="1"/>
  <c r="P101" i="3"/>
  <c r="Q101" i="3" s="1"/>
  <c r="R101" i="3" s="1"/>
  <c r="S101" i="3" s="1"/>
  <c r="P76" i="3"/>
  <c r="Q76" i="3" s="1"/>
  <c r="R76" i="3" s="1"/>
  <c r="H18" i="52252" s="1"/>
  <c r="S186" i="3"/>
  <c r="H40" i="52252"/>
  <c r="O90" i="3"/>
  <c r="S76" i="3"/>
  <c r="O96" i="3"/>
  <c r="P96" i="3" s="1"/>
  <c r="Q96" i="3" s="1"/>
  <c r="R96" i="3" s="1"/>
  <c r="O93" i="3"/>
  <c r="P93" i="3" s="1"/>
  <c r="Q93" i="3" s="1"/>
  <c r="R93" i="3" s="1"/>
  <c r="O87" i="3"/>
  <c r="P87" i="3" s="1"/>
  <c r="Q87" i="3" s="1"/>
  <c r="R87" i="3" s="1"/>
  <c r="S87" i="3" s="1"/>
  <c r="O86" i="3"/>
  <c r="O83" i="3"/>
  <c r="P83" i="3" s="1"/>
  <c r="Q83" i="3" s="1"/>
  <c r="R83" i="3" s="1"/>
  <c r="S83" i="3" s="1"/>
  <c r="O79" i="3"/>
  <c r="P79" i="3" s="1"/>
  <c r="Q79" i="3" s="1"/>
  <c r="R79" i="3" s="1"/>
  <c r="N90" i="3"/>
  <c r="O91" i="3"/>
  <c r="O88" i="3"/>
  <c r="O89" i="3"/>
  <c r="O82" i="3"/>
  <c r="P82" i="3" s="1"/>
  <c r="Q82" i="3" s="1"/>
  <c r="R82" i="3" s="1"/>
  <c r="S82" i="3" s="1"/>
  <c r="O100" i="3"/>
  <c r="P100" i="3" s="1"/>
  <c r="Q100" i="3" s="1"/>
  <c r="R100" i="3" s="1"/>
  <c r="N91" i="3"/>
  <c r="N88" i="3"/>
  <c r="O84" i="3"/>
  <c r="O78" i="3"/>
  <c r="P78" i="3" s="1"/>
  <c r="Q78" i="3" s="1"/>
  <c r="R78" i="3" s="1"/>
  <c r="O85" i="3"/>
  <c r="P85" i="3" s="1"/>
  <c r="Q85" i="3" s="1"/>
  <c r="R85" i="3" s="1"/>
  <c r="O92" i="3"/>
  <c r="P92" i="3" s="1"/>
  <c r="Q92" i="3" s="1"/>
  <c r="R92" i="3" s="1"/>
  <c r="O98" i="3"/>
  <c r="P98" i="3" s="1"/>
  <c r="Q98" i="3" s="1"/>
  <c r="R98" i="3" s="1"/>
  <c r="S98" i="3" s="1"/>
  <c r="O80" i="3"/>
  <c r="O81" i="3"/>
  <c r="P81" i="3" s="1"/>
  <c r="Q81" i="3" s="1"/>
  <c r="R81" i="3" s="1"/>
  <c r="N80" i="3"/>
  <c r="O77" i="3"/>
  <c r="P77" i="3" s="1"/>
  <c r="Q77" i="3" s="1"/>
  <c r="R77" i="3" s="1"/>
  <c r="S77" i="3" s="1"/>
  <c r="AB112" i="3"/>
  <c r="Y113" i="3"/>
  <c r="N86" i="3"/>
  <c r="P102" i="3"/>
  <c r="Q102" i="3" s="1"/>
  <c r="R102" i="3" s="1"/>
  <c r="O97" i="3"/>
  <c r="P97" i="3" s="1"/>
  <c r="Q97" i="3" s="1"/>
  <c r="R97" i="3" s="1"/>
  <c r="O94" i="3"/>
  <c r="P94" i="3" s="1"/>
  <c r="Q94" i="3" s="1"/>
  <c r="R94" i="3" s="1"/>
  <c r="S94" i="3" s="1"/>
  <c r="N89" i="3"/>
  <c r="N84" i="3"/>
  <c r="S103" i="3"/>
  <c r="P104" i="3"/>
  <c r="Q104" i="3" s="1"/>
  <c r="R104" i="3" s="1"/>
  <c r="T104" i="3" s="1"/>
  <c r="K106" i="3"/>
  <c r="A107" i="3"/>
  <c r="B107" i="3" s="1"/>
  <c r="C107" i="3" s="1"/>
  <c r="M105" i="3"/>
  <c r="O105" i="3" s="1"/>
  <c r="L105" i="3"/>
  <c r="N105" i="3" s="1"/>
  <c r="B106" i="3"/>
  <c r="E105" i="3"/>
  <c r="G105" i="3" s="1"/>
  <c r="D105" i="3"/>
  <c r="F105" i="3" s="1"/>
  <c r="I105" i="3" s="1"/>
  <c r="T82" i="3" l="1"/>
  <c r="U82" i="3" s="1"/>
  <c r="H23" i="52252"/>
  <c r="T76" i="3"/>
  <c r="V76" i="3" s="1"/>
  <c r="P84" i="3"/>
  <c r="Q84" i="3" s="1"/>
  <c r="R84" i="3" s="1"/>
  <c r="S104" i="3"/>
  <c r="P90" i="3"/>
  <c r="Q90" i="3" s="1"/>
  <c r="R90" i="3" s="1"/>
  <c r="P86" i="3"/>
  <c r="Q86" i="3" s="1"/>
  <c r="R86" i="3" s="1"/>
  <c r="T86" i="3" s="1"/>
  <c r="H22" i="52252"/>
  <c r="I23" i="52252" s="1"/>
  <c r="K23" i="52252" s="1"/>
  <c r="M23" i="52252" s="1"/>
  <c r="S96" i="3"/>
  <c r="T97" i="3"/>
  <c r="T96" i="3"/>
  <c r="S79" i="3"/>
  <c r="S85" i="3"/>
  <c r="S93" i="3"/>
  <c r="T94" i="3"/>
  <c r="S100" i="3"/>
  <c r="T101" i="3"/>
  <c r="T100" i="3"/>
  <c r="S97" i="3"/>
  <c r="T98" i="3"/>
  <c r="S92" i="3"/>
  <c r="T93" i="3"/>
  <c r="S78" i="3"/>
  <c r="T79" i="3"/>
  <c r="T99" i="3"/>
  <c r="T102" i="3"/>
  <c r="S102" i="3"/>
  <c r="T83" i="3"/>
  <c r="Y114" i="3"/>
  <c r="AB113" i="3"/>
  <c r="P88" i="3"/>
  <c r="Q88" i="3" s="1"/>
  <c r="R88" i="3" s="1"/>
  <c r="S81" i="3"/>
  <c r="H19" i="52252"/>
  <c r="P80" i="3"/>
  <c r="Q80" i="3" s="1"/>
  <c r="R80" i="3" s="1"/>
  <c r="T95" i="3"/>
  <c r="T77" i="3"/>
  <c r="T103" i="3"/>
  <c r="P89" i="3"/>
  <c r="Q89" i="3" s="1"/>
  <c r="R89" i="3" s="1"/>
  <c r="T78" i="3"/>
  <c r="P91" i="3"/>
  <c r="Q91" i="3" s="1"/>
  <c r="R91" i="3" s="1"/>
  <c r="P105" i="3"/>
  <c r="Q105" i="3" s="1"/>
  <c r="R105" i="3" s="1"/>
  <c r="T105" i="3" s="1"/>
  <c r="D107" i="3"/>
  <c r="F107" i="3" s="1"/>
  <c r="I107" i="3" s="1"/>
  <c r="E107" i="3"/>
  <c r="G107" i="3" s="1"/>
  <c r="M106" i="3"/>
  <c r="O106" i="3" s="1"/>
  <c r="L106" i="3"/>
  <c r="N106" i="3" s="1"/>
  <c r="H105" i="3"/>
  <c r="J105" i="3" s="1"/>
  <c r="C106" i="3"/>
  <c r="G24" i="52252"/>
  <c r="A108" i="3"/>
  <c r="K107" i="3"/>
  <c r="U104" i="3"/>
  <c r="V104" i="3"/>
  <c r="V82" i="3" l="1"/>
  <c r="I18" i="52252"/>
  <c r="K18" i="52252" s="1"/>
  <c r="M18" i="52252" s="1"/>
  <c r="U76" i="3"/>
  <c r="S105" i="3"/>
  <c r="S89" i="3"/>
  <c r="T90" i="3"/>
  <c r="S90" i="3"/>
  <c r="T91" i="3"/>
  <c r="V95" i="3"/>
  <c r="U95" i="3"/>
  <c r="U83" i="3"/>
  <c r="V83" i="3"/>
  <c r="U99" i="3"/>
  <c r="V99" i="3"/>
  <c r="V86" i="3"/>
  <c r="U86" i="3"/>
  <c r="H21" i="52252"/>
  <c r="I22" i="52252" s="1"/>
  <c r="K22" i="52252" s="1"/>
  <c r="M22" i="52252" s="1"/>
  <c r="S91" i="3"/>
  <c r="T92" i="3"/>
  <c r="S86" i="3"/>
  <c r="H20" i="52252"/>
  <c r="I20" i="52252" s="1"/>
  <c r="K20" i="52252" s="1"/>
  <c r="M20" i="52252" s="1"/>
  <c r="T87" i="3"/>
  <c r="S84" i="3"/>
  <c r="T84" i="3"/>
  <c r="T85" i="3"/>
  <c r="U102" i="3"/>
  <c r="V102" i="3"/>
  <c r="U79" i="3"/>
  <c r="V79" i="3"/>
  <c r="U100" i="3"/>
  <c r="V100" i="3"/>
  <c r="S88" i="3"/>
  <c r="T89" i="3"/>
  <c r="V101" i="3"/>
  <c r="U101" i="3"/>
  <c r="U96" i="3"/>
  <c r="V96" i="3"/>
  <c r="I19" i="52252"/>
  <c r="K19" i="52252" s="1"/>
  <c r="M19" i="52252" s="1"/>
  <c r="U93" i="3"/>
  <c r="V93" i="3"/>
  <c r="U97" i="3"/>
  <c r="V97" i="3"/>
  <c r="S80" i="3"/>
  <c r="T81" i="3"/>
  <c r="U103" i="3"/>
  <c r="V103" i="3"/>
  <c r="U94" i="3"/>
  <c r="V94" i="3"/>
  <c r="V78" i="3"/>
  <c r="U78" i="3"/>
  <c r="T80" i="3"/>
  <c r="V77" i="3"/>
  <c r="U77" i="3"/>
  <c r="AB114" i="3"/>
  <c r="Y115" i="3"/>
  <c r="T88" i="3"/>
  <c r="U98" i="3"/>
  <c r="V98" i="3"/>
  <c r="P106" i="3"/>
  <c r="Q106" i="3" s="1"/>
  <c r="R106" i="3" s="1"/>
  <c r="S106" i="3" s="1"/>
  <c r="M107" i="3"/>
  <c r="O107" i="3" s="1"/>
  <c r="L107" i="3"/>
  <c r="N107" i="3" s="1"/>
  <c r="K108" i="3"/>
  <c r="A109" i="3"/>
  <c r="D106" i="3"/>
  <c r="F106" i="3" s="1"/>
  <c r="I106" i="3" s="1"/>
  <c r="E106" i="3"/>
  <c r="G106" i="3" s="1"/>
  <c r="B108" i="3"/>
  <c r="C108" i="3" s="1"/>
  <c r="H107" i="3"/>
  <c r="J107" i="3" s="1"/>
  <c r="V105" i="3"/>
  <c r="U105" i="3"/>
  <c r="V80" i="3" l="1"/>
  <c r="U80" i="3"/>
  <c r="H106" i="3"/>
  <c r="J24" i="52252" s="1"/>
  <c r="O24" i="52252" s="1"/>
  <c r="U92" i="3"/>
  <c r="V92" i="3"/>
  <c r="U88" i="3"/>
  <c r="V88" i="3"/>
  <c r="U84" i="3"/>
  <c r="V84" i="3"/>
  <c r="U85" i="3"/>
  <c r="V85" i="3"/>
  <c r="AB115" i="3"/>
  <c r="Y116" i="3"/>
  <c r="V91" i="3"/>
  <c r="U91" i="3"/>
  <c r="V89" i="3"/>
  <c r="U89" i="3"/>
  <c r="T106" i="3"/>
  <c r="V106" i="3" s="1"/>
  <c r="H24" i="52252"/>
  <c r="I24" i="52252" s="1"/>
  <c r="U87" i="3"/>
  <c r="V87" i="3"/>
  <c r="V90" i="3"/>
  <c r="U90" i="3"/>
  <c r="U81" i="3"/>
  <c r="V81" i="3"/>
  <c r="I21" i="52252"/>
  <c r="K21" i="52252" s="1"/>
  <c r="M21" i="52252" s="1"/>
  <c r="P107" i="3"/>
  <c r="Q107" i="3" s="1"/>
  <c r="R107" i="3" s="1"/>
  <c r="T107" i="3" s="1"/>
  <c r="J106" i="3"/>
  <c r="E108" i="3"/>
  <c r="G108" i="3" s="1"/>
  <c r="D108" i="3"/>
  <c r="F108" i="3" s="1"/>
  <c r="I108" i="3" s="1"/>
  <c r="K109" i="3"/>
  <c r="A110" i="3"/>
  <c r="B109" i="3"/>
  <c r="C109" i="3" s="1"/>
  <c r="M108" i="3"/>
  <c r="O108" i="3" s="1"/>
  <c r="L108" i="3"/>
  <c r="N108" i="3" s="1"/>
  <c r="U106" i="3" l="1"/>
  <c r="AB116" i="3"/>
  <c r="Y117" i="3"/>
  <c r="S107" i="3"/>
  <c r="P108" i="3"/>
  <c r="Q108" i="3" s="1"/>
  <c r="R108" i="3" s="1"/>
  <c r="S108" i="3" s="1"/>
  <c r="E109" i="3"/>
  <c r="G109" i="3" s="1"/>
  <c r="D109" i="3"/>
  <c r="F109" i="3" s="1"/>
  <c r="I109" i="3" s="1"/>
  <c r="M109" i="3"/>
  <c r="O109" i="3" s="1"/>
  <c r="L109" i="3"/>
  <c r="N109" i="3" s="1"/>
  <c r="H108" i="3"/>
  <c r="J108" i="3" s="1"/>
  <c r="A111" i="3"/>
  <c r="B111" i="3" s="1"/>
  <c r="K110" i="3"/>
  <c r="B110" i="3"/>
  <c r="C110" i="3" s="1"/>
  <c r="K24" i="52252"/>
  <c r="M24" i="52252" s="1"/>
  <c r="U107" i="3"/>
  <c r="V107" i="3"/>
  <c r="AB117" i="3" l="1"/>
  <c r="Y118" i="3"/>
  <c r="T108" i="3"/>
  <c r="V108" i="3" s="1"/>
  <c r="P109" i="3"/>
  <c r="Q109" i="3" s="1"/>
  <c r="R109" i="3" s="1"/>
  <c r="S109" i="3" s="1"/>
  <c r="M110" i="3"/>
  <c r="O110" i="3" s="1"/>
  <c r="L110" i="3"/>
  <c r="N110" i="3" s="1"/>
  <c r="C111" i="3"/>
  <c r="G25" i="52252"/>
  <c r="K111" i="3"/>
  <c r="A112" i="3"/>
  <c r="B112" i="3" s="1"/>
  <c r="C112" i="3" s="1"/>
  <c r="H109" i="3"/>
  <c r="J109" i="3" s="1"/>
  <c r="E110" i="3"/>
  <c r="G110" i="3" s="1"/>
  <c r="D110" i="3"/>
  <c r="F110" i="3" s="1"/>
  <c r="I110" i="3" s="1"/>
  <c r="U108" i="3"/>
  <c r="AB118" i="3" l="1"/>
  <c r="Y119" i="3"/>
  <c r="T109" i="3"/>
  <c r="U109" i="3" s="1"/>
  <c r="P110" i="3"/>
  <c r="Q110" i="3" s="1"/>
  <c r="R110" i="3" s="1"/>
  <c r="E112" i="3"/>
  <c r="G112" i="3" s="1"/>
  <c r="D112" i="3"/>
  <c r="F112" i="3" s="1"/>
  <c r="I112" i="3" s="1"/>
  <c r="M111" i="3"/>
  <c r="O111" i="3" s="1"/>
  <c r="L111" i="3"/>
  <c r="N111" i="3" s="1"/>
  <c r="D111" i="3"/>
  <c r="E111" i="3"/>
  <c r="G111" i="3" s="1"/>
  <c r="H110" i="3"/>
  <c r="J110" i="3" s="1"/>
  <c r="A113" i="3"/>
  <c r="B113" i="3" s="1"/>
  <c r="C113" i="3" s="1"/>
  <c r="K112" i="3"/>
  <c r="V109" i="3"/>
  <c r="S110" i="3" l="1"/>
  <c r="T110" i="3"/>
  <c r="V110" i="3" s="1"/>
  <c r="Y120" i="3"/>
  <c r="AB119" i="3"/>
  <c r="P111" i="3"/>
  <c r="Q111" i="3" s="1"/>
  <c r="R111" i="3" s="1"/>
  <c r="T111" i="3" s="1"/>
  <c r="E113" i="3"/>
  <c r="G113" i="3" s="1"/>
  <c r="D113" i="3"/>
  <c r="F113" i="3" s="1"/>
  <c r="I113" i="3" s="1"/>
  <c r="H112" i="3"/>
  <c r="J112" i="3" s="1"/>
  <c r="M112" i="3"/>
  <c r="O112" i="3" s="1"/>
  <c r="L112" i="3"/>
  <c r="N112" i="3" s="1"/>
  <c r="K113" i="3"/>
  <c r="A114" i="3"/>
  <c r="F111" i="3"/>
  <c r="I111" i="3" s="1"/>
  <c r="H111" i="3"/>
  <c r="U110" i="3" l="1"/>
  <c r="AB120" i="3"/>
  <c r="Y121" i="3"/>
  <c r="P112" i="3"/>
  <c r="Q112" i="3" s="1"/>
  <c r="R112" i="3" s="1"/>
  <c r="T112" i="3" s="1"/>
  <c r="S111" i="3"/>
  <c r="H25" i="52252"/>
  <c r="I25" i="52252" s="1"/>
  <c r="M113" i="3"/>
  <c r="O113" i="3" s="1"/>
  <c r="L113" i="3"/>
  <c r="N113" i="3" s="1"/>
  <c r="J111" i="3"/>
  <c r="J25" i="52252"/>
  <c r="O25" i="52252" s="1"/>
  <c r="K114" i="3"/>
  <c r="A115" i="3"/>
  <c r="B115" i="3" s="1"/>
  <c r="C115" i="3" s="1"/>
  <c r="B114" i="3"/>
  <c r="C114" i="3" s="1"/>
  <c r="H113" i="3"/>
  <c r="J113" i="3" s="1"/>
  <c r="V111" i="3"/>
  <c r="U111" i="3"/>
  <c r="S112" i="3" l="1"/>
  <c r="Y122" i="3"/>
  <c r="AB121" i="3"/>
  <c r="P113" i="3"/>
  <c r="Q113" i="3" s="1"/>
  <c r="R113" i="3" s="1"/>
  <c r="S113" i="3" s="1"/>
  <c r="K25" i="52252"/>
  <c r="M25" i="52252" s="1"/>
  <c r="D115" i="3"/>
  <c r="F115" i="3" s="1"/>
  <c r="I115" i="3" s="1"/>
  <c r="E115" i="3"/>
  <c r="G115" i="3" s="1"/>
  <c r="L114" i="3"/>
  <c r="N114" i="3" s="1"/>
  <c r="M114" i="3"/>
  <c r="O114" i="3" s="1"/>
  <c r="E114" i="3"/>
  <c r="G114" i="3" s="1"/>
  <c r="D114" i="3"/>
  <c r="F114" i="3" s="1"/>
  <c r="I114" i="3" s="1"/>
  <c r="A116" i="3"/>
  <c r="B116" i="3" s="1"/>
  <c r="K115" i="3"/>
  <c r="V112" i="3"/>
  <c r="U112" i="3"/>
  <c r="T113" i="3" l="1"/>
  <c r="U113" i="3" s="1"/>
  <c r="H115" i="3"/>
  <c r="J115" i="3" s="1"/>
  <c r="Y123" i="3"/>
  <c r="AB122" i="3"/>
  <c r="P114" i="3"/>
  <c r="Q114" i="3" s="1"/>
  <c r="R114" i="3" s="1"/>
  <c r="S114" i="3" s="1"/>
  <c r="H114" i="3"/>
  <c r="J114" i="3" s="1"/>
  <c r="M115" i="3"/>
  <c r="O115" i="3" s="1"/>
  <c r="L115" i="3"/>
  <c r="N115" i="3" s="1"/>
  <c r="A117" i="3"/>
  <c r="B117" i="3" s="1"/>
  <c r="C117" i="3" s="1"/>
  <c r="K116" i="3"/>
  <c r="G26" i="52252"/>
  <c r="C116" i="3"/>
  <c r="V113" i="3"/>
  <c r="T114" i="3" l="1"/>
  <c r="V114" i="3" s="1"/>
  <c r="AB123" i="3"/>
  <c r="Y124" i="3"/>
  <c r="P115" i="3"/>
  <c r="Q115" i="3" s="1"/>
  <c r="R115" i="3" s="1"/>
  <c r="S115" i="3" s="1"/>
  <c r="E117" i="3"/>
  <c r="G117" i="3" s="1"/>
  <c r="D117" i="3"/>
  <c r="D116" i="3"/>
  <c r="E116" i="3"/>
  <c r="G116" i="3" s="1"/>
  <c r="M116" i="3"/>
  <c r="O116" i="3" s="1"/>
  <c r="L116" i="3"/>
  <c r="N116" i="3" s="1"/>
  <c r="K117" i="3"/>
  <c r="A118" i="3"/>
  <c r="B118" i="3" s="1"/>
  <c r="C118" i="3" s="1"/>
  <c r="U114" i="3" l="1"/>
  <c r="Y125" i="3"/>
  <c r="AB124" i="3"/>
  <c r="P116" i="3"/>
  <c r="Q116" i="3" s="1"/>
  <c r="R116" i="3" s="1"/>
  <c r="T116" i="3" s="1"/>
  <c r="T115" i="3"/>
  <c r="V115" i="3" s="1"/>
  <c r="E118" i="3"/>
  <c r="G118" i="3" s="1"/>
  <c r="D118" i="3"/>
  <c r="F118" i="3" s="1"/>
  <c r="I118" i="3" s="1"/>
  <c r="L117" i="3"/>
  <c r="N117" i="3" s="1"/>
  <c r="M117" i="3"/>
  <c r="O117" i="3" s="1"/>
  <c r="F116" i="3"/>
  <c r="I116" i="3" s="1"/>
  <c r="H116" i="3"/>
  <c r="A119" i="3"/>
  <c r="K118" i="3"/>
  <c r="F117" i="3"/>
  <c r="I117" i="3" s="1"/>
  <c r="H117" i="3"/>
  <c r="J117" i="3" s="1"/>
  <c r="H26" i="52252" l="1"/>
  <c r="I26" i="52252" s="1"/>
  <c r="S116" i="3"/>
  <c r="Y126" i="3"/>
  <c r="AB125" i="3"/>
  <c r="P117" i="3"/>
  <c r="Q117" i="3" s="1"/>
  <c r="R117" i="3" s="1"/>
  <c r="S117" i="3" s="1"/>
  <c r="U115" i="3"/>
  <c r="K119" i="3"/>
  <c r="A120" i="3"/>
  <c r="J116" i="3"/>
  <c r="J26" i="52252"/>
  <c r="O26" i="52252" s="1"/>
  <c r="B119" i="3"/>
  <c r="C119" i="3" s="1"/>
  <c r="H118" i="3"/>
  <c r="J118" i="3" s="1"/>
  <c r="L118" i="3"/>
  <c r="N118" i="3" s="1"/>
  <c r="M118" i="3"/>
  <c r="O118" i="3" s="1"/>
  <c r="V116" i="3"/>
  <c r="U116" i="3"/>
  <c r="T117" i="3" l="1"/>
  <c r="V117" i="3" s="1"/>
  <c r="Y127" i="3"/>
  <c r="AB126" i="3"/>
  <c r="P118" i="3"/>
  <c r="Q118" i="3" s="1"/>
  <c r="R118" i="3" s="1"/>
  <c r="S118" i="3" s="1"/>
  <c r="A121" i="3"/>
  <c r="B121" i="3" s="1"/>
  <c r="K120" i="3"/>
  <c r="B120" i="3"/>
  <c r="C120" i="3" s="1"/>
  <c r="E119" i="3"/>
  <c r="G119" i="3" s="1"/>
  <c r="D119" i="3"/>
  <c r="F119" i="3" s="1"/>
  <c r="I119" i="3" s="1"/>
  <c r="L119" i="3"/>
  <c r="N119" i="3" s="1"/>
  <c r="M119" i="3"/>
  <c r="O119" i="3" s="1"/>
  <c r="K26" i="52252"/>
  <c r="M26" i="52252" s="1"/>
  <c r="T118" i="3" l="1"/>
  <c r="U118" i="3" s="1"/>
  <c r="U117" i="3"/>
  <c r="AB127" i="3"/>
  <c r="Y128" i="3"/>
  <c r="P119" i="3"/>
  <c r="Q119" i="3" s="1"/>
  <c r="R119" i="3" s="1"/>
  <c r="S119" i="3" s="1"/>
  <c r="M120" i="3"/>
  <c r="O120" i="3" s="1"/>
  <c r="L120" i="3"/>
  <c r="N120" i="3" s="1"/>
  <c r="K121" i="3"/>
  <c r="A122" i="3"/>
  <c r="H119" i="3"/>
  <c r="J119" i="3" s="1"/>
  <c r="D120" i="3"/>
  <c r="F120" i="3" s="1"/>
  <c r="I120" i="3" s="1"/>
  <c r="E120" i="3"/>
  <c r="G120" i="3" s="1"/>
  <c r="H120" i="3"/>
  <c r="J120" i="3" s="1"/>
  <c r="G27" i="52252"/>
  <c r="C121" i="3"/>
  <c r="T119" i="3"/>
  <c r="V118" i="3"/>
  <c r="P120" i="3" l="1"/>
  <c r="Q120" i="3" s="1"/>
  <c r="R120" i="3" s="1"/>
  <c r="S120" i="3" s="1"/>
  <c r="AB128" i="3"/>
  <c r="Y129" i="3"/>
  <c r="L121" i="3"/>
  <c r="N121" i="3" s="1"/>
  <c r="M121" i="3"/>
  <c r="O121" i="3" s="1"/>
  <c r="D121" i="3"/>
  <c r="E121" i="3"/>
  <c r="G121" i="3" s="1"/>
  <c r="B122" i="3"/>
  <c r="C122" i="3" s="1"/>
  <c r="A123" i="3"/>
  <c r="K122" i="3"/>
  <c r="V119" i="3"/>
  <c r="U119" i="3"/>
  <c r="T120" i="3" l="1"/>
  <c r="AB129" i="3"/>
  <c r="Y130" i="3"/>
  <c r="P121" i="3"/>
  <c r="Q121" i="3" s="1"/>
  <c r="R121" i="3" s="1"/>
  <c r="T121" i="3" s="1"/>
  <c r="M122" i="3"/>
  <c r="O122" i="3" s="1"/>
  <c r="L122" i="3"/>
  <c r="N122" i="3" s="1"/>
  <c r="K123" i="3"/>
  <c r="A124" i="3"/>
  <c r="B124" i="3" s="1"/>
  <c r="C124" i="3" s="1"/>
  <c r="E122" i="3"/>
  <c r="G122" i="3" s="1"/>
  <c r="D122" i="3"/>
  <c r="F122" i="3" s="1"/>
  <c r="I122" i="3" s="1"/>
  <c r="F121" i="3"/>
  <c r="I121" i="3" s="1"/>
  <c r="H121" i="3"/>
  <c r="B123" i="3"/>
  <c r="C123" i="3" s="1"/>
  <c r="V120" i="3"/>
  <c r="U120" i="3"/>
  <c r="H27" i="52252" l="1"/>
  <c r="I27" i="52252" s="1"/>
  <c r="S121" i="3"/>
  <c r="AB130" i="3"/>
  <c r="Y131" i="3"/>
  <c r="P122" i="3"/>
  <c r="Q122" i="3" s="1"/>
  <c r="R122" i="3" s="1"/>
  <c r="H122" i="3"/>
  <c r="J122" i="3" s="1"/>
  <c r="D124" i="3"/>
  <c r="F124" i="3" s="1"/>
  <c r="I124" i="3" s="1"/>
  <c r="E124" i="3"/>
  <c r="G124" i="3" s="1"/>
  <c r="E123" i="3"/>
  <c r="G123" i="3" s="1"/>
  <c r="D123" i="3"/>
  <c r="F123" i="3" s="1"/>
  <c r="I123" i="3" s="1"/>
  <c r="L123" i="3"/>
  <c r="N123" i="3" s="1"/>
  <c r="M123" i="3"/>
  <c r="O123" i="3" s="1"/>
  <c r="J27" i="52252"/>
  <c r="O27" i="52252" s="1"/>
  <c r="J121" i="3"/>
  <c r="A125" i="3"/>
  <c r="B125" i="3" s="1"/>
  <c r="C125" i="3" s="1"/>
  <c r="K124" i="3"/>
  <c r="U121" i="3"/>
  <c r="V121" i="3"/>
  <c r="H124" i="3" l="1"/>
  <c r="J124" i="3" s="1"/>
  <c r="AB131" i="3"/>
  <c r="Y132" i="3"/>
  <c r="P123" i="3"/>
  <c r="Q123" i="3" s="1"/>
  <c r="R123" i="3" s="1"/>
  <c r="S123" i="3" s="1"/>
  <c r="H123" i="3"/>
  <c r="J123" i="3" s="1"/>
  <c r="S122" i="3"/>
  <c r="T122" i="3"/>
  <c r="V122" i="3" s="1"/>
  <c r="L124" i="3"/>
  <c r="N124" i="3" s="1"/>
  <c r="M124" i="3"/>
  <c r="O124" i="3" s="1"/>
  <c r="A126" i="3"/>
  <c r="B126" i="3" s="1"/>
  <c r="K125" i="3"/>
  <c r="E125" i="3"/>
  <c r="G125" i="3" s="1"/>
  <c r="D125" i="3"/>
  <c r="K27" i="52252"/>
  <c r="M27" i="52252" s="1"/>
  <c r="U122" i="3" l="1"/>
  <c r="Y133" i="3"/>
  <c r="AB132" i="3"/>
  <c r="T123" i="3"/>
  <c r="U123" i="3" s="1"/>
  <c r="P124" i="3"/>
  <c r="Q124" i="3" s="1"/>
  <c r="R124" i="3" s="1"/>
  <c r="S124" i="3" s="1"/>
  <c r="F125" i="3"/>
  <c r="I125" i="3" s="1"/>
  <c r="H125" i="3"/>
  <c r="J125" i="3" s="1"/>
  <c r="L125" i="3"/>
  <c r="N125" i="3" s="1"/>
  <c r="M125" i="3"/>
  <c r="O125" i="3" s="1"/>
  <c r="K126" i="3"/>
  <c r="A127" i="3"/>
  <c r="B127" i="3" s="1"/>
  <c r="C127" i="3" s="1"/>
  <c r="G28" i="52252"/>
  <c r="C126" i="3"/>
  <c r="V123" i="3" l="1"/>
  <c r="AB133" i="3"/>
  <c r="Y134" i="3"/>
  <c r="P125" i="3"/>
  <c r="Q125" i="3" s="1"/>
  <c r="R125" i="3" s="1"/>
  <c r="S125" i="3" s="1"/>
  <c r="T124" i="3"/>
  <c r="V124" i="3" s="1"/>
  <c r="E127" i="3"/>
  <c r="G127" i="3" s="1"/>
  <c r="D127" i="3"/>
  <c r="F127" i="3" s="1"/>
  <c r="I127" i="3" s="1"/>
  <c r="E126" i="3"/>
  <c r="G126" i="3" s="1"/>
  <c r="D126" i="3"/>
  <c r="M126" i="3"/>
  <c r="O126" i="3" s="1"/>
  <c r="L126" i="3"/>
  <c r="N126" i="3" s="1"/>
  <c r="A128" i="3"/>
  <c r="K127" i="3"/>
  <c r="T125" i="3" l="1"/>
  <c r="V125" i="3" s="1"/>
  <c r="U124" i="3"/>
  <c r="AB134" i="3"/>
  <c r="Y135" i="3"/>
  <c r="P126" i="3"/>
  <c r="Q126" i="3" s="1"/>
  <c r="R126" i="3" s="1"/>
  <c r="H28" i="52252" s="1"/>
  <c r="M127" i="3"/>
  <c r="O127" i="3" s="1"/>
  <c r="L127" i="3"/>
  <c r="N127" i="3" s="1"/>
  <c r="A129" i="3"/>
  <c r="B129" i="3" s="1"/>
  <c r="C129" i="3" s="1"/>
  <c r="K128" i="3"/>
  <c r="F126" i="3"/>
  <c r="I126" i="3" s="1"/>
  <c r="H126" i="3"/>
  <c r="B128" i="3"/>
  <c r="C128" i="3" s="1"/>
  <c r="H127" i="3"/>
  <c r="J127" i="3" s="1"/>
  <c r="U125" i="3" l="1"/>
  <c r="T126" i="3"/>
  <c r="U126" i="3" s="1"/>
  <c r="S126" i="3"/>
  <c r="Y136" i="3"/>
  <c r="AB135" i="3"/>
  <c r="P127" i="3"/>
  <c r="Q127" i="3" s="1"/>
  <c r="R127" i="3" s="1"/>
  <c r="S127" i="3" s="1"/>
  <c r="E128" i="3"/>
  <c r="G128" i="3" s="1"/>
  <c r="D128" i="3"/>
  <c r="F128" i="3" s="1"/>
  <c r="I128" i="3" s="1"/>
  <c r="J126" i="3"/>
  <c r="J28" i="52252"/>
  <c r="O28" i="52252" s="1"/>
  <c r="L128" i="3"/>
  <c r="N128" i="3" s="1"/>
  <c r="M128" i="3"/>
  <c r="O128" i="3" s="1"/>
  <c r="K129" i="3"/>
  <c r="A130" i="3"/>
  <c r="B130" i="3" s="1"/>
  <c r="C130" i="3" s="1"/>
  <c r="E129" i="3"/>
  <c r="G129" i="3" s="1"/>
  <c r="D129" i="3"/>
  <c r="I28" i="52252"/>
  <c r="V126" i="3" l="1"/>
  <c r="Y137" i="3"/>
  <c r="AB136" i="3"/>
  <c r="T127" i="3"/>
  <c r="V127" i="3" s="1"/>
  <c r="P128" i="3"/>
  <c r="Q128" i="3" s="1"/>
  <c r="R128" i="3" s="1"/>
  <c r="T128" i="3" s="1"/>
  <c r="E130" i="3"/>
  <c r="G130" i="3" s="1"/>
  <c r="D130" i="3"/>
  <c r="K130" i="3"/>
  <c r="A131" i="3"/>
  <c r="H128" i="3"/>
  <c r="J128" i="3" s="1"/>
  <c r="F129" i="3"/>
  <c r="I129" i="3" s="1"/>
  <c r="H129" i="3"/>
  <c r="J129" i="3" s="1"/>
  <c r="L129" i="3"/>
  <c r="N129" i="3" s="1"/>
  <c r="M129" i="3"/>
  <c r="O129" i="3" s="1"/>
  <c r="K28" i="52252"/>
  <c r="M28" i="52252" s="1"/>
  <c r="S128" i="3" l="1"/>
  <c r="Y138" i="3"/>
  <c r="AB137" i="3"/>
  <c r="U127" i="3"/>
  <c r="P129" i="3"/>
  <c r="Q129" i="3" s="1"/>
  <c r="R129" i="3" s="1"/>
  <c r="T129" i="3" s="1"/>
  <c r="L130" i="3"/>
  <c r="N130" i="3" s="1"/>
  <c r="M130" i="3"/>
  <c r="O130" i="3" s="1"/>
  <c r="B131" i="3"/>
  <c r="A132" i="3"/>
  <c r="K131" i="3"/>
  <c r="F130" i="3"/>
  <c r="I130" i="3" s="1"/>
  <c r="H130" i="3"/>
  <c r="J130" i="3" s="1"/>
  <c r="V128" i="3"/>
  <c r="U128" i="3"/>
  <c r="S129" i="3" l="1"/>
  <c r="AB138" i="3"/>
  <c r="Y139" i="3"/>
  <c r="P130" i="3"/>
  <c r="Q130" i="3" s="1"/>
  <c r="R130" i="3" s="1"/>
  <c r="S130" i="3" s="1"/>
  <c r="L131" i="3"/>
  <c r="N131" i="3" s="1"/>
  <c r="M131" i="3"/>
  <c r="O131" i="3" s="1"/>
  <c r="G29" i="52252"/>
  <c r="C131" i="3"/>
  <c r="B132" i="3"/>
  <c r="C132" i="3" s="1"/>
  <c r="K132" i="3"/>
  <c r="A133" i="3"/>
  <c r="V129" i="3"/>
  <c r="U129" i="3"/>
  <c r="T130" i="3" l="1"/>
  <c r="U130" i="3" s="1"/>
  <c r="Y140" i="3"/>
  <c r="AB139" i="3"/>
  <c r="P131" i="3"/>
  <c r="Q131" i="3" s="1"/>
  <c r="R131" i="3" s="1"/>
  <c r="T131" i="3" s="1"/>
  <c r="L132" i="3"/>
  <c r="N132" i="3" s="1"/>
  <c r="M132" i="3"/>
  <c r="O132" i="3" s="1"/>
  <c r="D131" i="3"/>
  <c r="F131" i="3" s="1"/>
  <c r="I131" i="3" s="1"/>
  <c r="E131" i="3"/>
  <c r="G131" i="3" s="1"/>
  <c r="B133" i="3"/>
  <c r="C133" i="3" s="1"/>
  <c r="A134" i="3"/>
  <c r="K133" i="3"/>
  <c r="E132" i="3"/>
  <c r="G132" i="3" s="1"/>
  <c r="D132" i="3"/>
  <c r="F132" i="3" s="1"/>
  <c r="I132" i="3" s="1"/>
  <c r="P132" i="3" l="1"/>
  <c r="Q132" i="3" s="1"/>
  <c r="R132" i="3" s="1"/>
  <c r="S132" i="3" s="1"/>
  <c r="V130" i="3"/>
  <c r="Y141" i="3"/>
  <c r="AB140" i="3"/>
  <c r="S131" i="3"/>
  <c r="H131" i="3"/>
  <c r="U131" i="3" s="1"/>
  <c r="V131" i="3"/>
  <c r="H29" i="52252"/>
  <c r="I29" i="52252" s="1"/>
  <c r="B134" i="3"/>
  <c r="C134" i="3" s="1"/>
  <c r="A135" i="3"/>
  <c r="K134" i="3"/>
  <c r="H132" i="3"/>
  <c r="J132" i="3" s="1"/>
  <c r="L133" i="3"/>
  <c r="N133" i="3" s="1"/>
  <c r="M133" i="3"/>
  <c r="O133" i="3" s="1"/>
  <c r="D133" i="3"/>
  <c r="F133" i="3" s="1"/>
  <c r="E133" i="3"/>
  <c r="G133" i="3" s="1"/>
  <c r="I133" i="3" l="1"/>
  <c r="T132" i="3"/>
  <c r="V132" i="3" s="1"/>
  <c r="J131" i="3"/>
  <c r="J29" i="52252"/>
  <c r="O29" i="52252" s="1"/>
  <c r="Y142" i="3"/>
  <c r="AB141" i="3"/>
  <c r="P133" i="3"/>
  <c r="Q133" i="3" s="1"/>
  <c r="R133" i="3" s="1"/>
  <c r="S133" i="3" s="1"/>
  <c r="M134" i="3"/>
  <c r="O134" i="3" s="1"/>
  <c r="L134" i="3"/>
  <c r="N134" i="3" s="1"/>
  <c r="E134" i="3"/>
  <c r="G134" i="3" s="1"/>
  <c r="I134" i="3" s="1"/>
  <c r="D134" i="3"/>
  <c r="F134" i="3" s="1"/>
  <c r="H133" i="3"/>
  <c r="B135" i="3"/>
  <c r="C135" i="3" s="1"/>
  <c r="A136" i="3"/>
  <c r="K135" i="3"/>
  <c r="J133" i="3" l="1"/>
  <c r="U132" i="3"/>
  <c r="K29" i="52252"/>
  <c r="M29" i="52252" s="1"/>
  <c r="T133" i="3"/>
  <c r="V133" i="3" s="1"/>
  <c r="AB142" i="3"/>
  <c r="Y143" i="3"/>
  <c r="H134" i="3"/>
  <c r="J134" i="3" s="1"/>
  <c r="P134" i="3"/>
  <c r="Q134" i="3" s="1"/>
  <c r="R134" i="3" s="1"/>
  <c r="S134" i="3" s="1"/>
  <c r="M135" i="3"/>
  <c r="O135" i="3" s="1"/>
  <c r="L135" i="3"/>
  <c r="N135" i="3" s="1"/>
  <c r="A137" i="3"/>
  <c r="K136" i="3"/>
  <c r="B136" i="3"/>
  <c r="D135" i="3"/>
  <c r="F135" i="3" s="1"/>
  <c r="E135" i="3"/>
  <c r="G135" i="3" s="1"/>
  <c r="I135" i="3" s="1"/>
  <c r="H135" i="3" l="1"/>
  <c r="J135" i="3" s="1"/>
  <c r="P135" i="3"/>
  <c r="Q135" i="3" s="1"/>
  <c r="R135" i="3" s="1"/>
  <c r="S135" i="3" s="1"/>
  <c r="U133" i="3"/>
  <c r="T134" i="3"/>
  <c r="Y144" i="3"/>
  <c r="AB143" i="3"/>
  <c r="G30" i="52252"/>
  <c r="C136" i="3"/>
  <c r="B137" i="3"/>
  <c r="C137" i="3" s="1"/>
  <c r="A138" i="3"/>
  <c r="K137" i="3"/>
  <c r="M136" i="3"/>
  <c r="O136" i="3" s="1"/>
  <c r="L136" i="3"/>
  <c r="N136" i="3" s="1"/>
  <c r="T135" i="3"/>
  <c r="AB144" i="3" l="1"/>
  <c r="Y145" i="3"/>
  <c r="V134" i="3"/>
  <c r="U134" i="3"/>
  <c r="L137" i="3"/>
  <c r="N137" i="3" s="1"/>
  <c r="M137" i="3"/>
  <c r="O137" i="3" s="1"/>
  <c r="E137" i="3"/>
  <c r="D137" i="3"/>
  <c r="F137" i="3" s="1"/>
  <c r="P136" i="3"/>
  <c r="Q136" i="3" s="1"/>
  <c r="R136" i="3" s="1"/>
  <c r="T136" i="3" s="1"/>
  <c r="B138" i="3"/>
  <c r="C138" i="3" s="1"/>
  <c r="K138" i="3"/>
  <c r="A139" i="3"/>
  <c r="D136" i="3"/>
  <c r="F136" i="3" s="1"/>
  <c r="E136" i="3"/>
  <c r="U135" i="3"/>
  <c r="V135" i="3"/>
  <c r="P137" i="3" l="1"/>
  <c r="Q137" i="3" s="1"/>
  <c r="R137" i="3" s="1"/>
  <c r="S137" i="3" s="1"/>
  <c r="S136" i="3"/>
  <c r="Y146" i="3"/>
  <c r="AB146" i="3" s="1"/>
  <c r="AB145" i="3"/>
  <c r="H30" i="52252"/>
  <c r="I30" i="52252" s="1"/>
  <c r="L138" i="3"/>
  <c r="N138" i="3" s="1"/>
  <c r="M138" i="3"/>
  <c r="O138" i="3" s="1"/>
  <c r="G137" i="3"/>
  <c r="I137" i="3" s="1"/>
  <c r="H137" i="3"/>
  <c r="G136" i="3"/>
  <c r="I136" i="3" s="1"/>
  <c r="V136" i="3" s="1"/>
  <c r="H136" i="3"/>
  <c r="B139" i="3"/>
  <c r="C139" i="3" s="1"/>
  <c r="K139" i="3"/>
  <c r="A140" i="3"/>
  <c r="D138" i="3"/>
  <c r="F138" i="3" s="1"/>
  <c r="E138" i="3"/>
  <c r="G138" i="3" s="1"/>
  <c r="I138" i="3" s="1"/>
  <c r="T137" i="3"/>
  <c r="J137" i="3" l="1"/>
  <c r="H138" i="3"/>
  <c r="J138" i="3" s="1"/>
  <c r="P138" i="3"/>
  <c r="Q138" i="3" s="1"/>
  <c r="R138" i="3" s="1"/>
  <c r="S138" i="3" s="1"/>
  <c r="A141" i="3"/>
  <c r="K140" i="3"/>
  <c r="J136" i="3"/>
  <c r="U136" i="3"/>
  <c r="J30" i="52252"/>
  <c r="O30" i="52252" s="1"/>
  <c r="B140" i="3"/>
  <c r="C140" i="3" s="1"/>
  <c r="M139" i="3"/>
  <c r="O139" i="3" s="1"/>
  <c r="L139" i="3"/>
  <c r="N139" i="3" s="1"/>
  <c r="D139" i="3"/>
  <c r="F139" i="3" s="1"/>
  <c r="E139" i="3"/>
  <c r="G139" i="3" s="1"/>
  <c r="I139" i="3" s="1"/>
  <c r="V137" i="3"/>
  <c r="U137" i="3"/>
  <c r="K30" i="52252" l="1"/>
  <c r="M30" i="52252" s="1"/>
  <c r="P139" i="3"/>
  <c r="Q139" i="3" s="1"/>
  <c r="R139" i="3" s="1"/>
  <c r="T139" i="3" s="1"/>
  <c r="T138" i="3"/>
  <c r="B141" i="3"/>
  <c r="K141" i="3"/>
  <c r="A142" i="3"/>
  <c r="H139" i="3"/>
  <c r="J139" i="3" s="1"/>
  <c r="D140" i="3"/>
  <c r="F140" i="3" s="1"/>
  <c r="E140" i="3"/>
  <c r="G140" i="3" s="1"/>
  <c r="I140" i="3" s="1"/>
  <c r="L140" i="3"/>
  <c r="N140" i="3" s="1"/>
  <c r="M140" i="3"/>
  <c r="O140" i="3" s="1"/>
  <c r="S139" i="3" l="1"/>
  <c r="U138" i="3"/>
  <c r="V138" i="3"/>
  <c r="P140" i="3"/>
  <c r="Q140" i="3" s="1"/>
  <c r="R140" i="3" s="1"/>
  <c r="K142" i="3"/>
  <c r="B142" i="3"/>
  <c r="C142" i="3" s="1"/>
  <c r="A143" i="3"/>
  <c r="G31" i="52252"/>
  <c r="C141" i="3"/>
  <c r="H140" i="3"/>
  <c r="J140" i="3" s="1"/>
  <c r="L141" i="3"/>
  <c r="N141" i="3" s="1"/>
  <c r="M141" i="3"/>
  <c r="O141" i="3" s="1"/>
  <c r="V139" i="3"/>
  <c r="U139" i="3"/>
  <c r="S140" i="3" l="1"/>
  <c r="T140" i="3"/>
  <c r="U140" i="3" s="1"/>
  <c r="P141" i="3"/>
  <c r="Q141" i="3" s="1"/>
  <c r="R141" i="3" s="1"/>
  <c r="T141" i="3" s="1"/>
  <c r="D141" i="3"/>
  <c r="F141" i="3" s="1"/>
  <c r="E141" i="3"/>
  <c r="G141" i="3" s="1"/>
  <c r="I141" i="3" s="1"/>
  <c r="B143" i="3"/>
  <c r="C143" i="3" s="1"/>
  <c r="A144" i="3"/>
  <c r="B144" i="3" s="1"/>
  <c r="C144" i="3" s="1"/>
  <c r="K143" i="3"/>
  <c r="M142" i="3"/>
  <c r="O142" i="3" s="1"/>
  <c r="L142" i="3"/>
  <c r="N142" i="3" s="1"/>
  <c r="D142" i="3"/>
  <c r="F142" i="3" s="1"/>
  <c r="E142" i="3"/>
  <c r="V140" i="3" l="1"/>
  <c r="V141" i="3"/>
  <c r="P142" i="3"/>
  <c r="Q142" i="3" s="1"/>
  <c r="R142" i="3" s="1"/>
  <c r="S142" i="3" s="1"/>
  <c r="S141" i="3"/>
  <c r="G142" i="3"/>
  <c r="I142" i="3" s="1"/>
  <c r="H142" i="3"/>
  <c r="L143" i="3"/>
  <c r="N143" i="3" s="1"/>
  <c r="M143" i="3"/>
  <c r="O143" i="3" s="1"/>
  <c r="A145" i="3"/>
  <c r="B145" i="3" s="1"/>
  <c r="C145" i="3" s="1"/>
  <c r="K144" i="3"/>
  <c r="H31" i="52252"/>
  <c r="I31" i="52252" s="1"/>
  <c r="H141" i="3"/>
  <c r="E144" i="3"/>
  <c r="D144" i="3"/>
  <c r="F144" i="3" s="1"/>
  <c r="D143" i="3"/>
  <c r="F143" i="3" s="1"/>
  <c r="E143" i="3"/>
  <c r="G143" i="3" s="1"/>
  <c r="I143" i="3" s="1"/>
  <c r="J142" i="3" l="1"/>
  <c r="P143" i="3"/>
  <c r="Q143" i="3" s="1"/>
  <c r="R143" i="3" s="1"/>
  <c r="S143" i="3" s="1"/>
  <c r="T142" i="3"/>
  <c r="V142" i="3" s="1"/>
  <c r="H143" i="3"/>
  <c r="J143" i="3" s="1"/>
  <c r="J31" i="52252"/>
  <c r="O31" i="52252" s="1"/>
  <c r="J141" i="3"/>
  <c r="U141" i="3"/>
  <c r="L144" i="3"/>
  <c r="N144" i="3" s="1"/>
  <c r="M144" i="3"/>
  <c r="O144" i="3" s="1"/>
  <c r="A146" i="3"/>
  <c r="K145" i="3"/>
  <c r="G144" i="3"/>
  <c r="I144" i="3" s="1"/>
  <c r="H144" i="3"/>
  <c r="J144" i="3" s="1"/>
  <c r="D145" i="3"/>
  <c r="F145" i="3" s="1"/>
  <c r="E145" i="3"/>
  <c r="T143" i="3"/>
  <c r="K31" i="52252" l="1"/>
  <c r="M31" i="52252" s="1"/>
  <c r="U142" i="3"/>
  <c r="U143" i="3"/>
  <c r="V143" i="3"/>
  <c r="P144" i="3"/>
  <c r="Q144" i="3" s="1"/>
  <c r="R144" i="3" s="1"/>
  <c r="S144" i="3" s="1"/>
  <c r="G145" i="3"/>
  <c r="I145" i="3" s="1"/>
  <c r="H145" i="3"/>
  <c r="J145" i="3" s="1"/>
  <c r="M145" i="3"/>
  <c r="O145" i="3" s="1"/>
  <c r="L145" i="3"/>
  <c r="N145" i="3" s="1"/>
  <c r="B146" i="3"/>
  <c r="A147" i="3"/>
  <c r="K146" i="3"/>
  <c r="T144" i="3" l="1"/>
  <c r="U144" i="3" s="1"/>
  <c r="P145" i="3"/>
  <c r="Q145" i="3" s="1"/>
  <c r="R145" i="3" s="1"/>
  <c r="T145" i="3" s="1"/>
  <c r="B147" i="3"/>
  <c r="C147" i="3" s="1"/>
  <c r="A148" i="3"/>
  <c r="B148" i="3" s="1"/>
  <c r="C148" i="3" s="1"/>
  <c r="K147" i="3"/>
  <c r="L146" i="3"/>
  <c r="N146" i="3" s="1"/>
  <c r="M146" i="3"/>
  <c r="O146" i="3" s="1"/>
  <c r="C146" i="3"/>
  <c r="G32" i="52252"/>
  <c r="V144" i="3" l="1"/>
  <c r="S145" i="3"/>
  <c r="E146" i="3"/>
  <c r="G146" i="3" s="1"/>
  <c r="I146" i="3" s="1"/>
  <c r="D146" i="3"/>
  <c r="F146" i="3" s="1"/>
  <c r="H146" i="3"/>
  <c r="M147" i="3"/>
  <c r="O147" i="3" s="1"/>
  <c r="L147" i="3"/>
  <c r="N147" i="3" s="1"/>
  <c r="E147" i="3"/>
  <c r="G147" i="3" s="1"/>
  <c r="I147" i="3" s="1"/>
  <c r="D147" i="3"/>
  <c r="F147" i="3" s="1"/>
  <c r="P146" i="3"/>
  <c r="Q146" i="3" s="1"/>
  <c r="R146" i="3" s="1"/>
  <c r="T146" i="3" s="1"/>
  <c r="E148" i="3"/>
  <c r="D148" i="3"/>
  <c r="F148" i="3" s="1"/>
  <c r="K148" i="3"/>
  <c r="A149" i="3"/>
  <c r="V145" i="3"/>
  <c r="U145" i="3"/>
  <c r="P147" i="3" l="1"/>
  <c r="Q147" i="3" s="1"/>
  <c r="R147" i="3" s="1"/>
  <c r="S147" i="3" s="1"/>
  <c r="V146" i="3"/>
  <c r="S146" i="3"/>
  <c r="H147" i="3"/>
  <c r="J147" i="3" s="1"/>
  <c r="H32" i="52252"/>
  <c r="I32" i="52252" s="1"/>
  <c r="U146" i="3"/>
  <c r="B149" i="3"/>
  <c r="C149" i="3" s="1"/>
  <c r="K149" i="3"/>
  <c r="A150" i="3"/>
  <c r="J32" i="52252"/>
  <c r="O32" i="52252" s="1"/>
  <c r="J146" i="3"/>
  <c r="L148" i="3"/>
  <c r="N148" i="3" s="1"/>
  <c r="M148" i="3"/>
  <c r="O148" i="3" s="1"/>
  <c r="G148" i="3"/>
  <c r="I148" i="3" s="1"/>
  <c r="H148" i="3"/>
  <c r="J148" i="3" s="1"/>
  <c r="T147" i="3"/>
  <c r="P148" i="3" l="1"/>
  <c r="Q148" i="3" s="1"/>
  <c r="R148" i="3" s="1"/>
  <c r="S148" i="3" s="1"/>
  <c r="K150" i="3"/>
  <c r="A151" i="3"/>
  <c r="B150" i="3"/>
  <c r="C150" i="3" s="1"/>
  <c r="D149" i="3"/>
  <c r="F149" i="3" s="1"/>
  <c r="E149" i="3"/>
  <c r="G149" i="3" s="1"/>
  <c r="I149" i="3" s="1"/>
  <c r="M149" i="3"/>
  <c r="O149" i="3" s="1"/>
  <c r="L149" i="3"/>
  <c r="N149" i="3" s="1"/>
  <c r="K32" i="52252"/>
  <c r="M32" i="52252" s="1"/>
  <c r="V147" i="3"/>
  <c r="U147" i="3"/>
  <c r="P149" i="3" l="1"/>
  <c r="Q149" i="3" s="1"/>
  <c r="R149" i="3" s="1"/>
  <c r="S149" i="3" s="1"/>
  <c r="T148" i="3"/>
  <c r="V148" i="3" s="1"/>
  <c r="H149" i="3"/>
  <c r="J149" i="3" s="1"/>
  <c r="E150" i="3"/>
  <c r="G150" i="3" s="1"/>
  <c r="I150" i="3" s="1"/>
  <c r="D150" i="3"/>
  <c r="F150" i="3" s="1"/>
  <c r="M150" i="3"/>
  <c r="O150" i="3" s="1"/>
  <c r="L150" i="3"/>
  <c r="N150" i="3" s="1"/>
  <c r="B151" i="3"/>
  <c r="A152" i="3"/>
  <c r="K151" i="3"/>
  <c r="T149" i="3" l="1"/>
  <c r="V149" i="3" s="1"/>
  <c r="U148" i="3"/>
  <c r="P150" i="3"/>
  <c r="Q150" i="3" s="1"/>
  <c r="R150" i="3" s="1"/>
  <c r="S150" i="3" s="1"/>
  <c r="H150" i="3"/>
  <c r="J150" i="3" s="1"/>
  <c r="A153" i="3"/>
  <c r="B153" i="3" s="1"/>
  <c r="C153" i="3" s="1"/>
  <c r="K152" i="3"/>
  <c r="B152" i="3"/>
  <c r="C152" i="3" s="1"/>
  <c r="M151" i="3"/>
  <c r="O151" i="3" s="1"/>
  <c r="L151" i="3"/>
  <c r="N151" i="3" s="1"/>
  <c r="C151" i="3"/>
  <c r="G33" i="52252"/>
  <c r="T150" i="3" l="1"/>
  <c r="V150" i="3" s="1"/>
  <c r="U149" i="3"/>
  <c r="U150" i="3"/>
  <c r="P151" i="3"/>
  <c r="Q151" i="3" s="1"/>
  <c r="R151" i="3" s="1"/>
  <c r="H33" i="52252" s="1"/>
  <c r="E151" i="3"/>
  <c r="G151" i="3" s="1"/>
  <c r="I151" i="3" s="1"/>
  <c r="D151" i="3"/>
  <c r="F151" i="3" s="1"/>
  <c r="E153" i="3"/>
  <c r="D153" i="3"/>
  <c r="F153" i="3" s="1"/>
  <c r="K153" i="3"/>
  <c r="A154" i="3"/>
  <c r="D152" i="3"/>
  <c r="F152" i="3" s="1"/>
  <c r="E152" i="3"/>
  <c r="L152" i="3"/>
  <c r="N152" i="3" s="1"/>
  <c r="M152" i="3"/>
  <c r="O152" i="3" s="1"/>
  <c r="T151" i="3"/>
  <c r="S151" i="3" l="1"/>
  <c r="H151" i="3"/>
  <c r="J151" i="3" s="1"/>
  <c r="P152" i="3"/>
  <c r="Q152" i="3" s="1"/>
  <c r="R152" i="3" s="1"/>
  <c r="T152" i="3" s="1"/>
  <c r="M153" i="3"/>
  <c r="O153" i="3" s="1"/>
  <c r="L153" i="3"/>
  <c r="N153" i="3" s="1"/>
  <c r="G153" i="3"/>
  <c r="I153" i="3" s="1"/>
  <c r="H153" i="3"/>
  <c r="J153" i="3" s="1"/>
  <c r="J33" i="52252"/>
  <c r="O33" i="52252" s="1"/>
  <c r="G152" i="3"/>
  <c r="I152" i="3" s="1"/>
  <c r="H152" i="3"/>
  <c r="B154" i="3"/>
  <c r="C154" i="3" s="1"/>
  <c r="K154" i="3"/>
  <c r="A155" i="3"/>
  <c r="U151" i="3"/>
  <c r="V151" i="3"/>
  <c r="I33" i="52252"/>
  <c r="J152" i="3" l="1"/>
  <c r="S152" i="3"/>
  <c r="P153" i="3"/>
  <c r="Q153" i="3" s="1"/>
  <c r="R153" i="3" s="1"/>
  <c r="S153" i="3" s="1"/>
  <c r="K155" i="3"/>
  <c r="A156" i="3"/>
  <c r="B155" i="3"/>
  <c r="C155" i="3" s="1"/>
  <c r="D154" i="3"/>
  <c r="F154" i="3" s="1"/>
  <c r="E154" i="3"/>
  <c r="G154" i="3" s="1"/>
  <c r="I154" i="3" s="1"/>
  <c r="U152" i="3"/>
  <c r="M154" i="3"/>
  <c r="O154" i="3" s="1"/>
  <c r="L154" i="3"/>
  <c r="N154" i="3" s="1"/>
  <c r="V152" i="3"/>
  <c r="T153" i="3"/>
  <c r="K33" i="52252"/>
  <c r="M33" i="52252" s="1"/>
  <c r="P154" i="3" l="1"/>
  <c r="Q154" i="3" s="1"/>
  <c r="R154" i="3" s="1"/>
  <c r="S154" i="3" s="1"/>
  <c r="H154" i="3"/>
  <c r="J154" i="3" s="1"/>
  <c r="E155" i="3"/>
  <c r="D155" i="3"/>
  <c r="F155" i="3" s="1"/>
  <c r="L155" i="3"/>
  <c r="N155" i="3" s="1"/>
  <c r="M155" i="3"/>
  <c r="O155" i="3" s="1"/>
  <c r="B156" i="3"/>
  <c r="K156" i="3"/>
  <c r="A157" i="3"/>
  <c r="V153" i="3"/>
  <c r="U153" i="3"/>
  <c r="T154" i="3" l="1"/>
  <c r="V154" i="3" s="1"/>
  <c r="P155" i="3"/>
  <c r="Q155" i="3" s="1"/>
  <c r="R155" i="3" s="1"/>
  <c r="S155" i="3" s="1"/>
  <c r="B157" i="3"/>
  <c r="C157" i="3" s="1"/>
  <c r="A158" i="3"/>
  <c r="K157" i="3"/>
  <c r="C156" i="3"/>
  <c r="G34" i="52252"/>
  <c r="L156" i="3"/>
  <c r="N156" i="3" s="1"/>
  <c r="M156" i="3"/>
  <c r="O156" i="3" s="1"/>
  <c r="G155" i="3"/>
  <c r="I155" i="3" s="1"/>
  <c r="H155" i="3"/>
  <c r="T155" i="3" l="1"/>
  <c r="J155" i="3"/>
  <c r="U154" i="3"/>
  <c r="P156" i="3"/>
  <c r="Q156" i="3" s="1"/>
  <c r="R156" i="3" s="1"/>
  <c r="H34" i="52252" s="1"/>
  <c r="L157" i="3"/>
  <c r="N157" i="3" s="1"/>
  <c r="M157" i="3"/>
  <c r="O157" i="3" s="1"/>
  <c r="E157" i="3"/>
  <c r="G157" i="3" s="1"/>
  <c r="I157" i="3" s="1"/>
  <c r="D157" i="3"/>
  <c r="F157" i="3" s="1"/>
  <c r="E156" i="3"/>
  <c r="D156" i="3"/>
  <c r="F156" i="3" s="1"/>
  <c r="B158" i="3"/>
  <c r="C158" i="3" s="1"/>
  <c r="A159" i="3"/>
  <c r="K158" i="3"/>
  <c r="V155" i="3"/>
  <c r="U155" i="3"/>
  <c r="T156" i="3" l="1"/>
  <c r="H157" i="3"/>
  <c r="J157" i="3" s="1"/>
  <c r="S156" i="3"/>
  <c r="B159" i="3"/>
  <c r="C159" i="3" s="1"/>
  <c r="K159" i="3"/>
  <c r="A160" i="3"/>
  <c r="P157" i="3"/>
  <c r="Q157" i="3" s="1"/>
  <c r="R157" i="3" s="1"/>
  <c r="S157" i="3" s="1"/>
  <c r="L158" i="3"/>
  <c r="N158" i="3" s="1"/>
  <c r="M158" i="3"/>
  <c r="O158" i="3" s="1"/>
  <c r="D158" i="3"/>
  <c r="F158" i="3" s="1"/>
  <c r="E158" i="3"/>
  <c r="G158" i="3" s="1"/>
  <c r="I158" i="3" s="1"/>
  <c r="G156" i="3"/>
  <c r="I156" i="3" s="1"/>
  <c r="V156" i="3" s="1"/>
  <c r="H156" i="3"/>
  <c r="U156" i="3" s="1"/>
  <c r="I34" i="52252"/>
  <c r="P158" i="3" l="1"/>
  <c r="Q158" i="3" s="1"/>
  <c r="R158" i="3" s="1"/>
  <c r="S158" i="3" s="1"/>
  <c r="T157" i="3"/>
  <c r="J156" i="3"/>
  <c r="J34" i="52252"/>
  <c r="O34" i="52252" s="1"/>
  <c r="K160" i="3"/>
  <c r="A161" i="3"/>
  <c r="B160" i="3"/>
  <c r="C160" i="3" s="1"/>
  <c r="D159" i="3"/>
  <c r="F159" i="3" s="1"/>
  <c r="E159" i="3"/>
  <c r="G159" i="3" s="1"/>
  <c r="I159" i="3" s="1"/>
  <c r="H158" i="3"/>
  <c r="J158" i="3" s="1"/>
  <c r="M159" i="3"/>
  <c r="O159" i="3" s="1"/>
  <c r="L159" i="3"/>
  <c r="N159" i="3" s="1"/>
  <c r="T158" i="3"/>
  <c r="K34" i="52252" l="1"/>
  <c r="M34" i="52252" s="1"/>
  <c r="U158" i="3"/>
  <c r="U157" i="3"/>
  <c r="V157" i="3"/>
  <c r="H159" i="3"/>
  <c r="J159" i="3" s="1"/>
  <c r="D160" i="3"/>
  <c r="F160" i="3" s="1"/>
  <c r="E160" i="3"/>
  <c r="M160" i="3"/>
  <c r="O160" i="3" s="1"/>
  <c r="L160" i="3"/>
  <c r="N160" i="3" s="1"/>
  <c r="V158" i="3"/>
  <c r="P159" i="3"/>
  <c r="Q159" i="3" s="1"/>
  <c r="R159" i="3" s="1"/>
  <c r="S159" i="3" s="1"/>
  <c r="A162" i="3"/>
  <c r="B161" i="3"/>
  <c r="K161" i="3"/>
  <c r="P160" i="3" l="1"/>
  <c r="Q160" i="3" s="1"/>
  <c r="R160" i="3" s="1"/>
  <c r="S160" i="3" s="1"/>
  <c r="G35" i="52252"/>
  <c r="C161" i="3"/>
  <c r="M161" i="3"/>
  <c r="O161" i="3" s="1"/>
  <c r="L161" i="3"/>
  <c r="N161" i="3" s="1"/>
  <c r="B162" i="3"/>
  <c r="C162" i="3" s="1"/>
  <c r="K162" i="3"/>
  <c r="A163" i="3"/>
  <c r="T159" i="3"/>
  <c r="G160" i="3"/>
  <c r="I160" i="3" s="1"/>
  <c r="H160" i="3"/>
  <c r="J160" i="3" s="1"/>
  <c r="T160" i="3" l="1"/>
  <c r="P161" i="3"/>
  <c r="Q161" i="3" s="1"/>
  <c r="R161" i="3" s="1"/>
  <c r="T161" i="3" s="1"/>
  <c r="V159" i="3"/>
  <c r="U159" i="3"/>
  <c r="A164" i="3"/>
  <c r="B163" i="3"/>
  <c r="C163" i="3" s="1"/>
  <c r="K163" i="3"/>
  <c r="D162" i="3"/>
  <c r="F162" i="3" s="1"/>
  <c r="E162" i="3"/>
  <c r="M162" i="3"/>
  <c r="O162" i="3" s="1"/>
  <c r="L162" i="3"/>
  <c r="N162" i="3" s="1"/>
  <c r="E161" i="3"/>
  <c r="D161" i="3"/>
  <c r="F161" i="3" s="1"/>
  <c r="V160" i="3"/>
  <c r="U160" i="3"/>
  <c r="H35" i="52252" l="1"/>
  <c r="I35" i="52252" s="1"/>
  <c r="S161" i="3"/>
  <c r="P162" i="3"/>
  <c r="Q162" i="3" s="1"/>
  <c r="R162" i="3" s="1"/>
  <c r="S162" i="3" s="1"/>
  <c r="G161" i="3"/>
  <c r="I161" i="3" s="1"/>
  <c r="V161" i="3" s="1"/>
  <c r="H161" i="3"/>
  <c r="D163" i="3"/>
  <c r="F163" i="3" s="1"/>
  <c r="E163" i="3"/>
  <c r="G162" i="3"/>
  <c r="I162" i="3" s="1"/>
  <c r="H162" i="3"/>
  <c r="L163" i="3"/>
  <c r="N163" i="3" s="1"/>
  <c r="M163" i="3"/>
  <c r="O163" i="3" s="1"/>
  <c r="B164" i="3"/>
  <c r="C164" i="3" s="1"/>
  <c r="A165" i="3"/>
  <c r="K164" i="3"/>
  <c r="T162" i="3"/>
  <c r="J162" i="3" l="1"/>
  <c r="P163" i="3"/>
  <c r="Q163" i="3" s="1"/>
  <c r="R163" i="3" s="1"/>
  <c r="S163" i="3" s="1"/>
  <c r="M164" i="3"/>
  <c r="O164" i="3" s="1"/>
  <c r="L164" i="3"/>
  <c r="N164" i="3" s="1"/>
  <c r="E164" i="3"/>
  <c r="G164" i="3" s="1"/>
  <c r="I164" i="3" s="1"/>
  <c r="D164" i="3"/>
  <c r="F164" i="3" s="1"/>
  <c r="H164" i="3"/>
  <c r="J164" i="3" s="1"/>
  <c r="A166" i="3"/>
  <c r="K165" i="3"/>
  <c r="B165" i="3"/>
  <c r="C165" i="3" s="1"/>
  <c r="G163" i="3"/>
  <c r="I163" i="3" s="1"/>
  <c r="H163" i="3"/>
  <c r="J161" i="3"/>
  <c r="U161" i="3"/>
  <c r="J35" i="52252"/>
  <c r="O35" i="52252" s="1"/>
  <c r="V162" i="3"/>
  <c r="U162" i="3"/>
  <c r="T163" i="3"/>
  <c r="J163" i="3" l="1"/>
  <c r="P164" i="3"/>
  <c r="Q164" i="3" s="1"/>
  <c r="R164" i="3" s="1"/>
  <c r="S164" i="3" s="1"/>
  <c r="K35" i="52252"/>
  <c r="M35" i="52252" s="1"/>
  <c r="L165" i="3"/>
  <c r="N165" i="3" s="1"/>
  <c r="M165" i="3"/>
  <c r="O165" i="3" s="1"/>
  <c r="E165" i="3"/>
  <c r="D165" i="3"/>
  <c r="F165" i="3" s="1"/>
  <c r="K166" i="3"/>
  <c r="B166" i="3"/>
  <c r="A167" i="3"/>
  <c r="V163" i="3"/>
  <c r="U163" i="3"/>
  <c r="T164" i="3" l="1"/>
  <c r="V164" i="3" s="1"/>
  <c r="P165" i="3"/>
  <c r="Q165" i="3" s="1"/>
  <c r="R165" i="3" s="1"/>
  <c r="S165" i="3" s="1"/>
  <c r="B167" i="3"/>
  <c r="C167" i="3" s="1"/>
  <c r="K167" i="3"/>
  <c r="A168" i="3"/>
  <c r="M166" i="3"/>
  <c r="O166" i="3" s="1"/>
  <c r="L166" i="3"/>
  <c r="N166" i="3" s="1"/>
  <c r="G165" i="3"/>
  <c r="I165" i="3" s="1"/>
  <c r="H165" i="3"/>
  <c r="G36" i="52252"/>
  <c r="C166" i="3"/>
  <c r="U164" i="3" l="1"/>
  <c r="J165" i="3"/>
  <c r="T165" i="3"/>
  <c r="U165" i="3" s="1"/>
  <c r="P166" i="3"/>
  <c r="Q166" i="3" s="1"/>
  <c r="R166" i="3" s="1"/>
  <c r="H36" i="52252" s="1"/>
  <c r="E166" i="3"/>
  <c r="D166" i="3"/>
  <c r="F166" i="3" s="1"/>
  <c r="B168" i="3"/>
  <c r="C168" i="3" s="1"/>
  <c r="K168" i="3"/>
  <c r="A169" i="3"/>
  <c r="E167" i="3"/>
  <c r="G167" i="3" s="1"/>
  <c r="I167" i="3" s="1"/>
  <c r="D167" i="3"/>
  <c r="F167" i="3" s="1"/>
  <c r="M167" i="3"/>
  <c r="O167" i="3" s="1"/>
  <c r="L167" i="3"/>
  <c r="N167" i="3" s="1"/>
  <c r="T166" i="3" l="1"/>
  <c r="S166" i="3"/>
  <c r="V165" i="3"/>
  <c r="H167" i="3"/>
  <c r="J167" i="3" s="1"/>
  <c r="P167" i="3"/>
  <c r="Q167" i="3" s="1"/>
  <c r="R167" i="3" s="1"/>
  <c r="S167" i="3" s="1"/>
  <c r="B169" i="3"/>
  <c r="C169" i="3" s="1"/>
  <c r="K169" i="3"/>
  <c r="A170" i="3"/>
  <c r="D168" i="3"/>
  <c r="F168" i="3" s="1"/>
  <c r="E168" i="3"/>
  <c r="G168" i="3" s="1"/>
  <c r="I168" i="3" s="1"/>
  <c r="G166" i="3"/>
  <c r="I166" i="3" s="1"/>
  <c r="H166" i="3"/>
  <c r="L168" i="3"/>
  <c r="N168" i="3" s="1"/>
  <c r="M168" i="3"/>
  <c r="O168" i="3" s="1"/>
  <c r="U166" i="3"/>
  <c r="I36" i="52252"/>
  <c r="V166" i="3" l="1"/>
  <c r="H168" i="3"/>
  <c r="J168" i="3" s="1"/>
  <c r="T167" i="3"/>
  <c r="U167" i="3" s="1"/>
  <c r="K170" i="3"/>
  <c r="A171" i="3"/>
  <c r="B170" i="3"/>
  <c r="C170" i="3" s="1"/>
  <c r="D169" i="3"/>
  <c r="F169" i="3" s="1"/>
  <c r="E169" i="3"/>
  <c r="G169" i="3" s="1"/>
  <c r="I169" i="3" s="1"/>
  <c r="P168" i="3"/>
  <c r="Q168" i="3" s="1"/>
  <c r="R168" i="3" s="1"/>
  <c r="S168" i="3" s="1"/>
  <c r="J166" i="3"/>
  <c r="J36" i="52252"/>
  <c r="O36" i="52252" s="1"/>
  <c r="L169" i="3"/>
  <c r="N169" i="3" s="1"/>
  <c r="M169" i="3"/>
  <c r="O169" i="3" s="1"/>
  <c r="V167" i="3" l="1"/>
  <c r="T168" i="3"/>
  <c r="V168" i="3" s="1"/>
  <c r="P169" i="3"/>
  <c r="Q169" i="3" s="1"/>
  <c r="R169" i="3" s="1"/>
  <c r="S169" i="3" s="1"/>
  <c r="K36" i="52252"/>
  <c r="M36" i="52252" s="1"/>
  <c r="H169" i="3"/>
  <c r="J169" i="3" s="1"/>
  <c r="D170" i="3"/>
  <c r="F170" i="3" s="1"/>
  <c r="E170" i="3"/>
  <c r="L170" i="3"/>
  <c r="N170" i="3" s="1"/>
  <c r="M170" i="3"/>
  <c r="O170" i="3" s="1"/>
  <c r="K171" i="3"/>
  <c r="A172" i="3"/>
  <c r="B171" i="3"/>
  <c r="T169" i="3" l="1"/>
  <c r="U169" i="3" s="1"/>
  <c r="U168" i="3"/>
  <c r="G37" i="52252"/>
  <c r="C171" i="3"/>
  <c r="L171" i="3"/>
  <c r="N171" i="3" s="1"/>
  <c r="M171" i="3"/>
  <c r="O171" i="3" s="1"/>
  <c r="P170" i="3"/>
  <c r="Q170" i="3" s="1"/>
  <c r="R170" i="3" s="1"/>
  <c r="S170" i="3" s="1"/>
  <c r="B172" i="3"/>
  <c r="C172" i="3" s="1"/>
  <c r="K172" i="3"/>
  <c r="A173" i="3"/>
  <c r="G170" i="3"/>
  <c r="I170" i="3" s="1"/>
  <c r="H170" i="3"/>
  <c r="J170" i="3" s="1"/>
  <c r="V169" i="3" l="1"/>
  <c r="T170" i="3"/>
  <c r="V170" i="3" s="1"/>
  <c r="P171" i="3"/>
  <c r="Q171" i="3" s="1"/>
  <c r="R171" i="3" s="1"/>
  <c r="T171" i="3" s="1"/>
  <c r="A174" i="3"/>
  <c r="K173" i="3"/>
  <c r="E172" i="3"/>
  <c r="G172" i="3" s="1"/>
  <c r="I172" i="3" s="1"/>
  <c r="D172" i="3"/>
  <c r="F172" i="3" s="1"/>
  <c r="H172" i="3"/>
  <c r="D171" i="3"/>
  <c r="F171" i="3" s="1"/>
  <c r="E171" i="3"/>
  <c r="B173" i="3"/>
  <c r="C173" i="3" s="1"/>
  <c r="M172" i="3"/>
  <c r="O172" i="3" s="1"/>
  <c r="L172" i="3"/>
  <c r="N172" i="3" s="1"/>
  <c r="J172" i="3" l="1"/>
  <c r="S171" i="3"/>
  <c r="U170" i="3"/>
  <c r="H37" i="52252"/>
  <c r="I37" i="52252" s="1"/>
  <c r="P172" i="3"/>
  <c r="L173" i="3"/>
  <c r="N173" i="3" s="1"/>
  <c r="M173" i="3"/>
  <c r="O173" i="3" s="1"/>
  <c r="Q172" i="3"/>
  <c r="R172" i="3" s="1"/>
  <c r="E173" i="3"/>
  <c r="D173" i="3"/>
  <c r="F173" i="3" s="1"/>
  <c r="G171" i="3"/>
  <c r="I171" i="3" s="1"/>
  <c r="V171" i="3" s="1"/>
  <c r="H171" i="3"/>
  <c r="B174" i="3"/>
  <c r="C174" i="3" s="1"/>
  <c r="A175" i="3"/>
  <c r="K174" i="3"/>
  <c r="P173" i="3" l="1"/>
  <c r="Q173" i="3" s="1"/>
  <c r="R173" i="3" s="1"/>
  <c r="S173" i="3" s="1"/>
  <c r="B175" i="3"/>
  <c r="C175" i="3" s="1"/>
  <c r="K175" i="3"/>
  <c r="A176" i="3"/>
  <c r="J37" i="52252"/>
  <c r="O37" i="52252" s="1"/>
  <c r="U171" i="3"/>
  <c r="J171" i="3"/>
  <c r="S172" i="3"/>
  <c r="T172" i="3"/>
  <c r="L174" i="3"/>
  <c r="N174" i="3" s="1"/>
  <c r="M174" i="3"/>
  <c r="O174" i="3" s="1"/>
  <c r="D174" i="3"/>
  <c r="F174" i="3" s="1"/>
  <c r="E174" i="3"/>
  <c r="G174" i="3" s="1"/>
  <c r="I174" i="3" s="1"/>
  <c r="G173" i="3"/>
  <c r="I173" i="3" s="1"/>
  <c r="H173" i="3"/>
  <c r="J173" i="3" s="1"/>
  <c r="T173" i="3" l="1"/>
  <c r="V173" i="3" s="1"/>
  <c r="K37" i="52252"/>
  <c r="M37" i="52252" s="1"/>
  <c r="H174" i="3"/>
  <c r="J174" i="3" s="1"/>
  <c r="P174" i="3"/>
  <c r="Q174" i="3" s="1"/>
  <c r="R174" i="3" s="1"/>
  <c r="S174" i="3" s="1"/>
  <c r="B176" i="3"/>
  <c r="A177" i="3"/>
  <c r="K176" i="3"/>
  <c r="D175" i="3"/>
  <c r="F175" i="3" s="1"/>
  <c r="E175" i="3"/>
  <c r="V172" i="3"/>
  <c r="U172" i="3"/>
  <c r="M175" i="3"/>
  <c r="O175" i="3" s="1"/>
  <c r="L175" i="3"/>
  <c r="N175" i="3" s="1"/>
  <c r="U173" i="3" l="1"/>
  <c r="T174" i="3"/>
  <c r="V174" i="3" s="1"/>
  <c r="P175" i="3"/>
  <c r="Q175" i="3" s="1"/>
  <c r="R175" i="3" s="1"/>
  <c r="T175" i="3" s="1"/>
  <c r="L176" i="3"/>
  <c r="N176" i="3" s="1"/>
  <c r="M176" i="3"/>
  <c r="O176" i="3" s="1"/>
  <c r="C176" i="3"/>
  <c r="G38" i="52252"/>
  <c r="G175" i="3"/>
  <c r="I175" i="3" s="1"/>
  <c r="H175" i="3"/>
  <c r="B177" i="3"/>
  <c r="C177" i="3" s="1"/>
  <c r="A178" i="3"/>
  <c r="K177" i="3"/>
  <c r="J175" i="3" l="1"/>
  <c r="P176" i="3"/>
  <c r="Q176" i="3" s="1"/>
  <c r="R176" i="3" s="1"/>
  <c r="S176" i="3" s="1"/>
  <c r="U174" i="3"/>
  <c r="S175" i="3"/>
  <c r="L177" i="3"/>
  <c r="N177" i="3" s="1"/>
  <c r="M177" i="3"/>
  <c r="O177" i="3" s="1"/>
  <c r="E177" i="3"/>
  <c r="G177" i="3" s="1"/>
  <c r="I177" i="3" s="1"/>
  <c r="D177" i="3"/>
  <c r="F177" i="3" s="1"/>
  <c r="D176" i="3"/>
  <c r="F176" i="3" s="1"/>
  <c r="E176" i="3"/>
  <c r="G176" i="3" s="1"/>
  <c r="I176" i="3" s="1"/>
  <c r="B178" i="3"/>
  <c r="C178" i="3" s="1"/>
  <c r="A179" i="3"/>
  <c r="K178" i="3"/>
  <c r="U175" i="3"/>
  <c r="V175" i="3"/>
  <c r="T176" i="3"/>
  <c r="H177" i="3" l="1"/>
  <c r="J177" i="3" s="1"/>
  <c r="H38" i="52252"/>
  <c r="I38" i="52252" s="1"/>
  <c r="P177" i="3"/>
  <c r="Q177" i="3" s="1"/>
  <c r="R177" i="3" s="1"/>
  <c r="S177" i="3" s="1"/>
  <c r="K179" i="3"/>
  <c r="A180" i="3"/>
  <c r="H176" i="3"/>
  <c r="U176" i="3" s="1"/>
  <c r="B179" i="3"/>
  <c r="C179" i="3" s="1"/>
  <c r="L178" i="3"/>
  <c r="N178" i="3" s="1"/>
  <c r="M178" i="3"/>
  <c r="O178" i="3" s="1"/>
  <c r="E178" i="3"/>
  <c r="G178" i="3" s="1"/>
  <c r="I178" i="3" s="1"/>
  <c r="D178" i="3"/>
  <c r="F178" i="3" s="1"/>
  <c r="V176" i="3"/>
  <c r="T177" i="3" l="1"/>
  <c r="V177" i="3" s="1"/>
  <c r="P178" i="3"/>
  <c r="Q178" i="3" s="1"/>
  <c r="R178" i="3" s="1"/>
  <c r="S178" i="3" s="1"/>
  <c r="H178" i="3"/>
  <c r="J178" i="3" s="1"/>
  <c r="J38" i="52252"/>
  <c r="O38" i="52252" s="1"/>
  <c r="J176" i="3"/>
  <c r="L179" i="3"/>
  <c r="N179" i="3" s="1"/>
  <c r="M179" i="3"/>
  <c r="O179" i="3" s="1"/>
  <c r="E179" i="3"/>
  <c r="D179" i="3"/>
  <c r="F179" i="3" s="1"/>
  <c r="K180" i="3"/>
  <c r="A181" i="3"/>
  <c r="B180" i="3"/>
  <c r="C180" i="3" s="1"/>
  <c r="K38" i="52252" l="1"/>
  <c r="M38" i="52252" s="1"/>
  <c r="U177" i="3"/>
  <c r="T178" i="3"/>
  <c r="U178" i="3" s="1"/>
  <c r="P179" i="3"/>
  <c r="Q179" i="3" s="1"/>
  <c r="R179" i="3" s="1"/>
  <c r="S179" i="3" s="1"/>
  <c r="D180" i="3"/>
  <c r="F180" i="3" s="1"/>
  <c r="E180" i="3"/>
  <c r="L180" i="3"/>
  <c r="N180" i="3" s="1"/>
  <c r="M180" i="3"/>
  <c r="O180" i="3" s="1"/>
  <c r="G179" i="3"/>
  <c r="I179" i="3" s="1"/>
  <c r="H179" i="3"/>
  <c r="B181" i="3"/>
  <c r="A182" i="3"/>
  <c r="K181" i="3"/>
  <c r="T179" i="3" l="1"/>
  <c r="J179" i="3"/>
  <c r="V178" i="3"/>
  <c r="V179" i="3"/>
  <c r="P180" i="3"/>
  <c r="Q180" i="3" s="1"/>
  <c r="R180" i="3" s="1"/>
  <c r="T180" i="3" s="1"/>
  <c r="U179" i="3"/>
  <c r="B182" i="3"/>
  <c r="C182" i="3" s="1"/>
  <c r="K182" i="3"/>
  <c r="A183" i="3"/>
  <c r="B183" i="3" s="1"/>
  <c r="C183" i="3" s="1"/>
  <c r="M181" i="3"/>
  <c r="O181" i="3" s="1"/>
  <c r="L181" i="3"/>
  <c r="N181" i="3" s="1"/>
  <c r="C181" i="3"/>
  <c r="G39" i="52252"/>
  <c r="G180" i="3"/>
  <c r="I180" i="3" s="1"/>
  <c r="H180" i="3"/>
  <c r="J180" i="3" l="1"/>
  <c r="S180" i="3"/>
  <c r="D183" i="3"/>
  <c r="F183" i="3" s="1"/>
  <c r="E183" i="3"/>
  <c r="G183" i="3" s="1"/>
  <c r="I183" i="3" s="1"/>
  <c r="P181" i="3"/>
  <c r="Q181" i="3" s="1"/>
  <c r="R181" i="3" s="1"/>
  <c r="S181" i="3" s="1"/>
  <c r="E181" i="3"/>
  <c r="G181" i="3" s="1"/>
  <c r="I181" i="3" s="1"/>
  <c r="D181" i="3"/>
  <c r="F181" i="3" s="1"/>
  <c r="K183" i="3"/>
  <c r="A184" i="3"/>
  <c r="D182" i="3"/>
  <c r="F182" i="3" s="1"/>
  <c r="E182" i="3"/>
  <c r="G182" i="3" s="1"/>
  <c r="I182" i="3" s="1"/>
  <c r="L182" i="3"/>
  <c r="N182" i="3" s="1"/>
  <c r="M182" i="3"/>
  <c r="O182" i="3" s="1"/>
  <c r="H183" i="3"/>
  <c r="J183" i="3" s="1"/>
  <c r="V180" i="3"/>
  <c r="U180" i="3"/>
  <c r="H39" i="52252" l="1"/>
  <c r="I40" i="52252" s="1"/>
  <c r="H181" i="3"/>
  <c r="J181" i="3" s="1"/>
  <c r="H182" i="3"/>
  <c r="J182" i="3" s="1"/>
  <c r="T181" i="3"/>
  <c r="V181" i="3" s="1"/>
  <c r="P182" i="3"/>
  <c r="Q182" i="3" s="1"/>
  <c r="R182" i="3" s="1"/>
  <c r="S182" i="3" s="1"/>
  <c r="B184" i="3"/>
  <c r="C184" i="3" s="1"/>
  <c r="A185" i="3"/>
  <c r="K184" i="3"/>
  <c r="M183" i="3"/>
  <c r="O183" i="3" s="1"/>
  <c r="L183" i="3"/>
  <c r="N183" i="3" s="1"/>
  <c r="J39" i="52252" l="1"/>
  <c r="O39" i="52252" s="1"/>
  <c r="I39" i="52252"/>
  <c r="T182" i="3"/>
  <c r="U182" i="3" s="1"/>
  <c r="U181" i="3"/>
  <c r="L184" i="3"/>
  <c r="N184" i="3" s="1"/>
  <c r="M184" i="3"/>
  <c r="O184" i="3" s="1"/>
  <c r="E184" i="3"/>
  <c r="G184" i="3" s="1"/>
  <c r="I184" i="3" s="1"/>
  <c r="D184" i="3"/>
  <c r="F184" i="3" s="1"/>
  <c r="P183" i="3"/>
  <c r="Q183" i="3" s="1"/>
  <c r="R183" i="3" s="1"/>
  <c r="S183" i="3" s="1"/>
  <c r="B185" i="3"/>
  <c r="C185" i="3" s="1"/>
  <c r="B186" i="3"/>
  <c r="K185" i="3"/>
  <c r="V182" i="3" l="1"/>
  <c r="K39" i="52252"/>
  <c r="M39" i="52252" s="1"/>
  <c r="H184" i="3"/>
  <c r="J184" i="3" s="1"/>
  <c r="P184" i="3"/>
  <c r="Q184" i="3" s="1"/>
  <c r="R184" i="3" s="1"/>
  <c r="T184" i="3" s="1"/>
  <c r="L185" i="3"/>
  <c r="N185" i="3" s="1"/>
  <c r="M185" i="3"/>
  <c r="O185" i="3" s="1"/>
  <c r="E185" i="3"/>
  <c r="G185" i="3" s="1"/>
  <c r="I185" i="3" s="1"/>
  <c r="D185" i="3"/>
  <c r="F185" i="3" s="1"/>
  <c r="C186" i="3"/>
  <c r="G40" i="52252"/>
  <c r="D43" i="52252"/>
  <c r="T183" i="3"/>
  <c r="V183" i="3" s="1"/>
  <c r="S184" i="3" l="1"/>
  <c r="U183" i="3"/>
  <c r="P185" i="3"/>
  <c r="Q185" i="3" s="1"/>
  <c r="R185" i="3" s="1"/>
  <c r="S185" i="3" s="1"/>
  <c r="H185" i="3"/>
  <c r="J185" i="3" s="1"/>
  <c r="D186" i="3"/>
  <c r="F186" i="3" s="1"/>
  <c r="E186" i="3"/>
  <c r="T186" i="3"/>
  <c r="V184" i="3"/>
  <c r="U184" i="3"/>
  <c r="T185" i="3" l="1"/>
  <c r="U185" i="3" s="1"/>
  <c r="G186" i="3"/>
  <c r="I186" i="3" s="1"/>
  <c r="V186" i="3" s="1"/>
  <c r="H186" i="3"/>
  <c r="U186" i="3" s="1"/>
  <c r="T187" i="3"/>
  <c r="V185" i="3" l="1"/>
  <c r="J40" i="52252"/>
  <c r="J186" i="3"/>
  <c r="U187" i="3"/>
  <c r="V187" i="3"/>
  <c r="V189" i="3" s="1"/>
  <c r="O40" i="52252" l="1"/>
  <c r="K40" i="52252"/>
  <c r="M40" i="52252" s="1"/>
  <c r="U189" i="3"/>
  <c r="V42" i="52252" s="1"/>
  <c r="V190" i="3"/>
  <c r="V191" i="3"/>
  <c r="V192" i="3"/>
  <c r="K41" i="52252" l="1"/>
  <c r="D16" i="52252" s="1"/>
  <c r="F21" i="2" s="1"/>
  <c r="U190" i="3"/>
  <c r="U191" i="3"/>
  <c r="U192" i="3"/>
  <c r="U42" i="52252"/>
  <c r="L18" i="52252" l="1"/>
  <c r="L19" i="52252" s="1"/>
  <c r="L20" i="52252" s="1"/>
  <c r="L21" i="52252" s="1"/>
  <c r="L22" i="52252" s="1"/>
  <c r="L23" i="52252" s="1"/>
  <c r="L24" i="52252" s="1"/>
  <c r="L25" i="52252" s="1"/>
  <c r="L26" i="52252" s="1"/>
  <c r="L27" i="52252" s="1"/>
  <c r="L28" i="52252" s="1"/>
  <c r="L29" i="52252" s="1"/>
  <c r="L30" i="52252" s="1"/>
  <c r="L31" i="52252" s="1"/>
  <c r="L32" i="52252" s="1"/>
  <c r="L33" i="52252" s="1"/>
  <c r="L34" i="52252" s="1"/>
  <c r="L35" i="52252" s="1"/>
  <c r="L36" i="52252" s="1"/>
  <c r="L37" i="52252" s="1"/>
  <c r="L38" i="52252" s="1"/>
  <c r="L39" i="52252" s="1"/>
  <c r="L40" i="52252" s="1"/>
  <c r="D17" i="52252"/>
  <c r="F24" i="2" s="1"/>
  <c r="M41" i="52252"/>
  <c r="N18" i="52252" s="1"/>
  <c r="N19" i="52252" s="1"/>
  <c r="N20" i="52252" s="1"/>
  <c r="N21" i="52252" s="1"/>
  <c r="N22" i="52252" s="1"/>
  <c r="N23" i="52252" s="1"/>
  <c r="N24" i="52252" s="1"/>
  <c r="N25" i="52252" s="1"/>
  <c r="N26" i="52252" s="1"/>
  <c r="N27" i="52252" s="1"/>
  <c r="N28" i="52252" s="1"/>
  <c r="N29" i="52252" s="1"/>
  <c r="N30" i="52252" s="1"/>
  <c r="N31" i="52252" s="1"/>
  <c r="N32" i="52252" s="1"/>
  <c r="N33" i="52252" s="1"/>
  <c r="N34" i="52252" s="1"/>
  <c r="N35" i="52252" s="1"/>
  <c r="N36" i="52252" s="1"/>
  <c r="N37" i="52252" s="1"/>
  <c r="N38" i="52252" s="1"/>
  <c r="N39" i="52252" s="1"/>
  <c r="N40" i="52252" s="1"/>
  <c r="D18" i="52252"/>
  <c r="H24" i="2" s="1"/>
</calcChain>
</file>

<file path=xl/sharedStrings.xml><?xml version="1.0" encoding="utf-8"?>
<sst xmlns="http://schemas.openxmlformats.org/spreadsheetml/2006/main" count="338" uniqueCount="267">
  <si>
    <t>mm</t>
  </si>
  <si>
    <t>Capaciteit</t>
  </si>
  <si>
    <t>°C</t>
  </si>
  <si>
    <t>m/s</t>
  </si>
  <si>
    <t>druk</t>
  </si>
  <si>
    <t>[%]</t>
  </si>
  <si>
    <t>Druk</t>
  </si>
  <si>
    <t>Temperatuur</t>
  </si>
  <si>
    <t>Nm³/s</t>
  </si>
  <si>
    <t>Nm³/h</t>
  </si>
  <si>
    <t>INVOER</t>
  </si>
  <si>
    <t>bar(abs)</t>
  </si>
  <si>
    <t>mbar(g)</t>
  </si>
  <si>
    <t>Performance berekening Van Tongeren Cycloon.</t>
  </si>
  <si>
    <t>S.M. gas</t>
  </si>
  <si>
    <t>soortelijke massa</t>
  </si>
  <si>
    <t>kg/Nm³</t>
  </si>
  <si>
    <t>kg/am³</t>
  </si>
  <si>
    <t>S.M. stof</t>
  </si>
  <si>
    <t>kg/m³</t>
  </si>
  <si>
    <t>Stofaanbod</t>
  </si>
  <si>
    <t>stofaanbod</t>
  </si>
  <si>
    <t>g/am³</t>
  </si>
  <si>
    <t>g/Nm³</t>
  </si>
  <si>
    <t>Cycloontype</t>
  </si>
  <si>
    <t>AC</t>
  </si>
  <si>
    <t>Datum:</t>
  </si>
  <si>
    <t>VTK ref.:</t>
  </si>
  <si>
    <t>Klant ref.:</t>
  </si>
  <si>
    <t>Klant:</t>
  </si>
  <si>
    <t xml:space="preserve">Aantal cyclonen </t>
  </si>
  <si>
    <t>(parallel)</t>
  </si>
  <si>
    <t>V(in) ontwerp</t>
  </si>
  <si>
    <t>Aanbevolen diameter:</t>
  </si>
  <si>
    <t>KIES DIAMETER</t>
  </si>
  <si>
    <t>Eventuele correctie</t>
  </si>
  <si>
    <t>Hoge belading</t>
  </si>
  <si>
    <t>Neen</t>
  </si>
  <si>
    <t>Ja</t>
  </si>
  <si>
    <t>Korrelgrootteverdeling</t>
  </si>
  <si>
    <r>
      <t>Dia[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</si>
  <si>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% &gt; of&lt; D</t>
  </si>
  <si>
    <t>V(in)</t>
  </si>
  <si>
    <t>V(uit)</t>
  </si>
  <si>
    <t>Rendement</t>
  </si>
  <si>
    <t>Drukval</t>
  </si>
  <si>
    <t>Emissie</t>
  </si>
  <si>
    <t>[g/Nm³]</t>
  </si>
  <si>
    <t>Pa (abs)</t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</si>
  <si>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/s</t>
    </r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</si>
  <si>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/h</t>
    </r>
  </si>
  <si>
    <t>am³/s</t>
  </si>
  <si>
    <r>
      <t>r</t>
    </r>
    <r>
      <rPr>
        <sz val="10"/>
        <rFont val="Arial"/>
        <family val="2"/>
      </rPr>
      <t>(actual)/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>(norm)</t>
    </r>
  </si>
  <si>
    <t>% dalend of stijgend</t>
  </si>
  <si>
    <t>Cycloondiameter</t>
  </si>
  <si>
    <t>corr</t>
  </si>
  <si>
    <t>F(mod)</t>
  </si>
  <si>
    <t>[vernauwing insteekpijp]</t>
  </si>
  <si>
    <t>Berekeningsblad</t>
  </si>
  <si>
    <t xml:space="preserve">  </t>
  </si>
  <si>
    <t>kg/h</t>
  </si>
  <si>
    <t>am³/s:</t>
  </si>
  <si>
    <t>850 onderafz</t>
  </si>
  <si>
    <t>1850 onderafz</t>
  </si>
  <si>
    <t>Pa  (g)</t>
  </si>
  <si>
    <t>mm wk(g)</t>
  </si>
  <si>
    <t>A</t>
  </si>
  <si>
    <t>B</t>
  </si>
  <si>
    <t>E</t>
  </si>
  <si>
    <t>F</t>
  </si>
  <si>
    <t>F1</t>
  </si>
  <si>
    <t>L</t>
  </si>
  <si>
    <t>AC/100</t>
  </si>
  <si>
    <t>a</t>
  </si>
  <si>
    <t>a'</t>
  </si>
  <si>
    <t>d(%), µm</t>
  </si>
  <si>
    <t>m</t>
  </si>
  <si>
    <t>d(95)</t>
  </si>
  <si>
    <t>m'</t>
  </si>
  <si>
    <t>d(90)</t>
  </si>
  <si>
    <t>kappa</t>
  </si>
  <si>
    <t>d(50)</t>
  </si>
  <si>
    <t>kappa'</t>
  </si>
  <si>
    <t>d(10)</t>
  </si>
  <si>
    <t>d(5)</t>
  </si>
  <si>
    <t>Dmax</t>
  </si>
  <si>
    <t>drukcoef</t>
  </si>
  <si>
    <t>Berekeningsinfo</t>
  </si>
  <si>
    <t>[Pa],gaszijde</t>
  </si>
  <si>
    <t>[Pa], stofzijde</t>
  </si>
  <si>
    <t>per cycloon</t>
  </si>
  <si>
    <t>Dmin</t>
  </si>
  <si>
    <t>stap</t>
  </si>
  <si>
    <t>d</t>
  </si>
  <si>
    <t>k</t>
  </si>
  <si>
    <t>psdcum</t>
  </si>
  <si>
    <t>% &gt;d</t>
  </si>
  <si>
    <t>d(1)</t>
  </si>
  <si>
    <t>d(2)</t>
  </si>
  <si>
    <t>p(1)</t>
  </si>
  <si>
    <t>p(2)</t>
  </si>
  <si>
    <t>teller</t>
  </si>
  <si>
    <t xml:space="preserve">teller </t>
  </si>
  <si>
    <t>interpolatie</t>
  </si>
  <si>
    <t>psd dif</t>
  </si>
  <si>
    <t>[kg/am3]</t>
  </si>
  <si>
    <t>load</t>
  </si>
  <si>
    <t>correctie</t>
  </si>
  <si>
    <t>Gasdebiet/batterij</t>
  </si>
  <si>
    <t>Temperature</t>
  </si>
  <si>
    <t>Pressure</t>
  </si>
  <si>
    <t>[°C]</t>
  </si>
  <si>
    <t>[Nm³/s] =</t>
  </si>
  <si>
    <t>[Nm³/h]</t>
  </si>
  <si>
    <t>[am³/h]</t>
  </si>
  <si>
    <t>[am³/s] =</t>
  </si>
  <si>
    <t>Gas density</t>
  </si>
  <si>
    <t>[kg/am³]=</t>
  </si>
  <si>
    <t>[mPas]</t>
  </si>
  <si>
    <t>Solids density</t>
  </si>
  <si>
    <t>Solids loading</t>
  </si>
  <si>
    <t>[g/am³]=</t>
  </si>
  <si>
    <t>[kg/m³]</t>
  </si>
  <si>
    <t xml:space="preserve">Cyclone type </t>
  </si>
  <si>
    <t>V(out)</t>
  </si>
  <si>
    <t>[mm]</t>
  </si>
  <si>
    <t>[m/s]</t>
  </si>
  <si>
    <t>Vortexfinder modification</t>
  </si>
  <si>
    <t>DIMENSIONS [mm]</t>
  </si>
  <si>
    <t>M</t>
  </si>
  <si>
    <t>O</t>
  </si>
  <si>
    <t>P</t>
  </si>
  <si>
    <t>Q</t>
  </si>
  <si>
    <t>PERFORMANCE</t>
  </si>
  <si>
    <t>Efficiency</t>
  </si>
  <si>
    <t>Emission</t>
  </si>
  <si>
    <t>[Pa]</t>
  </si>
  <si>
    <r>
      <t>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</si>
  <si>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diameter</t>
  </si>
  <si>
    <t xml:space="preserve">class </t>
  </si>
  <si>
    <t>psd cum</t>
  </si>
  <si>
    <t>psd diff</t>
  </si>
  <si>
    <t>% of feed</t>
  </si>
  <si>
    <t>loss abs</t>
  </si>
  <si>
    <t>abs</t>
  </si>
  <si>
    <t>sum:</t>
  </si>
  <si>
    <t>[kg/Nm³]</t>
  </si>
  <si>
    <t>No. of cyclones parallel</t>
  </si>
  <si>
    <t>[g/am³]</t>
  </si>
  <si>
    <t>inlet-dust</t>
  </si>
  <si>
    <t>z</t>
  </si>
  <si>
    <t>???</t>
  </si>
  <si>
    <r>
      <t>standaard:</t>
    </r>
    <r>
      <rPr>
        <i/>
        <sz val="10"/>
        <rFont val="Arial"/>
        <family val="2"/>
      </rPr>
      <t xml:space="preserve"> Neen</t>
    </r>
  </si>
  <si>
    <t>Volume flow rate (tot).</t>
  </si>
  <si>
    <t>CYCLONE PERFORMANCE</t>
  </si>
  <si>
    <t>tot:</t>
  </si>
  <si>
    <t>Dyn. viscositeit gas</t>
  </si>
  <si>
    <t>Dynamic viscosity</t>
  </si>
  <si>
    <t>Pressure drop</t>
  </si>
  <si>
    <t>Insteekpijpmodificatie</t>
  </si>
  <si>
    <t>JA/NEE</t>
  </si>
  <si>
    <t>kg/s.cycl</t>
  </si>
  <si>
    <r>
      <t>F</t>
    </r>
    <r>
      <rPr>
        <sz val="10"/>
        <rFont val="Arial"/>
        <family val="2"/>
      </rPr>
      <t>/(F</t>
    </r>
    <r>
      <rPr>
        <vertAlign val="subscript"/>
        <sz val="10"/>
        <rFont val="Arial"/>
        <family val="2"/>
      </rPr>
      <t>std</t>
    </r>
    <r>
      <rPr>
        <sz val="10"/>
        <rFont val="Arial"/>
        <family val="2"/>
      </rPr>
      <t>);</t>
    </r>
    <r>
      <rPr>
        <sz val="8"/>
        <rFont val="Arial"/>
        <family val="2"/>
      </rPr>
      <t>gebruikelijk:1; voor AC</t>
    </r>
    <r>
      <rPr>
        <u/>
        <sz val="8"/>
        <rFont val="Arial"/>
        <family val="2"/>
      </rPr>
      <t>&lt;</t>
    </r>
    <r>
      <rPr>
        <sz val="8"/>
        <rFont val="Arial"/>
        <family val="2"/>
      </rPr>
      <t>435 evt.getal tussen 0.8 en 1)</t>
    </r>
  </si>
  <si>
    <r>
      <t xml:space="preserve">mPas </t>
    </r>
    <r>
      <rPr>
        <sz val="8"/>
        <rFont val="Arial"/>
        <family val="2"/>
      </rPr>
      <t>of</t>
    </r>
    <r>
      <rPr>
        <sz val="10"/>
        <rFont val="Arial"/>
        <family val="2"/>
      </rPr>
      <t xml:space="preserve"> cP; [let op: lucht bij 20° waarde:0.0181]</t>
    </r>
  </si>
  <si>
    <t>RELEASE: 3 september 2002/hcg</t>
  </si>
  <si>
    <t xml:space="preserve"> Client</t>
  </si>
  <si>
    <t xml:space="preserve"> Client ref.</t>
  </si>
  <si>
    <t xml:space="preserve"> Date</t>
  </si>
  <si>
    <t xml:space="preserve"> VTK ref.</t>
  </si>
  <si>
    <t>L =</t>
  </si>
  <si>
    <t>M =</t>
  </si>
  <si>
    <t>O =</t>
  </si>
  <si>
    <t>P =</t>
  </si>
  <si>
    <t>Q =</t>
  </si>
  <si>
    <t>0.625P =</t>
  </si>
  <si>
    <t>F   =</t>
  </si>
  <si>
    <t>E   =</t>
  </si>
  <si>
    <t>B   =</t>
  </si>
  <si>
    <t>A   =</t>
  </si>
  <si>
    <t>D   =</t>
  </si>
  <si>
    <t>G   =</t>
  </si>
  <si>
    <r>
      <t>F1</t>
    </r>
    <r>
      <rPr>
        <sz val="4"/>
        <rFont val="Arial"/>
        <family val="2"/>
      </rPr>
      <t xml:space="preserve">      </t>
    </r>
    <r>
      <rPr>
        <sz val="10"/>
        <rFont val="Arial"/>
        <family val="2"/>
      </rPr>
      <t>=</t>
    </r>
  </si>
  <si>
    <t xml:space="preserve"> By</t>
  </si>
  <si>
    <t xml:space="preserve"> Release</t>
  </si>
  <si>
    <t>Cyclone cylinder dia.</t>
  </si>
  <si>
    <t>- inlet to gas outlet</t>
  </si>
  <si>
    <t>- inlet to dust outlet</t>
  </si>
  <si>
    <t>Door :</t>
  </si>
  <si>
    <t>feed</t>
  </si>
  <si>
    <t>loss</t>
  </si>
  <si>
    <t>catch</t>
  </si>
  <si>
    <t>grade</t>
  </si>
  <si>
    <t>efficiency</t>
  </si>
  <si>
    <t>Load effect</t>
  </si>
  <si>
    <t>INVOER IN STANDAARD EENHEDEN</t>
  </si>
  <si>
    <t>BEREKENING DRUKVAL</t>
  </si>
  <si>
    <t>Pa</t>
  </si>
  <si>
    <t>PERFORMANCE CYCLOON</t>
  </si>
  <si>
    <t>d [μm]</t>
  </si>
  <si>
    <t>ROSIN RAMMLER CURVE DOOR TWEE DICHTSTBIJGELEGEN PUNTEN</t>
  </si>
  <si>
    <t>Loss totaal</t>
  </si>
  <si>
    <t>GEFRACTIONEERDE VERLIESCURVE</t>
  </si>
  <si>
    <t>GEFRACTIONEERDE DEELTJESGROOTTEVERDELING DOOR INTERPOLATIE</t>
  </si>
  <si>
    <t>weerst.coeff dust</t>
  </si>
  <si>
    <t>gecorrigeerd voor vernauwing insteekpijp</t>
  </si>
  <si>
    <r>
      <t>loss=1 --&gt; d=m</t>
    </r>
    <r>
      <rPr>
        <sz val="9"/>
        <rFont val="Arial"/>
        <family val="2"/>
      </rPr>
      <t>·K</t>
    </r>
  </si>
  <si>
    <t>BEPALING K-WAARDE &amp; CORRECTIEFACTOREN</t>
  </si>
  <si>
    <t>fmod</t>
  </si>
  <si>
    <t>correctie insteekpijp:</t>
  </si>
  <si>
    <t>fractie &gt;d</t>
  </si>
  <si>
    <t>if d&lt;dcrit</t>
  </si>
  <si>
    <t>if d&gt;dcrit</t>
  </si>
  <si>
    <t>d gem / K</t>
  </si>
  <si>
    <t>loss_corr</t>
  </si>
  <si>
    <t>ZONDER EN MET CORRECTIE VOOR STOFBELADING</t>
  </si>
  <si>
    <t>d gem [μm]</t>
  </si>
  <si>
    <t>VAN TONGEREN STANDAARD CYCLOONAFMETINGEN  EN BASIS-VERLIESCURVEN</t>
  </si>
  <si>
    <t>inlet-gas</t>
  </si>
  <si>
    <t>850*</t>
  </si>
  <si>
    <t>1850*</t>
  </si>
  <si>
    <t>* met onderafzuiging</t>
  </si>
  <si>
    <t>f</t>
  </si>
  <si>
    <t>f1</t>
  </si>
  <si>
    <t>f2</t>
  </si>
  <si>
    <t>f3</t>
  </si>
  <si>
    <t>f4</t>
  </si>
  <si>
    <t>CORRECTIONS: 11 october 2010/gvg</t>
  </si>
  <si>
    <t>K (Stokes)</t>
  </si>
  <si>
    <t>K</t>
  </si>
  <si>
    <t>als d&lt;dcrit</t>
  </si>
  <si>
    <t>als d&gt;dcrit</t>
  </si>
  <si>
    <t>d/K(crit)</t>
  </si>
  <si>
    <t>correctie stofbelading vlgs VT-UK:</t>
  </si>
  <si>
    <t>%</t>
  </si>
  <si>
    <t>abs [%]</t>
  </si>
  <si>
    <t>*</t>
  </si>
  <si>
    <t>HULPTABEL KORRELGROOTTEVERDELING</t>
  </si>
  <si>
    <t>Deze wordt gebruikt voor het opstellen van de gefractioneerde</t>
  </si>
  <si>
    <t>Controleer of de Rosin Rammler verdeling een niet te extreme interpolatie / extrapolatie</t>
  </si>
  <si>
    <t>overall</t>
  </si>
  <si>
    <t>tbv grafiek</t>
  </si>
  <si>
    <t>som psd dif:</t>
  </si>
  <si>
    <t>stapgrootte bij 110-staps logaritmische verdeling van het</t>
  </si>
  <si>
    <t>deeltjesdiameter-bereik van loss=100% tot 0,00000001%</t>
  </si>
  <si>
    <t>De restfractie &gt; Dmax op basis van de Rosin-Rammler verdeling heeft een verlies gelijk aan nul.</t>
  </si>
  <si>
    <t>verliescurve.</t>
  </si>
  <si>
    <t>Het theoretisch laagst mogelijke verlies van deze berekeningsmethode bedraagt hierdoor 100% x 0,0000001=0,00001%</t>
  </si>
  <si>
    <t>De fout (overschatting) in de berekening is veel kleiner dan de fout die doorwerkt vanuit de basisverliescurven.</t>
  </si>
  <si>
    <t>μm are not relevant for calculation of cyclone efficiency. Grade efficiency for these particles is 100 %</t>
  </si>
  <si>
    <t>Check</t>
  </si>
  <si>
    <t>(verlies van fractie &gt; Dmax) / (totale verlies) =</t>
  </si>
  <si>
    <t>Per deeltjesgroottefractie wordt het gemiddelde verlies bepaald a.h.v. de verliescurve</t>
  </si>
  <si>
    <t>en de ongewogen gemiddelde deeltjesgrootte.</t>
  </si>
  <si>
    <t>van de ingevoerde deeltjesgrootteverdeling betreft --&gt; grafiek</t>
  </si>
  <si>
    <t>Correctie hoge belading</t>
  </si>
  <si>
    <t>Niet gebruikte vakjes blanco laten</t>
  </si>
  <si>
    <t>g/Nm3</t>
  </si>
  <si>
    <t>De Rosin Rammler PSD is een interpretatie van de invoergegevens.</t>
  </si>
  <si>
    <t>μm are lost. Grade efficiency for these particles is 0 %</t>
  </si>
  <si>
    <t>catch [%]</t>
  </si>
  <si>
    <t>DETAIL RESULTS*</t>
  </si>
  <si>
    <t>Notes:</t>
  </si>
  <si>
    <r>
      <t>Siz</t>
    </r>
    <r>
      <rPr>
        <sz val="10"/>
        <rFont val="Arial"/>
        <family val="2"/>
      </rPr>
      <t>e fractions &gt;</t>
    </r>
  </si>
  <si>
    <r>
      <t>Siz</t>
    </r>
    <r>
      <rPr>
        <sz val="10"/>
        <rFont val="Arial"/>
        <family val="2"/>
      </rPr>
      <t>e fractions &lt;</t>
    </r>
  </si>
  <si>
    <t>Table results are included for illustration purposes. Actual calculations underlying presented emission results are more accurate.</t>
  </si>
  <si>
    <t>% mag niet nul zijn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</si>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</sst>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0"/>
    <numFmt numFmtId="166" formatCode="0.000"/>
    <numFmt numFmtId="167" formatCode="0.00000"/>
    <numFmt numFmtId="168" formatCode="dd/mm/yy"/>
    <numFmt numFmtId="169" formatCode="0.0000E+00"/>
  </numFmts>
  <fonts count="24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Helv"/>
    </font>
    <font>
      <sz val="10"/>
      <color indexed="12"/>
      <name val="Arial"/>
      <family val="2"/>
    </font>
    <font>
      <b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u/>
      <sz val="8"/>
      <name val="Arial"/>
      <family val="2"/>
    </font>
    <font>
      <sz val="9"/>
      <name val="Arial"/>
      <family val="2"/>
    </font>
    <font>
      <sz val="9"/>
      <name val="Helv"/>
    </font>
    <font>
      <sz val="10"/>
      <name val="Helv"/>
    </font>
    <font>
      <sz val="10"/>
      <color indexed="10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vertAlign val="subscript"/>
      <sz val="10"/>
      <name val="Arial"/>
      <family val="2"/>
    </font>
    <font>
      <sz val="8"/>
      <color indexed="8"/>
      <name val="Arial"/>
      <family val="2"/>
    </font>
    <font>
      <sz val="4"/>
      <name val="Arial"/>
      <family val="2"/>
    </font>
    <font>
      <sz val="14"/>
      <name val="Arial"/>
      <family val="2"/>
    </font>
    <font>
      <sz val="9"/>
      <color indexed="8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5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35">
    <xf numFmtId="0" fontId="0" fillId="0" borderId="0" xfId="0"/>
    <xf numFmtId="0" fontId="0" fillId="0" borderId="0" xfId="0" applyFill="1" applyBorder="1" applyAlignment="1"/>
    <xf numFmtId="0" fontId="0" fillId="0" borderId="0" xfId="0" applyFill="1" applyAlignment="1">
      <alignment horizontal="right"/>
    </xf>
    <xf numFmtId="0" fontId="0" fillId="0" borderId="0" xfId="0" applyAlignment="1"/>
    <xf numFmtId="0" fontId="0" fillId="0" borderId="0" xfId="0" applyFill="1" applyAlignment="1"/>
    <xf numFmtId="0" fontId="0" fillId="0" borderId="1" xfId="0" applyBorder="1"/>
    <xf numFmtId="0" fontId="0" fillId="0" borderId="0" xfId="0" applyBorder="1"/>
    <xf numFmtId="0" fontId="2" fillId="0" borderId="0" xfId="0" applyFont="1" applyBorder="1"/>
    <xf numFmtId="166" fontId="0" fillId="0" borderId="0" xfId="0" applyNumberFormat="1" applyBorder="1"/>
    <xf numFmtId="0" fontId="5" fillId="0" borderId="0" xfId="0" applyFont="1"/>
    <xf numFmtId="0" fontId="0" fillId="0" borderId="2" xfId="0" applyFill="1" applyBorder="1" applyAlignment="1"/>
    <xf numFmtId="0" fontId="0" fillId="0" borderId="3" xfId="0" applyBorder="1"/>
    <xf numFmtId="0" fontId="0" fillId="0" borderId="4" xfId="0" applyBorder="1"/>
    <xf numFmtId="0" fontId="0" fillId="0" borderId="5" xfId="0" applyFill="1" applyBorder="1" applyAlignment="1"/>
    <xf numFmtId="0" fontId="0" fillId="0" borderId="3" xfId="0" applyFill="1" applyBorder="1" applyAlignment="1"/>
    <xf numFmtId="0" fontId="0" fillId="0" borderId="4" xfId="0" applyFill="1" applyBorder="1" applyAlignment="1"/>
    <xf numFmtId="0" fontId="0" fillId="0" borderId="6" xfId="0" applyFill="1" applyBorder="1" applyAlignment="1"/>
    <xf numFmtId="0" fontId="0" fillId="0" borderId="6" xfId="0" applyBorder="1"/>
    <xf numFmtId="0" fontId="5" fillId="0" borderId="0" xfId="0" applyFont="1" applyBorder="1"/>
    <xf numFmtId="0" fontId="0" fillId="2" borderId="7" xfId="0" applyFill="1" applyBorder="1"/>
    <xf numFmtId="0" fontId="0" fillId="2" borderId="1" xfId="0" applyFill="1" applyBorder="1"/>
    <xf numFmtId="0" fontId="0" fillId="2" borderId="8" xfId="0" applyFill="1" applyBorder="1"/>
    <xf numFmtId="0" fontId="5" fillId="2" borderId="9" xfId="0" applyFont="1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9" xfId="0" applyFill="1" applyBorder="1"/>
    <xf numFmtId="0" fontId="0" fillId="2" borderId="2" xfId="0" applyFill="1" applyBorder="1" applyAlignment="1"/>
    <xf numFmtId="0" fontId="0" fillId="2" borderId="0" xfId="0" applyFill="1" applyBorder="1" applyAlignment="1"/>
    <xf numFmtId="0" fontId="0" fillId="2" borderId="12" xfId="0" applyFill="1" applyBorder="1" applyAlignment="1"/>
    <xf numFmtId="0" fontId="0" fillId="2" borderId="0" xfId="0" applyFill="1" applyBorder="1" applyAlignment="1">
      <alignment horizontal="right"/>
    </xf>
    <xf numFmtId="0" fontId="5" fillId="2" borderId="0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1" fontId="0" fillId="2" borderId="0" xfId="0" applyNumberFormat="1" applyFill="1" applyBorder="1" applyAlignment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0" borderId="0" xfId="0" applyBorder="1" applyAlignment="1"/>
    <xf numFmtId="0" fontId="10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7" xfId="0" applyFont="1" applyBorder="1" applyProtection="1"/>
    <xf numFmtId="0" fontId="10" fillId="0" borderId="1" xfId="0" applyFont="1" applyBorder="1" applyProtection="1"/>
    <xf numFmtId="0" fontId="10" fillId="0" borderId="0" xfId="0" applyFont="1" applyBorder="1" applyProtection="1"/>
    <xf numFmtId="0" fontId="10" fillId="0" borderId="12" xfId="0" applyFont="1" applyBorder="1" applyProtection="1"/>
    <xf numFmtId="164" fontId="0" fillId="2" borderId="0" xfId="0" applyNumberFormat="1" applyFill="1" applyBorder="1"/>
    <xf numFmtId="1" fontId="0" fillId="2" borderId="0" xfId="0" applyNumberFormat="1" applyFill="1" applyBorder="1"/>
    <xf numFmtId="0" fontId="0" fillId="2" borderId="0" xfId="0" applyFill="1"/>
    <xf numFmtId="0" fontId="0" fillId="0" borderId="16" xfId="0" applyBorder="1" applyAlignme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10" fillId="0" borderId="0" xfId="2" applyFont="1" applyProtection="1"/>
    <xf numFmtId="0" fontId="10" fillId="0" borderId="9" xfId="0" applyFont="1" applyBorder="1" applyAlignment="1" applyProtection="1">
      <alignment horizontal="left"/>
    </xf>
    <xf numFmtId="0" fontId="10" fillId="0" borderId="9" xfId="0" applyFont="1" applyBorder="1" applyProtection="1"/>
    <xf numFmtId="0" fontId="0" fillId="0" borderId="14" xfId="0" applyBorder="1"/>
    <xf numFmtId="0" fontId="10" fillId="0" borderId="15" xfId="0" applyFont="1" applyBorder="1" applyProtection="1"/>
    <xf numFmtId="0" fontId="0" fillId="0" borderId="9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" xfId="0" applyBorder="1" applyAlignment="1">
      <alignment horizontal="right"/>
    </xf>
    <xf numFmtId="166" fontId="0" fillId="0" borderId="0" xfId="0" applyNumberFormat="1"/>
    <xf numFmtId="2" fontId="0" fillId="0" borderId="0" xfId="0" applyNumberFormat="1" applyBorder="1"/>
    <xf numFmtId="1" fontId="0" fillId="0" borderId="0" xfId="0" applyNumberFormat="1" applyBorder="1"/>
    <xf numFmtId="0" fontId="0" fillId="0" borderId="1" xfId="0" applyBorder="1" applyAlignment="1">
      <alignment horizontal="left"/>
    </xf>
    <xf numFmtId="166" fontId="0" fillId="0" borderId="2" xfId="0" applyNumberFormat="1" applyFill="1" applyBorder="1" applyAlignment="1"/>
    <xf numFmtId="0" fontId="0" fillId="0" borderId="17" xfId="0" applyBorder="1" applyAlignment="1">
      <alignment horizontal="center"/>
    </xf>
    <xf numFmtId="165" fontId="0" fillId="0" borderId="18" xfId="0" applyNumberFormat="1" applyBorder="1"/>
    <xf numFmtId="164" fontId="0" fillId="0" borderId="0" xfId="0" applyNumberFormat="1" applyBorder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166" fontId="0" fillId="0" borderId="21" xfId="0" applyNumberFormat="1" applyBorder="1"/>
    <xf numFmtId="0" fontId="0" fillId="2" borderId="0" xfId="0" quotePrefix="1" applyFill="1" applyBorder="1" applyAlignment="1"/>
    <xf numFmtId="0" fontId="15" fillId="2" borderId="0" xfId="0" applyFont="1" applyFill="1" applyBorder="1" applyAlignment="1"/>
    <xf numFmtId="0" fontId="15" fillId="2" borderId="0" xfId="0" applyFont="1" applyFill="1" applyBorder="1"/>
    <xf numFmtId="0" fontId="2" fillId="2" borderId="0" xfId="0" applyFont="1" applyFill="1" applyBorder="1" applyAlignment="1"/>
    <xf numFmtId="11" fontId="0" fillId="0" borderId="0" xfId="0" applyNumberFormat="1" applyFill="1" applyBorder="1" applyAlignment="1"/>
    <xf numFmtId="11" fontId="0" fillId="0" borderId="0" xfId="0" applyNumberFormat="1" applyAlignment="1"/>
    <xf numFmtId="11" fontId="0" fillId="0" borderId="0" xfId="0" applyNumberFormat="1"/>
    <xf numFmtId="0" fontId="0" fillId="0" borderId="10" xfId="0" applyBorder="1"/>
    <xf numFmtId="0" fontId="0" fillId="0" borderId="22" xfId="0" applyBorder="1"/>
    <xf numFmtId="0" fontId="0" fillId="0" borderId="11" xfId="0" applyBorder="1"/>
    <xf numFmtId="164" fontId="0" fillId="0" borderId="15" xfId="0" applyNumberFormat="1" applyBorder="1"/>
    <xf numFmtId="0" fontId="5" fillId="0" borderId="23" xfId="0" applyFont="1" applyBorder="1" applyProtection="1">
      <protection locked="0"/>
    </xf>
    <xf numFmtId="0" fontId="0" fillId="0" borderId="24" xfId="0" applyBorder="1" applyProtection="1">
      <protection locked="0"/>
    </xf>
    <xf numFmtId="0" fontId="0" fillId="0" borderId="3" xfId="0" applyBorder="1" applyProtection="1">
      <protection locked="0"/>
    </xf>
    <xf numFmtId="0" fontId="2" fillId="0" borderId="25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27" xfId="0" applyBorder="1" applyProtection="1">
      <protection locked="0"/>
    </xf>
    <xf numFmtId="166" fontId="0" fillId="0" borderId="28" xfId="0" applyNumberFormat="1" applyFill="1" applyBorder="1" applyProtection="1">
      <protection locked="0"/>
    </xf>
    <xf numFmtId="0" fontId="0" fillId="0" borderId="6" xfId="0" applyBorder="1" applyAlignment="1" applyProtection="1">
      <protection locked="0"/>
    </xf>
    <xf numFmtId="0" fontId="7" fillId="0" borderId="29" xfId="0" applyFont="1" applyBorder="1" applyProtection="1">
      <protection locked="0"/>
    </xf>
    <xf numFmtId="0" fontId="0" fillId="0" borderId="30" xfId="0" applyBorder="1" applyProtection="1">
      <protection locked="0"/>
    </xf>
    <xf numFmtId="0" fontId="0" fillId="0" borderId="23" xfId="0" applyBorder="1" applyProtection="1">
      <protection locked="0"/>
    </xf>
    <xf numFmtId="0" fontId="5" fillId="0" borderId="31" xfId="0" applyFont="1" applyBorder="1" applyProtection="1">
      <protection locked="0"/>
    </xf>
    <xf numFmtId="0" fontId="0" fillId="0" borderId="1" xfId="0" applyBorder="1" applyProtection="1">
      <protection locked="0"/>
    </xf>
    <xf numFmtId="0" fontId="2" fillId="0" borderId="27" xfId="0" applyFont="1" applyBorder="1" applyProtection="1">
      <protection locked="0"/>
    </xf>
    <xf numFmtId="0" fontId="0" fillId="0" borderId="28" xfId="0" applyBorder="1" applyProtection="1">
      <protection locked="0"/>
    </xf>
    <xf numFmtId="0" fontId="2" fillId="0" borderId="0" xfId="0" applyFont="1" applyBorder="1" applyProtection="1">
      <protection locked="0"/>
    </xf>
    <xf numFmtId="0" fontId="5" fillId="0" borderId="0" xfId="0" applyFont="1" applyBorder="1" applyProtection="1">
      <protection locked="0"/>
    </xf>
    <xf numFmtId="166" fontId="0" fillId="0" borderId="0" xfId="0" applyNumberFormat="1" applyFill="1" applyBorder="1" applyProtection="1">
      <protection locked="0"/>
    </xf>
    <xf numFmtId="0" fontId="0" fillId="0" borderId="0" xfId="0" applyFill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66" fontId="0" fillId="0" borderId="0" xfId="0" applyNumberFormat="1" applyBorder="1" applyProtection="1">
      <protection locked="0"/>
    </xf>
    <xf numFmtId="0" fontId="0" fillId="0" borderId="0" xfId="0" applyProtection="1">
      <protection locked="0"/>
    </xf>
    <xf numFmtId="0" fontId="13" fillId="3" borderId="27" xfId="0" applyFont="1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" fontId="0" fillId="0" borderId="35" xfId="0" applyNumberFormat="1" applyBorder="1"/>
    <xf numFmtId="0" fontId="0" fillId="0" borderId="36" xfId="0" applyBorder="1"/>
    <xf numFmtId="0" fontId="0" fillId="0" borderId="34" xfId="0" applyBorder="1" applyAlignment="1">
      <alignment horizontal="center"/>
    </xf>
    <xf numFmtId="0" fontId="0" fillId="0" borderId="37" xfId="0" applyBorder="1" applyAlignment="1">
      <alignment horizontal="center"/>
    </xf>
    <xf numFmtId="165" fontId="0" fillId="0" borderId="38" xfId="0" applyNumberFormat="1" applyBorder="1"/>
    <xf numFmtId="0" fontId="14" fillId="0" borderId="7" xfId="0" applyFont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14" fillId="0" borderId="1" xfId="0" applyFont="1" applyBorder="1" applyAlignment="1" applyProtection="1">
      <alignment horizontal="left" vertical="center"/>
    </xf>
    <xf numFmtId="0" fontId="14" fillId="0" borderId="9" xfId="0" applyFont="1" applyBorder="1" applyAlignment="1" applyProtection="1">
      <alignment horizontal="left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 applyProtection="1">
      <alignment horizontal="left" vertical="center"/>
    </xf>
    <xf numFmtId="0" fontId="17" fillId="0" borderId="0" xfId="0" applyFont="1" applyBorder="1" applyAlignment="1" applyProtection="1">
      <alignment horizontal="centerContinuous" vertical="center"/>
      <protection locked="0"/>
    </xf>
    <xf numFmtId="0" fontId="17" fillId="0" borderId="0" xfId="0" quotePrefix="1" applyFont="1" applyBorder="1" applyAlignment="1" applyProtection="1">
      <alignment horizontal="centerContinuous" vertical="center"/>
      <protection locked="0"/>
    </xf>
    <xf numFmtId="0" fontId="14" fillId="0" borderId="0" xfId="0" applyFont="1" applyBorder="1" applyAlignment="1" applyProtection="1">
      <alignment vertical="center"/>
      <protection locked="0"/>
    </xf>
    <xf numFmtId="0" fontId="14" fillId="0" borderId="0" xfId="0" quotePrefix="1" applyFont="1" applyBorder="1" applyAlignment="1" applyProtection="1">
      <alignment horizontal="centerContinuous" vertical="center"/>
      <protection locked="0"/>
    </xf>
    <xf numFmtId="0" fontId="17" fillId="0" borderId="0" xfId="0" applyFont="1" applyBorder="1" applyAlignment="1">
      <alignment vertical="center"/>
    </xf>
    <xf numFmtId="0" fontId="17" fillId="0" borderId="0" xfId="0" quotePrefix="1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right"/>
    </xf>
    <xf numFmtId="1" fontId="0" fillId="0" borderId="15" xfId="0" applyNumberFormat="1" applyBorder="1"/>
    <xf numFmtId="0" fontId="14" fillId="0" borderId="39" xfId="0" applyFont="1" applyBorder="1" applyAlignment="1">
      <alignment vertical="center"/>
    </xf>
    <xf numFmtId="0" fontId="14" fillId="0" borderId="40" xfId="0" applyFont="1" applyBorder="1" applyAlignment="1">
      <alignment vertical="center"/>
    </xf>
    <xf numFmtId="0" fontId="14" fillId="0" borderId="41" xfId="0" applyFont="1" applyBorder="1" applyAlignment="1">
      <alignment vertical="center"/>
    </xf>
    <xf numFmtId="167" fontId="0" fillId="0" borderId="0" xfId="0" applyNumberFormat="1" applyBorder="1"/>
    <xf numFmtId="0" fontId="0" fillId="0" borderId="22" xfId="0" applyBorder="1" applyAlignment="1">
      <alignment horizontal="right"/>
    </xf>
    <xf numFmtId="165" fontId="0" fillId="0" borderId="22" xfId="0" applyNumberFormat="1" applyBorder="1"/>
    <xf numFmtId="0" fontId="19" fillId="0" borderId="0" xfId="0" applyFont="1" applyBorder="1" applyAlignment="1" applyProtection="1">
      <alignment horizontal="center" vertical="center"/>
    </xf>
    <xf numFmtId="0" fontId="0" fillId="0" borderId="9" xfId="0" quotePrefix="1" applyBorder="1"/>
    <xf numFmtId="0" fontId="0" fillId="0" borderId="42" xfId="0" quotePrefix="1" applyBorder="1"/>
    <xf numFmtId="0" fontId="14" fillId="0" borderId="13" xfId="0" applyFont="1" applyBorder="1" applyAlignment="1" applyProtection="1">
      <alignment horizontal="left" vertical="center"/>
    </xf>
    <xf numFmtId="0" fontId="14" fillId="0" borderId="15" xfId="0" applyFont="1" applyBorder="1" applyAlignment="1" applyProtection="1">
      <alignment horizontal="left" vertical="center"/>
    </xf>
    <xf numFmtId="0" fontId="14" fillId="0" borderId="15" xfId="0" applyFont="1" applyBorder="1" applyAlignment="1">
      <alignment vertical="center"/>
    </xf>
    <xf numFmtId="0" fontId="0" fillId="0" borderId="0" xfId="0" applyBorder="1" applyAlignment="1">
      <alignment vertical="top"/>
    </xf>
    <xf numFmtId="2" fontId="0" fillId="0" borderId="15" xfId="0" applyNumberFormat="1" applyBorder="1"/>
    <xf numFmtId="165" fontId="0" fillId="0" borderId="0" xfId="0" applyNumberFormat="1" applyBorder="1"/>
    <xf numFmtId="0" fontId="10" fillId="0" borderId="43" xfId="0" applyFont="1" applyBorder="1" applyProtection="1"/>
    <xf numFmtId="0" fontId="10" fillId="0" borderId="0" xfId="0" applyFont="1" applyFill="1" applyBorder="1" applyProtection="1"/>
    <xf numFmtId="0" fontId="10" fillId="0" borderId="15" xfId="0" applyFont="1" applyFill="1" applyBorder="1" applyProtection="1"/>
    <xf numFmtId="0" fontId="20" fillId="0" borderId="15" xfId="0" applyFont="1" applyBorder="1" applyProtection="1"/>
    <xf numFmtId="0" fontId="10" fillId="0" borderId="12" xfId="0" applyFont="1" applyFill="1" applyBorder="1" applyProtection="1"/>
    <xf numFmtId="0" fontId="0" fillId="0" borderId="0" xfId="0" applyFill="1" applyBorder="1"/>
    <xf numFmtId="0" fontId="0" fillId="0" borderId="12" xfId="0" applyFill="1" applyBorder="1"/>
    <xf numFmtId="0" fontId="10" fillId="0" borderId="43" xfId="0" applyFont="1" applyBorder="1" applyAlignment="1" applyProtection="1">
      <alignment horizontal="left"/>
    </xf>
    <xf numFmtId="0" fontId="0" fillId="0" borderId="43" xfId="0" applyBorder="1"/>
    <xf numFmtId="0" fontId="10" fillId="0" borderId="44" xfId="0" applyFont="1" applyBorder="1" applyAlignment="1" applyProtection="1">
      <alignment horizontal="left"/>
    </xf>
    <xf numFmtId="0" fontId="0" fillId="0" borderId="16" xfId="0" applyBorder="1"/>
    <xf numFmtId="0" fontId="10" fillId="0" borderId="22" xfId="0" applyFont="1" applyBorder="1" applyProtection="1"/>
    <xf numFmtId="164" fontId="0" fillId="0" borderId="1" xfId="0" applyNumberFormat="1" applyBorder="1"/>
    <xf numFmtId="0" fontId="0" fillId="5" borderId="2" xfId="0" applyFill="1" applyBorder="1"/>
    <xf numFmtId="0" fontId="10" fillId="0" borderId="2" xfId="0" applyFont="1" applyBorder="1" applyProtection="1"/>
    <xf numFmtId="0" fontId="10" fillId="0" borderId="11" xfId="0" applyFont="1" applyBorder="1" applyProtection="1"/>
    <xf numFmtId="0" fontId="10" fillId="0" borderId="16" xfId="0" applyFont="1" applyFill="1" applyBorder="1" applyProtection="1"/>
    <xf numFmtId="0" fontId="14" fillId="0" borderId="0" xfId="0" applyFont="1" applyFill="1" applyBorder="1"/>
    <xf numFmtId="0" fontId="10" fillId="0" borderId="16" xfId="0" applyFont="1" applyBorder="1" applyAlignment="1" applyProtection="1">
      <alignment horizontal="left"/>
    </xf>
    <xf numFmtId="0" fontId="10" fillId="0" borderId="1" xfId="0" applyFont="1" applyFill="1" applyBorder="1" applyProtection="1"/>
    <xf numFmtId="0" fontId="10" fillId="0" borderId="2" xfId="0" applyFont="1" applyBorder="1" applyAlignment="1" applyProtection="1">
      <alignment horizontal="left"/>
    </xf>
    <xf numFmtId="0" fontId="10" fillId="0" borderId="22" xfId="0" applyFont="1" applyFill="1" applyBorder="1" applyProtection="1"/>
    <xf numFmtId="0" fontId="8" fillId="0" borderId="0" xfId="0" applyFont="1" applyBorder="1" applyAlignment="1">
      <alignment horizontal="center"/>
    </xf>
    <xf numFmtId="0" fontId="0" fillId="5" borderId="22" xfId="0" applyFill="1" applyBorder="1"/>
    <xf numFmtId="0" fontId="5" fillId="5" borderId="10" xfId="0" applyFont="1" applyFill="1" applyBorder="1"/>
    <xf numFmtId="0" fontId="5" fillId="5" borderId="11" xfId="0" applyFont="1" applyFill="1" applyBorder="1"/>
    <xf numFmtId="165" fontId="10" fillId="0" borderId="0" xfId="0" applyNumberFormat="1" applyFont="1" applyBorder="1" applyProtection="1"/>
    <xf numFmtId="0" fontId="10" fillId="0" borderId="12" xfId="0" applyFont="1" applyBorder="1" applyAlignment="1" applyProtection="1">
      <alignment horizontal="left"/>
    </xf>
    <xf numFmtId="0" fontId="0" fillId="0" borderId="0" xfId="0" applyFill="1"/>
    <xf numFmtId="0" fontId="14" fillId="0" borderId="14" xfId="0" applyFont="1" applyFill="1" applyBorder="1"/>
    <xf numFmtId="0" fontId="2" fillId="0" borderId="12" xfId="0" applyFont="1" applyFill="1" applyBorder="1"/>
    <xf numFmtId="2" fontId="0" fillId="0" borderId="13" xfId="0" applyNumberFormat="1" applyBorder="1"/>
    <xf numFmtId="167" fontId="14" fillId="0" borderId="43" xfId="0" applyNumberFormat="1" applyFont="1" applyFill="1" applyBorder="1"/>
    <xf numFmtId="167" fontId="14" fillId="0" borderId="44" xfId="0" applyNumberFormat="1" applyFont="1" applyFill="1" applyBorder="1"/>
    <xf numFmtId="0" fontId="0" fillId="0" borderId="13" xfId="0" applyFill="1" applyBorder="1"/>
    <xf numFmtId="0" fontId="10" fillId="0" borderId="14" xfId="0" applyFont="1" applyFill="1" applyBorder="1" applyProtection="1"/>
    <xf numFmtId="167" fontId="0" fillId="0" borderId="15" xfId="0" applyNumberFormat="1" applyBorder="1"/>
    <xf numFmtId="0" fontId="0" fillId="0" borderId="9" xfId="0" applyFill="1" applyBorder="1" applyProtection="1"/>
    <xf numFmtId="0" fontId="10" fillId="0" borderId="1" xfId="0" applyFont="1" applyBorder="1" applyAlignment="1" applyProtection="1">
      <alignment horizontal="left"/>
    </xf>
    <xf numFmtId="0" fontId="2" fillId="0" borderId="0" xfId="0" applyFont="1" applyFill="1" applyBorder="1"/>
    <xf numFmtId="167" fontId="14" fillId="0" borderId="0" xfId="0" applyNumberFormat="1" applyFont="1" applyFill="1" applyBorder="1"/>
    <xf numFmtId="0" fontId="14" fillId="0" borderId="1" xfId="0" applyFont="1" applyFill="1" applyBorder="1"/>
    <xf numFmtId="167" fontId="14" fillId="0" borderId="16" xfId="0" applyNumberFormat="1" applyFont="1" applyFill="1" applyBorder="1"/>
    <xf numFmtId="0" fontId="2" fillId="0" borderId="14" xfId="0" applyFont="1" applyFill="1" applyBorder="1"/>
    <xf numFmtId="0" fontId="14" fillId="0" borderId="15" xfId="0" applyFont="1" applyFill="1" applyBorder="1"/>
    <xf numFmtId="0" fontId="0" fillId="0" borderId="15" xfId="0" applyFill="1" applyBorder="1"/>
    <xf numFmtId="0" fontId="0" fillId="0" borderId="0" xfId="0" applyFill="1" applyBorder="1" applyProtection="1"/>
    <xf numFmtId="0" fontId="0" fillId="0" borderId="8" xfId="0" applyFill="1" applyBorder="1"/>
    <xf numFmtId="0" fontId="10" fillId="0" borderId="0" xfId="0" applyFont="1" applyFill="1" applyProtection="1"/>
    <xf numFmtId="0" fontId="0" fillId="0" borderId="7" xfId="0" applyFill="1" applyBorder="1" applyProtection="1"/>
    <xf numFmtId="0" fontId="10" fillId="0" borderId="7" xfId="0" applyFont="1" applyFill="1" applyBorder="1" applyProtection="1"/>
    <xf numFmtId="0" fontId="10" fillId="0" borderId="16" xfId="0" quotePrefix="1" applyFont="1" applyFill="1" applyBorder="1" applyAlignment="1" applyProtection="1">
      <alignment horizontal="center"/>
    </xf>
    <xf numFmtId="0" fontId="2" fillId="0" borderId="7" xfId="0" applyFont="1" applyFill="1" applyBorder="1" applyProtection="1"/>
    <xf numFmtId="0" fontId="12" fillId="0" borderId="9" xfId="0" applyFont="1" applyFill="1" applyBorder="1" applyProtection="1"/>
    <xf numFmtId="0" fontId="10" fillId="0" borderId="9" xfId="0" applyFont="1" applyFill="1" applyBorder="1" applyProtection="1"/>
    <xf numFmtId="2" fontId="10" fillId="0" borderId="7" xfId="0" applyNumberFormat="1" applyFont="1" applyFill="1" applyBorder="1" applyProtection="1"/>
    <xf numFmtId="2" fontId="10" fillId="0" borderId="9" xfId="0" applyNumberFormat="1" applyFont="1" applyFill="1" applyBorder="1" applyProtection="1"/>
    <xf numFmtId="0" fontId="14" fillId="0" borderId="12" xfId="0" applyFont="1" applyFill="1" applyBorder="1"/>
    <xf numFmtId="0" fontId="14" fillId="0" borderId="7" xfId="0" applyFont="1" applyFill="1" applyBorder="1"/>
    <xf numFmtId="0" fontId="14" fillId="0" borderId="8" xfId="0" applyFont="1" applyFill="1" applyBorder="1"/>
    <xf numFmtId="0" fontId="14" fillId="0" borderId="9" xfId="0" applyFont="1" applyFill="1" applyBorder="1"/>
    <xf numFmtId="0" fontId="14" fillId="0" borderId="13" xfId="0" applyFont="1" applyFill="1" applyBorder="1"/>
    <xf numFmtId="2" fontId="10" fillId="0" borderId="16" xfId="0" applyNumberFormat="1" applyFont="1" applyFill="1" applyBorder="1" applyProtection="1"/>
    <xf numFmtId="2" fontId="10" fillId="0" borderId="43" xfId="0" applyNumberFormat="1" applyFont="1" applyFill="1" applyBorder="1" applyProtection="1"/>
    <xf numFmtId="0" fontId="10" fillId="0" borderId="2" xfId="0" applyFont="1" applyFill="1" applyBorder="1" applyProtection="1"/>
    <xf numFmtId="0" fontId="5" fillId="5" borderId="22" xfId="0" applyFont="1" applyFill="1" applyBorder="1"/>
    <xf numFmtId="167" fontId="5" fillId="0" borderId="0" xfId="0" applyNumberFormat="1" applyFont="1"/>
    <xf numFmtId="0" fontId="0" fillId="0" borderId="0" xfId="0" applyAlignment="1">
      <alignment horizontal="right"/>
    </xf>
    <xf numFmtId="0" fontId="0" fillId="5" borderId="9" xfId="0" applyFill="1" applyBorder="1"/>
    <xf numFmtId="0" fontId="2" fillId="0" borderId="0" xfId="0" applyFont="1" applyAlignment="1" applyProtection="1">
      <alignment horizontal="left"/>
    </xf>
    <xf numFmtId="1" fontId="0" fillId="5" borderId="0" xfId="0" applyNumberFormat="1" applyFill="1" applyBorder="1"/>
    <xf numFmtId="0" fontId="0" fillId="5" borderId="12" xfId="0" applyFill="1" applyBorder="1"/>
    <xf numFmtId="164" fontId="0" fillId="5" borderId="12" xfId="0" applyNumberFormat="1" applyFill="1" applyBorder="1"/>
    <xf numFmtId="0" fontId="7" fillId="0" borderId="8" xfId="0" applyFont="1" applyBorder="1"/>
    <xf numFmtId="0" fontId="21" fillId="0" borderId="0" xfId="0" applyFont="1" applyFill="1"/>
    <xf numFmtId="0" fontId="22" fillId="0" borderId="0" xfId="0" applyFont="1"/>
    <xf numFmtId="2" fontId="0" fillId="0" borderId="0" xfId="0" applyNumberFormat="1" applyFill="1" applyBorder="1"/>
    <xf numFmtId="0" fontId="22" fillId="0" borderId="0" xfId="0" applyFont="1" applyFill="1" applyBorder="1"/>
    <xf numFmtId="0" fontId="2" fillId="0" borderId="0" xfId="0" applyFont="1" applyBorder="1" applyAlignment="1">
      <alignment vertical="top"/>
    </xf>
    <xf numFmtId="0" fontId="22" fillId="0" borderId="0" xfId="0" applyFont="1" applyBorder="1"/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166" fontId="0" fillId="0" borderId="9" xfId="0" applyNumberFormat="1" applyBorder="1"/>
    <xf numFmtId="166" fontId="5" fillId="0" borderId="9" xfId="0" applyNumberFormat="1" applyFont="1" applyBorder="1"/>
    <xf numFmtId="165" fontId="0" fillId="0" borderId="1" xfId="0" applyNumberFormat="1" applyBorder="1"/>
    <xf numFmtId="0" fontId="21" fillId="0" borderId="0" xfId="0" applyFont="1" applyBorder="1" applyAlignment="1">
      <alignment horizontal="left"/>
    </xf>
    <xf numFmtId="0" fontId="21" fillId="0" borderId="9" xfId="0" applyFont="1" applyFill="1" applyBorder="1"/>
    <xf numFmtId="0" fontId="21" fillId="0" borderId="13" xfId="0" applyFont="1" applyFill="1" applyBorder="1"/>
    <xf numFmtId="165" fontId="0" fillId="4" borderId="7" xfId="0" applyNumberFormat="1" applyFill="1" applyBorder="1"/>
    <xf numFmtId="165" fontId="0" fillId="4" borderId="9" xfId="0" applyNumberFormat="1" applyFill="1" applyBorder="1"/>
    <xf numFmtId="0" fontId="0" fillId="4" borderId="43" xfId="0" applyFill="1" applyBorder="1"/>
    <xf numFmtId="0" fontId="0" fillId="4" borderId="44" xfId="0" applyFill="1" applyBorder="1"/>
    <xf numFmtId="167" fontId="14" fillId="0" borderId="1" xfId="0" applyNumberFormat="1" applyFont="1" applyFill="1" applyBorder="1"/>
    <xf numFmtId="167" fontId="14" fillId="0" borderId="15" xfId="0" applyNumberFormat="1" applyFont="1" applyFill="1" applyBorder="1"/>
    <xf numFmtId="167" fontId="0" fillId="0" borderId="1" xfId="0" applyNumberFormat="1" applyBorder="1"/>
    <xf numFmtId="169" fontId="0" fillId="0" borderId="8" xfId="0" applyNumberFormat="1" applyFill="1" applyBorder="1"/>
    <xf numFmtId="169" fontId="0" fillId="0" borderId="12" xfId="0" applyNumberFormat="1" applyBorder="1"/>
    <xf numFmtId="169" fontId="0" fillId="0" borderId="14" xfId="0" applyNumberFormat="1" applyBorder="1"/>
    <xf numFmtId="169" fontId="0" fillId="0" borderId="8" xfId="0" applyNumberFormat="1" applyBorder="1"/>
    <xf numFmtId="0" fontId="0" fillId="2" borderId="44" xfId="0" applyFill="1" applyBorder="1"/>
    <xf numFmtId="0" fontId="0" fillId="2" borderId="13" xfId="0" quotePrefix="1" applyFill="1" applyBorder="1"/>
    <xf numFmtId="0" fontId="0" fillId="0" borderId="44" xfId="0" applyBorder="1"/>
    <xf numFmtId="0" fontId="0" fillId="2" borderId="22" xfId="0" applyFill="1" applyBorder="1"/>
    <xf numFmtId="0" fontId="0" fillId="4" borderId="9" xfId="0" applyFill="1" applyBorder="1"/>
    <xf numFmtId="0" fontId="0" fillId="4" borderId="13" xfId="0" applyFill="1" applyBorder="1"/>
    <xf numFmtId="0" fontId="0" fillId="4" borderId="16" xfId="0" applyFill="1" applyBorder="1"/>
    <xf numFmtId="165" fontId="21" fillId="0" borderId="18" xfId="0" applyNumberFormat="1" applyFont="1" applyBorder="1"/>
    <xf numFmtId="0" fontId="0" fillId="0" borderId="16" xfId="0" applyFill="1" applyBorder="1"/>
    <xf numFmtId="0" fontId="0" fillId="2" borderId="8" xfId="0" applyFill="1" applyBorder="1" applyProtection="1">
      <protection locked="0"/>
    </xf>
    <xf numFmtId="0" fontId="0" fillId="2" borderId="0" xfId="0" quotePrefix="1" applyFill="1" applyBorder="1"/>
    <xf numFmtId="0" fontId="4" fillId="2" borderId="0" xfId="0" applyFont="1" applyFill="1" applyBorder="1" applyAlignment="1"/>
    <xf numFmtId="166" fontId="0" fillId="2" borderId="0" xfId="0" applyNumberFormat="1" applyFill="1" applyBorder="1" applyAlignment="1"/>
    <xf numFmtId="0" fontId="2" fillId="2" borderId="0" xfId="0" applyFont="1" applyFill="1" applyBorder="1" applyAlignment="1">
      <alignment horizontal="right"/>
    </xf>
    <xf numFmtId="1" fontId="0" fillId="0" borderId="0" xfId="0" applyNumberFormat="1" applyBorder="1" applyAlignment="1">
      <alignment vertical="top"/>
    </xf>
    <xf numFmtId="2" fontId="0" fillId="0" borderId="0" xfId="0" applyNumberFormat="1" applyBorder="1" applyAlignment="1">
      <alignment vertical="top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3" fontId="0" fillId="4" borderId="0" xfId="0" applyNumberFormat="1" applyFill="1" applyBorder="1" applyProtection="1">
      <protection locked="0"/>
    </xf>
    <xf numFmtId="0" fontId="0" fillId="0" borderId="16" xfId="0" applyBorder="1" applyAlignment="1">
      <alignment horizontal="center"/>
    </xf>
    <xf numFmtId="0" fontId="0" fillId="0" borderId="43" xfId="0" applyBorder="1" applyAlignment="1">
      <alignment horizontal="center"/>
    </xf>
    <xf numFmtId="169" fontId="0" fillId="5" borderId="8" xfId="0" applyNumberFormat="1" applyFill="1" applyBorder="1" applyAlignment="1">
      <alignment horizontal="center"/>
    </xf>
    <xf numFmtId="169" fontId="0" fillId="5" borderId="16" xfId="0" applyNumberFormat="1" applyFill="1" applyBorder="1" applyAlignment="1">
      <alignment horizontal="center"/>
    </xf>
    <xf numFmtId="169" fontId="0" fillId="5" borderId="12" xfId="0" applyNumberFormat="1" applyFill="1" applyBorder="1" applyAlignment="1">
      <alignment horizontal="center"/>
    </xf>
    <xf numFmtId="169" fontId="0" fillId="5" borderId="43" xfId="0" applyNumberFormat="1" applyFill="1" applyBorder="1" applyAlignment="1">
      <alignment horizontal="center"/>
    </xf>
    <xf numFmtId="169" fontId="0" fillId="5" borderId="14" xfId="0" applyNumberFormat="1" applyFill="1" applyBorder="1" applyAlignment="1">
      <alignment horizontal="center"/>
    </xf>
    <xf numFmtId="169" fontId="0" fillId="5" borderId="44" xfId="0" applyNumberFormat="1" applyFill="1" applyBorder="1" applyAlignment="1">
      <alignment horizontal="center"/>
    </xf>
    <xf numFmtId="169" fontId="0" fillId="0" borderId="0" xfId="0" applyNumberFormat="1" applyFill="1" applyBorder="1" applyAlignment="1">
      <alignment horizontal="center"/>
    </xf>
    <xf numFmtId="0" fontId="5" fillId="0" borderId="0" xfId="0" applyFont="1" applyAlignment="1">
      <alignment horizontal="center"/>
    </xf>
    <xf numFmtId="167" fontId="5" fillId="0" borderId="0" xfId="0" applyNumberFormat="1" applyFont="1" applyAlignment="1">
      <alignment horizontal="center"/>
    </xf>
    <xf numFmtId="167" fontId="5" fillId="5" borderId="22" xfId="0" applyNumberFormat="1" applyFont="1" applyFill="1" applyBorder="1" applyAlignment="1">
      <alignment horizontal="center"/>
    </xf>
    <xf numFmtId="167" fontId="5" fillId="5" borderId="2" xfId="0" applyNumberFormat="1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10" fillId="5" borderId="16" xfId="0" applyFont="1" applyFill="1" applyBorder="1" applyAlignment="1" applyProtection="1">
      <alignment horizontal="center"/>
    </xf>
    <xf numFmtId="0" fontId="10" fillId="5" borderId="2" xfId="0" applyFont="1" applyFill="1" applyBorder="1" applyAlignment="1" applyProtection="1">
      <alignment horizontal="center"/>
    </xf>
    <xf numFmtId="0" fontId="10" fillId="5" borderId="43" xfId="0" applyFont="1" applyFill="1" applyBorder="1" applyAlignment="1" applyProtection="1">
      <alignment horizontal="center"/>
    </xf>
    <xf numFmtId="0" fontId="10" fillId="5" borderId="44" xfId="0" applyFont="1" applyFill="1" applyBorder="1" applyAlignment="1" applyProtection="1">
      <alignment horizontal="center"/>
    </xf>
    <xf numFmtId="0" fontId="10" fillId="0" borderId="0" xfId="0" applyFont="1" applyFill="1" applyAlignment="1" applyProtection="1">
      <alignment horizontal="center"/>
    </xf>
    <xf numFmtId="2" fontId="11" fillId="0" borderId="8" xfId="0" applyNumberFormat="1" applyFont="1" applyFill="1" applyBorder="1" applyAlignment="1" applyProtection="1">
      <alignment horizontal="center"/>
    </xf>
    <xf numFmtId="2" fontId="11" fillId="0" borderId="12" xfId="0" applyNumberFormat="1" applyFont="1" applyFill="1" applyBorder="1" applyAlignment="1" applyProtection="1">
      <alignment horizontal="center"/>
    </xf>
    <xf numFmtId="0" fontId="10" fillId="0" borderId="8" xfId="0" applyFont="1" applyBorder="1" applyAlignment="1" applyProtection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1" fillId="4" borderId="10" xfId="0" applyFont="1" applyFill="1" applyBorder="1" applyAlignment="1" applyProtection="1">
      <alignment horizontal="left"/>
      <protection locked="0"/>
    </xf>
    <xf numFmtId="0" fontId="0" fillId="4" borderId="22" xfId="0" applyFill="1" applyBorder="1" applyAlignment="1" applyProtection="1">
      <alignment horizontal="left"/>
      <protection locked="0"/>
    </xf>
    <xf numFmtId="0" fontId="0" fillId="4" borderId="11" xfId="0" applyFill="1" applyBorder="1" applyAlignment="1" applyProtection="1">
      <alignment horizontal="left"/>
      <protection locked="0"/>
    </xf>
    <xf numFmtId="0" fontId="2" fillId="4" borderId="10" xfId="0" applyFont="1" applyFill="1" applyBorder="1" applyAlignment="1" applyProtection="1">
      <alignment horizontal="left"/>
      <protection locked="0"/>
    </xf>
    <xf numFmtId="14" fontId="0" fillId="4" borderId="10" xfId="0" quotePrefix="1" applyNumberFormat="1" applyFill="1" applyBorder="1" applyAlignment="1" applyProtection="1">
      <alignment horizontal="left"/>
      <protection locked="0"/>
    </xf>
    <xf numFmtId="0" fontId="0" fillId="4" borderId="10" xfId="0" quotePrefix="1" applyFill="1" applyBorder="1" applyAlignment="1" applyProtection="1">
      <alignment horizontal="left"/>
      <protection locked="0"/>
    </xf>
    <xf numFmtId="0" fontId="5" fillId="0" borderId="39" xfId="0" applyFont="1" applyBorder="1" applyAlignment="1">
      <alignment horizontal="center"/>
    </xf>
    <xf numFmtId="0" fontId="5" fillId="0" borderId="47" xfId="0" applyFont="1" applyBorder="1" applyAlignment="1">
      <alignment horizontal="center"/>
    </xf>
    <xf numFmtId="0" fontId="5" fillId="0" borderId="48" xfId="0" applyFont="1" applyBorder="1" applyAlignment="1">
      <alignment horizontal="center"/>
    </xf>
    <xf numFmtId="168" fontId="14" fillId="0" borderId="47" xfId="0" applyNumberFormat="1" applyFont="1" applyBorder="1" applyAlignment="1" applyProtection="1">
      <alignment horizontal="left" vertical="center"/>
      <protection locked="0"/>
    </xf>
    <xf numFmtId="168" fontId="14" fillId="0" borderId="48" xfId="0" applyNumberFormat="1" applyFont="1" applyBorder="1" applyAlignment="1" applyProtection="1">
      <alignment horizontal="left" vertical="center"/>
      <protection locked="0"/>
    </xf>
    <xf numFmtId="0" fontId="14" fillId="0" borderId="50" xfId="0" applyFont="1" applyBorder="1" applyAlignment="1" applyProtection="1">
      <alignment horizontal="left" vertical="center"/>
      <protection locked="0"/>
    </xf>
    <xf numFmtId="0" fontId="14" fillId="0" borderId="51" xfId="0" applyFont="1" applyBorder="1" applyAlignment="1" applyProtection="1">
      <alignment horizontal="left" vertical="center"/>
      <protection locked="0"/>
    </xf>
    <xf numFmtId="0" fontId="2" fillId="0" borderId="52" xfId="0" applyFont="1" applyBorder="1" applyAlignment="1">
      <alignment horizontal="left"/>
    </xf>
    <xf numFmtId="0" fontId="2" fillId="0" borderId="53" xfId="0" applyFont="1" applyBorder="1" applyAlignment="1">
      <alignment horizontal="left"/>
    </xf>
    <xf numFmtId="0" fontId="2" fillId="0" borderId="47" xfId="0" applyFont="1" applyBorder="1" applyAlignment="1" applyProtection="1">
      <alignment horizontal="left"/>
    </xf>
    <xf numFmtId="0" fontId="2" fillId="0" borderId="48" xfId="0" applyFont="1" applyBorder="1" applyAlignment="1" applyProtection="1">
      <alignment horizontal="left"/>
    </xf>
    <xf numFmtId="0" fontId="2" fillId="0" borderId="50" xfId="0" applyFont="1" applyBorder="1" applyAlignment="1" applyProtection="1">
      <alignment horizontal="left"/>
    </xf>
    <xf numFmtId="0" fontId="2" fillId="0" borderId="51" xfId="0" applyFont="1" applyBorder="1" applyAlignment="1" applyProtection="1">
      <alignment horizontal="left"/>
    </xf>
    <xf numFmtId="0" fontId="2" fillId="0" borderId="52" xfId="0" applyFont="1" applyBorder="1" applyAlignment="1" applyProtection="1">
      <alignment horizontal="left"/>
    </xf>
    <xf numFmtId="0" fontId="2" fillId="0" borderId="53" xfId="0" applyFont="1" applyBorder="1" applyAlignment="1" applyProtection="1">
      <alignment horizontal="left"/>
    </xf>
    <xf numFmtId="0" fontId="0" fillId="0" borderId="4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46" xfId="0" applyBorder="1" applyAlignment="1">
      <alignment horizontal="center"/>
    </xf>
    <xf numFmtId="0" fontId="19" fillId="0" borderId="7" xfId="0" applyFont="1" applyBorder="1" applyAlignment="1" applyProtection="1">
      <alignment horizontal="center" vertical="center"/>
    </xf>
    <xf numFmtId="0" fontId="19" fillId="0" borderId="1" xfId="0" applyFont="1" applyBorder="1" applyAlignment="1" applyProtection="1">
      <alignment horizontal="center" vertical="center"/>
    </xf>
    <xf numFmtId="0" fontId="19" fillId="0" borderId="8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/>
    </xf>
    <xf numFmtId="0" fontId="19" fillId="0" borderId="15" xfId="0" applyFont="1" applyBorder="1" applyAlignment="1" applyProtection="1">
      <alignment horizontal="center" vertical="center"/>
    </xf>
    <xf numFmtId="0" fontId="19" fillId="0" borderId="14" xfId="0" applyFont="1" applyBorder="1" applyAlignment="1" applyProtection="1">
      <alignment horizontal="center" vertical="center"/>
    </xf>
    <xf numFmtId="0" fontId="0" fillId="0" borderId="49" xfId="0" applyBorder="1" applyAlignment="1">
      <alignment horizontal="center"/>
    </xf>
  </cellXfs>
  <cellStyles count="3">
    <cellStyle name="Normal_Sheet1" xfId="1" xr:uid="{00000000-0005-0000-0000-000000000000}"/>
    <cellStyle name="Standaard" xfId="0" builtinId="0"/>
    <cellStyle name="Standaard_INVOER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52"/>
          <c:y val="2.81690571343424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527E-2"/>
          <c:y val="0.1674493951874805"/>
          <c:w val="0.88606242549520853"/>
          <c:h val="0.73239548549290501"/>
        </c:manualLayout>
      </c:layout>
      <c:scatterChart>
        <c:scatterStyle val="smoothMarker"/>
        <c:varyColors val="0"/>
        <c:ser>
          <c:idx val="1"/>
          <c:order val="0"/>
          <c:tx>
            <c:v>PSD user defined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Berekening!$AD$76:$AD$146</c:f>
              <c:numCache>
                <c:formatCode>General</c:formatCode>
                <c:ptCount val="71"/>
                <c:pt idx="0">
                  <c:v>1E-8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80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10000</c:v>
                </c:pt>
              </c:numCache>
            </c:numRef>
          </c:xVal>
          <c:yVal>
            <c:numRef>
              <c:f>Berekening!$AA$76:$AA$146</c:f>
              <c:numCache>
                <c:formatCode>General</c:formatCode>
                <c:ptCount val="71"/>
                <c:pt idx="0">
                  <c:v>100</c:v>
                </c:pt>
                <c:pt idx="1">
                  <c:v>99.2</c:v>
                </c:pt>
                <c:pt idx="2">
                  <c:v>85.2</c:v>
                </c:pt>
                <c:pt idx="3">
                  <c:v>57.5</c:v>
                </c:pt>
                <c:pt idx="4">
                  <c:v>15.4</c:v>
                </c:pt>
                <c:pt idx="5">
                  <c:v>10</c:v>
                </c:pt>
                <c:pt idx="6">
                  <c:v>6.7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F3-4FF1-90A8-E922579EAAAF}"/>
            </c:ext>
          </c:extLst>
        </c:ser>
        <c:ser>
          <c:idx val="0"/>
          <c:order val="1"/>
          <c:tx>
            <c:v>PSD Rosin Rammler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Berekening!$A$76:$A$186</c:f>
              <c:numCache>
                <c:formatCode>General</c:formatCode>
                <c:ptCount val="111"/>
                <c:pt idx="0">
                  <c:v>0.65080185230369958</c:v>
                </c:pt>
                <c:pt idx="1">
                  <c:v>0.68153985529814975</c:v>
                </c:pt>
                <c:pt idx="2">
                  <c:v>0.7137296440008648</c:v>
                </c:pt>
                <c:pt idx="3">
                  <c:v>0.74743978765959651</c:v>
                </c:pt>
                <c:pt idx="4">
                  <c:v>0.7827420941142047</c:v>
                </c:pt>
                <c:pt idx="5">
                  <c:v>0.81971176275850499</c:v>
                </c:pt>
                <c:pt idx="6">
                  <c:v>0.85842754472665306</c:v>
                </c:pt>
                <c:pt idx="7">
                  <c:v>0.89897191064528759</c:v>
                </c:pt>
                <c:pt idx="8">
                  <c:v>0.9414312263087693</c:v>
                </c:pt>
                <c:pt idx="9">
                  <c:v>0.98589593665173236</c:v>
                </c:pt>
                <c:pt idx="10">
                  <c:v>1.0324607584108374</c:v>
                </c:pt>
                <c:pt idx="11">
                  <c:v>1.0812248818861268</c:v>
                </c:pt>
                <c:pt idx="12">
                  <c:v>1.1322921822317635</c:v>
                </c:pt>
                <c:pt idx="13">
                  <c:v>1.1857714407262381</c:v>
                </c:pt>
                <c:pt idx="14">
                  <c:v>1.2417765764933806</c:v>
                </c:pt>
                <c:pt idx="15">
                  <c:v>1.3004268891677819</c:v>
                </c:pt>
                <c:pt idx="16">
                  <c:v>1.3618473130215381</c:v>
                </c:pt>
                <c:pt idx="17">
                  <c:v>1.4261686830936464</c:v>
                </c:pt>
                <c:pt idx="18">
                  <c:v>1.4935280138889535</c:v>
                </c:pt>
                <c:pt idx="19">
                  <c:v>1.5640687912403226</c:v>
                </c:pt>
                <c:pt idx="20">
                  <c:v>1.6379412779557354</c:v>
                </c:pt>
                <c:pt idx="21">
                  <c:v>1.7153028339014031</c:v>
                </c:pt>
                <c:pt idx="22">
                  <c:v>1.7963182512027138</c:v>
                </c:pt>
                <c:pt idx="23">
                  <c:v>1.8811601052770444</c:v>
                </c:pt>
                <c:pt idx="24">
                  <c:v>1.9700091224461942</c:v>
                </c:pt>
                <c:pt idx="25">
                  <c:v>2.0630545649115106</c:v>
                </c:pt>
                <c:pt idx="26">
                  <c:v>2.1604946339117621</c:v>
                </c:pt>
                <c:pt idx="27">
                  <c:v>2.2625368919225508</c:v>
                </c:pt>
                <c:pt idx="28">
                  <c:v>2.3693987047966103</c:v>
                </c:pt>
                <c:pt idx="29">
                  <c:v>2.4813077047868219</c:v>
                </c:pt>
                <c:pt idx="30">
                  <c:v>2.5985022754382552</c:v>
                </c:pt>
                <c:pt idx="31">
                  <c:v>2.72123205938213</c:v>
                </c:pt>
                <c:pt idx="32">
                  <c:v>2.8497584901133814</c:v>
                </c:pt>
                <c:pt idx="33">
                  <c:v>2.9843553488845944</c:v>
                </c:pt>
                <c:pt idx="34">
                  <c:v>3.1253093479025784</c:v>
                </c:pt>
                <c:pt idx="35">
                  <c:v>3.2729207410698846</c:v>
                </c:pt>
                <c:pt idx="36">
                  <c:v>3.4275039635722342</c:v>
                </c:pt>
                <c:pt idx="37">
                  <c:v>3.5893883016742851</c:v>
                </c:pt>
                <c:pt idx="38">
                  <c:v>3.7589185941504999</c:v>
                </c:pt>
                <c:pt idx="39">
                  <c:v>3.9364559668452759</c:v>
                </c:pt>
                <c:pt idx="40">
                  <c:v>4.1223786019270623</c:v>
                </c:pt>
                <c:pt idx="41">
                  <c:v>4.3170825434750952</c:v>
                </c:pt>
                <c:pt idx="42">
                  <c:v>4.5209825411147788</c:v>
                </c:pt>
                <c:pt idx="43">
                  <c:v>4.7345129334987783</c:v>
                </c:pt>
                <c:pt idx="44">
                  <c:v>4.9581285735157898</c:v>
                </c:pt>
                <c:pt idx="45">
                  <c:v>5.192305797197811</c:v>
                </c:pt>
                <c:pt idx="46">
                  <c:v>5.4375434383898469</c:v>
                </c:pt>
                <c:pt idx="47">
                  <c:v>5.6943638913434498</c:v>
                </c:pt>
                <c:pt idx="48">
                  <c:v>5.9633142234975809</c:v>
                </c:pt>
                <c:pt idx="49">
                  <c:v>6.2449673408171948</c:v>
                </c:pt>
                <c:pt idx="50">
                  <c:v>6.5399232081718939</c:v>
                </c:pt>
                <c:pt idx="51">
                  <c:v>6.8488101273542519</c:v>
                </c:pt>
                <c:pt idx="52">
                  <c:v>7.1722860754601836</c:v>
                </c:pt>
                <c:pt idx="53">
                  <c:v>7.5110401064823149</c:v>
                </c:pt>
                <c:pt idx="54">
                  <c:v>7.8657938191019738</c:v>
                </c:pt>
                <c:pt idx="55">
                  <c:v>8.2373028938064152</c:v>
                </c:pt>
                <c:pt idx="56">
                  <c:v>8.6263587026055859</c:v>
                </c:pt>
                <c:pt idx="57">
                  <c:v>9.0337899947773774</c:v>
                </c:pt>
                <c:pt idx="58">
                  <c:v>9.4604646622322566</c:v>
                </c:pt>
                <c:pt idx="59">
                  <c:v>9.9072915882577899</c:v>
                </c:pt>
                <c:pt idx="60">
                  <c:v>10.375222583581154</c:v>
                </c:pt>
                <c:pt idx="61">
                  <c:v>10.865254413873766</c:v>
                </c:pt>
                <c:pt idx="62">
                  <c:v>11.378430923016925</c:v>
                </c:pt>
                <c:pt idx="63">
                  <c:v>11.915845256651345</c:v>
                </c:pt>
                <c:pt idx="64">
                  <c:v>12.47864219074709</c:v>
                </c:pt>
                <c:pt idx="65">
                  <c:v>13.068020570154133</c:v>
                </c:pt>
                <c:pt idx="66">
                  <c:v>13.685235862328017</c:v>
                </c:pt>
                <c:pt idx="67">
                  <c:v>14.331602831670468</c:v>
                </c:pt>
                <c:pt idx="68">
                  <c:v>15.008498340181688</c:v>
                </c:pt>
                <c:pt idx="69">
                  <c:v>15.717364280390203</c:v>
                </c:pt>
                <c:pt idx="70">
                  <c:v>16.459710646807807</c:v>
                </c:pt>
                <c:pt idx="71">
                  <c:v>17.237118752452322</c:v>
                </c:pt>
                <c:pt idx="72">
                  <c:v>18.051244597289841</c:v>
                </c:pt>
                <c:pt idx="73">
                  <c:v>18.903822395771765</c:v>
                </c:pt>
                <c:pt idx="74">
                  <c:v>19.796668270980845</c:v>
                </c:pt>
                <c:pt idx="75">
                  <c:v>20.731684123255313</c:v>
                </c:pt>
                <c:pt idx="76">
                  <c:v>21.710861681531899</c:v>
                </c:pt>
                <c:pt idx="77">
                  <c:v>22.736286746037706</c:v>
                </c:pt>
                <c:pt idx="78">
                  <c:v>23.810143631368533</c:v>
                </c:pt>
                <c:pt idx="79">
                  <c:v>24.934719819418103</c:v>
                </c:pt>
                <c:pt idx="80">
                  <c:v>26.112410832069653</c:v>
                </c:pt>
                <c:pt idx="81">
                  <c:v>27.345725334029478</c:v>
                </c:pt>
                <c:pt idx="82">
                  <c:v>28.637290476672252</c:v>
                </c:pt>
                <c:pt idx="83">
                  <c:v>29.989857494281349</c:v>
                </c:pt>
                <c:pt idx="84">
                  <c:v>31.406307564605022</c:v>
                </c:pt>
                <c:pt idx="85">
                  <c:v>32.889657946212353</c:v>
                </c:pt>
                <c:pt idx="86">
                  <c:v>34.443068405722457</c:v>
                </c:pt>
                <c:pt idx="87">
                  <c:v>36.069847948597968</c:v>
                </c:pt>
                <c:pt idx="88">
                  <c:v>37.773461867840439</c:v>
                </c:pt>
                <c:pt idx="89">
                  <c:v>39.55753912560246</c:v>
                </c:pt>
                <c:pt idx="90">
                  <c:v>41.425880083440475</c:v>
                </c:pt>
                <c:pt idx="91">
                  <c:v>43.382464597674947</c:v>
                </c:pt>
                <c:pt idx="92">
                  <c:v>45.431460497102229</c:v>
                </c:pt>
                <c:pt idx="93">
                  <c:v>47.577232461117021</c:v>
                </c:pt>
                <c:pt idx="94">
                  <c:v>49.824351317157117</c:v>
                </c:pt>
                <c:pt idx="95">
                  <c:v>52.177603777275543</c:v>
                </c:pt>
                <c:pt idx="96">
                  <c:v>54.642002634580415</c:v>
                </c:pt>
                <c:pt idx="97">
                  <c:v>57.222797441262522</c:v>
                </c:pt>
                <c:pt idx="98">
                  <c:v>59.925485690956585</c:v>
                </c:pt>
                <c:pt idx="99">
                  <c:v>62.755824529256216</c:v>
                </c:pt>
                <c:pt idx="100">
                  <c:v>65.719843017327904</c:v>
                </c:pt>
                <c:pt idx="101">
                  <c:v>68.823854974747363</c:v>
                </c:pt>
                <c:pt idx="102">
                  <c:v>72.074472428915541</c:v>
                </c:pt>
                <c:pt idx="103">
                  <c:v>75.478619699703557</c:v>
                </c:pt>
                <c:pt idx="104">
                  <c:v>79.043548149329084</c:v>
                </c:pt>
                <c:pt idx="105">
                  <c:v>82.776851628883776</c:v>
                </c:pt>
                <c:pt idx="106">
                  <c:v>86.686482654415073</c:v>
                </c:pt>
                <c:pt idx="107">
                  <c:v>90.78076934702014</c:v>
                </c:pt>
                <c:pt idx="108">
                  <c:v>95.06843317303678</c:v>
                </c:pt>
                <c:pt idx="109">
                  <c:v>99.55860752212088</c:v>
                </c:pt>
                <c:pt idx="110" formatCode="0.00">
                  <c:v>104.26085716278493</c:v>
                </c:pt>
              </c:numCache>
            </c:numRef>
          </c:xVal>
          <c:yVal>
            <c:numRef>
              <c:f>Berekening!$S$76:$S$186</c:f>
              <c:numCache>
                <c:formatCode>General</c:formatCode>
                <c:ptCount val="111"/>
                <c:pt idx="0">
                  <c:v>99.999999998597843</c:v>
                </c:pt>
                <c:pt idx="1">
                  <c:v>99.999999998028798</c:v>
                </c:pt>
                <c:pt idx="2">
                  <c:v>99.999999997228812</c:v>
                </c:pt>
                <c:pt idx="3">
                  <c:v>99.999999996104165</c:v>
                </c:pt>
                <c:pt idx="4">
                  <c:v>99.999999994523066</c:v>
                </c:pt>
                <c:pt idx="5">
                  <c:v>99.999999992300332</c:v>
                </c:pt>
                <c:pt idx="6">
                  <c:v>99.999999989175521</c:v>
                </c:pt>
                <c:pt idx="7">
                  <c:v>99.999999984782534</c:v>
                </c:pt>
                <c:pt idx="8">
                  <c:v>99.999999978606695</c:v>
                </c:pt>
                <c:pt idx="9">
                  <c:v>99.999999969924474</c:v>
                </c:pt>
                <c:pt idx="10">
                  <c:v>99.999999957718686</c:v>
                </c:pt>
                <c:pt idx="11">
                  <c:v>99.999999940559334</c:v>
                </c:pt>
                <c:pt idx="12">
                  <c:v>99.999999916436053</c:v>
                </c:pt>
                <c:pt idx="13">
                  <c:v>99.999999882522644</c:v>
                </c:pt>
                <c:pt idx="14">
                  <c:v>99.999999834845866</c:v>
                </c:pt>
                <c:pt idx="15">
                  <c:v>99.999999767820043</c:v>
                </c:pt>
                <c:pt idx="16">
                  <c:v>99.999999673592626</c:v>
                </c:pt>
                <c:pt idx="17">
                  <c:v>99.999999541124112</c:v>
                </c:pt>
                <c:pt idx="18">
                  <c:v>99.999999354894882</c:v>
                </c:pt>
                <c:pt idx="19">
                  <c:v>99.999999093086757</c:v>
                </c:pt>
                <c:pt idx="20">
                  <c:v>99.999998725026956</c:v>
                </c:pt>
                <c:pt idx="21">
                  <c:v>99.99999820759453</c:v>
                </c:pt>
                <c:pt idx="22">
                  <c:v>99.999997480168403</c:v>
                </c:pt>
                <c:pt idx="23">
                  <c:v>99.999996457525171</c:v>
                </c:pt>
                <c:pt idx="24">
                  <c:v>99.999995019854524</c:v>
                </c:pt>
                <c:pt idx="25">
                  <c:v>99.999992998722647</c:v>
                </c:pt>
                <c:pt idx="26">
                  <c:v>99.999990157338829</c:v>
                </c:pt>
                <c:pt idx="27">
                  <c:v>99.999986162813812</c:v>
                </c:pt>
                <c:pt idx="28">
                  <c:v>99.999980547159268</c:v>
                </c:pt>
                <c:pt idx="29">
                  <c:v>99.999972652459618</c:v>
                </c:pt>
                <c:pt idx="30">
                  <c:v>99.999961553792417</c:v>
                </c:pt>
                <c:pt idx="31">
                  <c:v>99.999945950867101</c:v>
                </c:pt>
                <c:pt idx="32">
                  <c:v>99.999924015686886</c:v>
                </c:pt>
                <c:pt idx="33">
                  <c:v>99.999893178386543</c:v>
                </c:pt>
                <c:pt idx="34">
                  <c:v>99.99984982615598</c:v>
                </c:pt>
                <c:pt idx="35">
                  <c:v>99.999788879977388</c:v>
                </c:pt>
                <c:pt idx="36">
                  <c:v>99.999703199590314</c:v>
                </c:pt>
                <c:pt idx="37">
                  <c:v>99.999582746975932</c:v>
                </c:pt>
                <c:pt idx="38">
                  <c:v>99.999413410366515</c:v>
                </c:pt>
                <c:pt idx="39">
                  <c:v>99.999175351021933</c:v>
                </c:pt>
                <c:pt idx="40">
                  <c:v>99.998840679122708</c:v>
                </c:pt>
                <c:pt idx="41">
                  <c:v>99.998370186564784</c:v>
                </c:pt>
                <c:pt idx="42">
                  <c:v>99.997708754021787</c:v>
                </c:pt>
                <c:pt idx="43">
                  <c:v>99.996778894459297</c:v>
                </c:pt>
                <c:pt idx="44">
                  <c:v>99.995471677233468</c:v>
                </c:pt>
                <c:pt idx="45">
                  <c:v>99.993633970565625</c:v>
                </c:pt>
                <c:pt idx="46">
                  <c:v>99.991050509930659</c:v>
                </c:pt>
                <c:pt idx="47">
                  <c:v>99.987418695839722</c:v>
                </c:pt>
                <c:pt idx="48">
                  <c:v>99.982313176891495</c:v>
                </c:pt>
                <c:pt idx="49">
                  <c:v>99.97513608553335</c:v>
                </c:pt>
                <c:pt idx="50">
                  <c:v>99.965047129478464</c:v>
                </c:pt>
                <c:pt idx="51">
                  <c:v>99.95086541405594</c:v>
                </c:pt>
                <c:pt idx="52">
                  <c:v>99.93093162281734</c:v>
                </c:pt>
                <c:pt idx="53">
                  <c:v>99.902914665731231</c:v>
                </c:pt>
                <c:pt idx="54">
                  <c:v>99.863540647637336</c:v>
                </c:pt>
                <c:pt idx="55">
                  <c:v>99.808213400875346</c:v>
                </c:pt>
                <c:pt idx="56">
                  <c:v>99.730484091945442</c:v>
                </c:pt>
                <c:pt idx="57">
                  <c:v>99.621311640456454</c:v>
                </c:pt>
                <c:pt idx="58">
                  <c:v>99.468034938286337</c:v>
                </c:pt>
                <c:pt idx="59">
                  <c:v>99.252951467809169</c:v>
                </c:pt>
                <c:pt idx="60">
                  <c:v>98.951365241681088</c:v>
                </c:pt>
                <c:pt idx="61">
                  <c:v>98.528932959453869</c:v>
                </c:pt>
                <c:pt idx="62">
                  <c:v>97.938109617881494</c:v>
                </c:pt>
                <c:pt idx="63">
                  <c:v>97.113494214954486</c:v>
                </c:pt>
                <c:pt idx="64">
                  <c:v>95.965946687179255</c:v>
                </c:pt>
                <c:pt idx="65">
                  <c:v>94.375575667914163</c:v>
                </c:pt>
                <c:pt idx="66">
                  <c:v>92.1842424848695</c:v>
                </c:pt>
                <c:pt idx="67">
                  <c:v>89.189357585378715</c:v>
                </c:pt>
                <c:pt idx="68">
                  <c:v>85.166655017069488</c:v>
                </c:pt>
                <c:pt idx="69">
                  <c:v>82.210158078000433</c:v>
                </c:pt>
                <c:pt idx="70">
                  <c:v>78.741724295533416</c:v>
                </c:pt>
                <c:pt idx="71">
                  <c:v>74.707622771715236</c:v>
                </c:pt>
                <c:pt idx="72">
                  <c:v>70.064655924127436</c:v>
                </c:pt>
                <c:pt idx="73">
                  <c:v>64.788988743623875</c:v>
                </c:pt>
                <c:pt idx="74">
                  <c:v>58.887379532425953</c:v>
                </c:pt>
                <c:pt idx="75">
                  <c:v>53.98515054503018</c:v>
                </c:pt>
                <c:pt idx="76">
                  <c:v>49.256212940869673</c:v>
                </c:pt>
                <c:pt idx="77">
                  <c:v>44.33299905950647</c:v>
                </c:pt>
                <c:pt idx="78">
                  <c:v>39.281869455587419</c:v>
                </c:pt>
                <c:pt idx="79">
                  <c:v>34.185721227562176</c:v>
                </c:pt>
                <c:pt idx="80">
                  <c:v>29.142253106221734</c:v>
                </c:pt>
                <c:pt idx="81">
                  <c:v>24.260108293193195</c:v>
                </c:pt>
                <c:pt idx="82">
                  <c:v>19.652624893525889</c:v>
                </c:pt>
                <c:pt idx="83">
                  <c:v>15.42927900434311</c:v>
                </c:pt>
                <c:pt idx="84">
                  <c:v>14.461172380134835</c:v>
                </c:pt>
                <c:pt idx="85">
                  <c:v>13.544279948777929</c:v>
                </c:pt>
                <c:pt idx="86">
                  <c:v>12.657405578380773</c:v>
                </c:pt>
                <c:pt idx="87">
                  <c:v>11.801499276092734</c:v>
                </c:pt>
                <c:pt idx="88">
                  <c:v>10.97740371159459</c:v>
                </c:pt>
                <c:pt idx="89">
                  <c:v>10.185847304206426</c:v>
                </c:pt>
                <c:pt idx="90">
                  <c:v>9.4299696501706904</c:v>
                </c:pt>
                <c:pt idx="91">
                  <c:v>8.7082581848109513</c:v>
                </c:pt>
                <c:pt idx="92">
                  <c:v>8.020220561107573</c:v>
                </c:pt>
                <c:pt idx="93">
                  <c:v>7.3660730935369028</c:v>
                </c:pt>
                <c:pt idx="94">
                  <c:v>6.7458983240678725</c:v>
                </c:pt>
                <c:pt idx="95">
                  <c:v>6.1341829033613209</c:v>
                </c:pt>
                <c:pt idx="96">
                  <c:v>5.5573062278249328</c:v>
                </c:pt>
                <c:pt idx="97">
                  <c:v>5.0171176947747611</c:v>
                </c:pt>
                <c:pt idx="98">
                  <c:v>4.5130786719145553</c:v>
                </c:pt>
                <c:pt idx="99">
                  <c:v>4.0130942785835595</c:v>
                </c:pt>
                <c:pt idx="100">
                  <c:v>3.5518604219535592</c:v>
                </c:pt>
                <c:pt idx="101">
                  <c:v>3.1290983222386424</c:v>
                </c:pt>
                <c:pt idx="102">
                  <c:v>2.7434236677230417</c:v>
                </c:pt>
                <c:pt idx="103">
                  <c:v>2.3933023346300382</c:v>
                </c:pt>
                <c:pt idx="104">
                  <c:v>2.0770689204652015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F3-4FF1-90A8-E922579EAAAF}"/>
            </c:ext>
          </c:extLst>
        </c:ser>
        <c:ser>
          <c:idx val="3"/>
          <c:order val="2"/>
          <c:tx>
            <c:v>Grade Efficiency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Berekening!$B$76:$B$186</c:f>
              <c:numCache>
                <c:formatCode>General</c:formatCode>
                <c:ptCount val="111"/>
                <c:pt idx="0">
                  <c:v>0.32540092615184979</c:v>
                </c:pt>
                <c:pt idx="1">
                  <c:v>0.66617085380092467</c:v>
                </c:pt>
                <c:pt idx="2">
                  <c:v>0.69763474964950722</c:v>
                </c:pt>
                <c:pt idx="3">
                  <c:v>0.73058471583023066</c:v>
                </c:pt>
                <c:pt idx="4">
                  <c:v>0.76509094088690066</c:v>
                </c:pt>
                <c:pt idx="5">
                  <c:v>0.8012269284363549</c:v>
                </c:pt>
                <c:pt idx="6">
                  <c:v>0.83906965374257902</c:v>
                </c:pt>
                <c:pt idx="7">
                  <c:v>0.87869972768597027</c:v>
                </c:pt>
                <c:pt idx="8">
                  <c:v>0.92020156847702839</c:v>
                </c:pt>
                <c:pt idx="9">
                  <c:v>0.96366358148025077</c:v>
                </c:pt>
                <c:pt idx="10">
                  <c:v>1.009178347531285</c:v>
                </c:pt>
                <c:pt idx="11">
                  <c:v>1.0568428201484821</c:v>
                </c:pt>
                <c:pt idx="12">
                  <c:v>1.106758532058945</c:v>
                </c:pt>
                <c:pt idx="13">
                  <c:v>1.1590318114790008</c:v>
                </c:pt>
                <c:pt idx="14">
                  <c:v>1.2137740086098092</c:v>
                </c:pt>
                <c:pt idx="15">
                  <c:v>1.2711017328305814</c:v>
                </c:pt>
                <c:pt idx="16">
                  <c:v>1.33113710109466</c:v>
                </c:pt>
                <c:pt idx="17">
                  <c:v>1.3940079980575923</c:v>
                </c:pt>
                <c:pt idx="18">
                  <c:v>1.4598483484912999</c:v>
                </c:pt>
                <c:pt idx="19">
                  <c:v>1.5287984025646382</c:v>
                </c:pt>
                <c:pt idx="20">
                  <c:v>1.6010050345980291</c:v>
                </c:pt>
                <c:pt idx="21">
                  <c:v>1.6766220559285694</c:v>
                </c:pt>
                <c:pt idx="22">
                  <c:v>1.7558105425520585</c:v>
                </c:pt>
                <c:pt idx="23">
                  <c:v>1.8387391782398792</c:v>
                </c:pt>
                <c:pt idx="24">
                  <c:v>1.9255846138616193</c:v>
                </c:pt>
                <c:pt idx="25">
                  <c:v>2.0165318436788526</c:v>
                </c:pt>
                <c:pt idx="26">
                  <c:v>2.1117745994116364</c:v>
                </c:pt>
                <c:pt idx="27">
                  <c:v>2.2115157629171565</c:v>
                </c:pt>
                <c:pt idx="28">
                  <c:v>2.3159677983595808</c:v>
                </c:pt>
                <c:pt idx="29">
                  <c:v>2.4253532047917163</c:v>
                </c:pt>
                <c:pt idx="30">
                  <c:v>2.5399049901125386</c:v>
                </c:pt>
                <c:pt idx="31">
                  <c:v>2.6598671674101926</c:v>
                </c:pt>
                <c:pt idx="32">
                  <c:v>2.7854952747477557</c:v>
                </c:pt>
                <c:pt idx="33">
                  <c:v>2.9170569194989877</c:v>
                </c:pt>
                <c:pt idx="34">
                  <c:v>3.0548323483935862</c:v>
                </c:pt>
                <c:pt idx="35">
                  <c:v>3.1991150444862315</c:v>
                </c:pt>
                <c:pt idx="36">
                  <c:v>3.3502123523210594</c:v>
                </c:pt>
                <c:pt idx="37">
                  <c:v>3.5084461326232597</c:v>
                </c:pt>
                <c:pt idx="38">
                  <c:v>3.6741534479123925</c:v>
                </c:pt>
                <c:pt idx="39">
                  <c:v>3.8476872804978877</c:v>
                </c:pt>
                <c:pt idx="40">
                  <c:v>4.0294172843861693</c:v>
                </c:pt>
                <c:pt idx="41">
                  <c:v>4.2197305727010788</c:v>
                </c:pt>
                <c:pt idx="42">
                  <c:v>4.4190325422949375</c:v>
                </c:pt>
                <c:pt idx="43">
                  <c:v>4.6277477373067786</c:v>
                </c:pt>
                <c:pt idx="44">
                  <c:v>4.8463207535072836</c:v>
                </c:pt>
                <c:pt idx="45">
                  <c:v>5.0752171853568004</c:v>
                </c:pt>
                <c:pt idx="46">
                  <c:v>5.314924617793829</c:v>
                </c:pt>
                <c:pt idx="47">
                  <c:v>5.5659536648666483</c:v>
                </c:pt>
                <c:pt idx="48">
                  <c:v>5.8288390574205149</c:v>
                </c:pt>
                <c:pt idx="49">
                  <c:v>6.1041407821573879</c:v>
                </c:pt>
                <c:pt idx="50">
                  <c:v>6.3924452744945448</c:v>
                </c:pt>
                <c:pt idx="51">
                  <c:v>6.6943666677630729</c:v>
                </c:pt>
                <c:pt idx="52">
                  <c:v>7.0105481014072177</c:v>
                </c:pt>
                <c:pt idx="53">
                  <c:v>7.3416630909712488</c:v>
                </c:pt>
                <c:pt idx="54">
                  <c:v>7.6884169627921448</c:v>
                </c:pt>
                <c:pt idx="55">
                  <c:v>8.0515483564541945</c:v>
                </c:pt>
                <c:pt idx="56">
                  <c:v>8.4318307982060006</c:v>
                </c:pt>
                <c:pt idx="57">
                  <c:v>8.8300743486914826</c:v>
                </c:pt>
                <c:pt idx="58">
                  <c:v>9.247127328504817</c:v>
                </c:pt>
                <c:pt idx="59">
                  <c:v>9.6838781252450232</c:v>
                </c:pt>
                <c:pt idx="60">
                  <c:v>10.141257085919472</c:v>
                </c:pt>
                <c:pt idx="61">
                  <c:v>10.62023849872746</c:v>
                </c:pt>
                <c:pt idx="62">
                  <c:v>11.121842668445346</c:v>
                </c:pt>
                <c:pt idx="63">
                  <c:v>11.647138089834135</c:v>
                </c:pt>
                <c:pt idx="64">
                  <c:v>12.197243723699216</c:v>
                </c:pt>
                <c:pt idx="65">
                  <c:v>12.77333138045061</c:v>
                </c:pt>
                <c:pt idx="66">
                  <c:v>13.376628216241075</c:v>
                </c:pt>
                <c:pt idx="67">
                  <c:v>14.008419346999244</c:v>
                </c:pt>
                <c:pt idx="68">
                  <c:v>14.670050585926077</c:v>
                </c:pt>
                <c:pt idx="69">
                  <c:v>15.362931310285946</c:v>
                </c:pt>
                <c:pt idx="70">
                  <c:v>16.088537463599003</c:v>
                </c:pt>
                <c:pt idx="71">
                  <c:v>16.848414699630062</c:v>
                </c:pt>
                <c:pt idx="72">
                  <c:v>17.644181674871081</c:v>
                </c:pt>
                <c:pt idx="73">
                  <c:v>18.477533496530803</c:v>
                </c:pt>
                <c:pt idx="74">
                  <c:v>19.350245333376307</c:v>
                </c:pt>
                <c:pt idx="75">
                  <c:v>20.264176197118079</c:v>
                </c:pt>
                <c:pt idx="76">
                  <c:v>21.221272902393608</c:v>
                </c:pt>
                <c:pt idx="77">
                  <c:v>22.223574213784801</c:v>
                </c:pt>
                <c:pt idx="78">
                  <c:v>23.273215188703119</c:v>
                </c:pt>
                <c:pt idx="79">
                  <c:v>24.372431725393319</c:v>
                </c:pt>
                <c:pt idx="80">
                  <c:v>25.523565325743878</c:v>
                </c:pt>
                <c:pt idx="81">
                  <c:v>26.729068083049565</c:v>
                </c:pt>
                <c:pt idx="82">
                  <c:v>27.991507905350865</c:v>
                </c:pt>
                <c:pt idx="83">
                  <c:v>29.3135739854768</c:v>
                </c:pt>
                <c:pt idx="84">
                  <c:v>30.698082529443184</c:v>
                </c:pt>
                <c:pt idx="85">
                  <c:v>32.147982755408691</c:v>
                </c:pt>
                <c:pt idx="86">
                  <c:v>33.666363175967405</c:v>
                </c:pt>
                <c:pt idx="87">
                  <c:v>35.256458177160212</c:v>
                </c:pt>
                <c:pt idx="88">
                  <c:v>36.921654908219203</c:v>
                </c:pt>
                <c:pt idx="89">
                  <c:v>38.66550049672145</c:v>
                </c:pt>
                <c:pt idx="90">
                  <c:v>40.491709604521468</c:v>
                </c:pt>
                <c:pt idx="91">
                  <c:v>42.404172340557707</c:v>
                </c:pt>
                <c:pt idx="92">
                  <c:v>44.406962547388588</c:v>
                </c:pt>
                <c:pt idx="93">
                  <c:v>46.504346479109628</c:v>
                </c:pt>
                <c:pt idx="94">
                  <c:v>48.700791889137065</c:v>
                </c:pt>
                <c:pt idx="95">
                  <c:v>51.00097754721633</c:v>
                </c:pt>
                <c:pt idx="96">
                  <c:v>53.409803205927979</c:v>
                </c:pt>
                <c:pt idx="97">
                  <c:v>55.932400037921468</c:v>
                </c:pt>
                <c:pt idx="98">
                  <c:v>58.574141566109553</c:v>
                </c:pt>
                <c:pt idx="99">
                  <c:v>61.340655110106397</c:v>
                </c:pt>
                <c:pt idx="100">
                  <c:v>64.237833773292067</c:v>
                </c:pt>
                <c:pt idx="101">
                  <c:v>67.271848996037633</c:v>
                </c:pt>
                <c:pt idx="102">
                  <c:v>70.449163701831452</c:v>
                </c:pt>
                <c:pt idx="103">
                  <c:v>73.776546064309542</c:v>
                </c:pt>
                <c:pt idx="104">
                  <c:v>77.261083924516328</c:v>
                </c:pt>
                <c:pt idx="105">
                  <c:v>80.910199889106423</c:v>
                </c:pt>
                <c:pt idx="106">
                  <c:v>84.731667141649424</c:v>
                </c:pt>
                <c:pt idx="107">
                  <c:v>88.733626000717607</c:v>
                </c:pt>
                <c:pt idx="108">
                  <c:v>92.924601260028453</c:v>
                </c:pt>
                <c:pt idx="109">
                  <c:v>97.31352034757883</c:v>
                </c:pt>
                <c:pt idx="110">
                  <c:v>101.90973234245291</c:v>
                </c:pt>
              </c:numCache>
            </c:numRef>
          </c:xVal>
          <c:yVal>
            <c:numRef>
              <c:f>Berekening!$J$76:$J$186</c:f>
              <c:numCache>
                <c:formatCode>General</c:formatCode>
                <c:ptCount val="111"/>
                <c:pt idx="0">
                  <c:v>0</c:v>
                </c:pt>
                <c:pt idx="1">
                  <c:v>2.7348191964182575</c:v>
                </c:pt>
                <c:pt idx="2">
                  <c:v>6.1091665329388718</c:v>
                </c:pt>
                <c:pt idx="3">
                  <c:v>8.9126730441851976</c:v>
                </c:pt>
                <c:pt idx="4">
                  <c:v>11.455644202898057</c:v>
                </c:pt>
                <c:pt idx="5">
                  <c:v>13.840914376212794</c:v>
                </c:pt>
                <c:pt idx="6">
                  <c:v>16.118835323759484</c:v>
                </c:pt>
                <c:pt idx="7">
                  <c:v>18.318647276314508</c:v>
                </c:pt>
                <c:pt idx="8">
                  <c:v>20.459077389872746</c:v>
                </c:pt>
                <c:pt idx="9">
                  <c:v>22.552893986603678</c:v>
                </c:pt>
                <c:pt idx="10">
                  <c:v>24.60917446512147</c:v>
                </c:pt>
                <c:pt idx="11">
                  <c:v>26.634555118842613</c:v>
                </c:pt>
                <c:pt idx="12">
                  <c:v>28.633973178563068</c:v>
                </c:pt>
                <c:pt idx="13">
                  <c:v>30.611133396182353</c:v>
                </c:pt>
                <c:pt idx="14">
                  <c:v>32.568815160347398</c:v>
                </c:pt>
                <c:pt idx="15">
                  <c:v>34.509082385476191</c:v>
                </c:pt>
                <c:pt idx="16">
                  <c:v>36.433431571077655</c:v>
                </c:pt>
                <c:pt idx="17">
                  <c:v>38.342899150553244</c:v>
                </c:pt>
                <c:pt idx="18">
                  <c:v>40.238141249088521</c:v>
                </c:pt>
                <c:pt idx="19">
                  <c:v>42.119494287242489</c:v>
                </c:pt>
                <c:pt idx="20">
                  <c:v>43.987022020524655</c:v>
                </c:pt>
                <c:pt idx="21">
                  <c:v>45.840552818013514</c:v>
                </c:pt>
                <c:pt idx="22">
                  <c:v>47.679709828287208</c:v>
                </c:pt>
                <c:pt idx="23">
                  <c:v>49.503935915571631</c:v>
                </c:pt>
                <c:pt idx="24">
                  <c:v>51.312514729962096</c:v>
                </c:pt>
                <c:pt idx="25">
                  <c:v>53.104588916076835</c:v>
                </c:pt>
                <c:pt idx="26">
                  <c:v>54.879176210551577</c:v>
                </c:pt>
                <c:pt idx="27">
                  <c:v>56.63518399597011</c:v>
                </c:pt>
                <c:pt idx="28">
                  <c:v>58.371422744749097</c:v>
                </c:pt>
                <c:pt idx="29">
                  <c:v>60.086618686288659</c:v>
                </c:pt>
                <c:pt idx="30">
                  <c:v>61.779425954329312</c:v>
                </c:pt>
                <c:pt idx="31">
                  <c:v>63.448438412034193</c:v>
                </c:pt>
                <c:pt idx="32">
                  <c:v>65.092201305058978</c:v>
                </c:pt>
                <c:pt idx="33">
                  <c:v>66.709222854409091</c:v>
                </c:pt>
                <c:pt idx="34">
                  <c:v>68.297985868828505</c:v>
                </c:pt>
                <c:pt idx="35">
                  <c:v>69.856959429107349</c:v>
                </c:pt>
                <c:pt idx="36">
                  <c:v>71.384610672819306</c:v>
                </c:pt>
                <c:pt idx="37">
                  <c:v>72.879416686739134</c:v>
                </c:pt>
                <c:pt idx="38">
                  <c:v>74.339876494942914</c:v>
                </c:pt>
                <c:pt idx="39">
                  <c:v>75.764523112951593</c:v>
                </c:pt>
                <c:pt idx="40">
                  <c:v>77.151935621988912</c:v>
                </c:pt>
                <c:pt idx="41">
                  <c:v>78.500751202352717</c:v>
                </c:pt>
                <c:pt idx="42">
                  <c:v>79.809677051002836</c:v>
                </c:pt>
                <c:pt idx="43">
                  <c:v>81.077502095787821</c:v>
                </c:pt>
                <c:pt idx="44">
                  <c:v>82.30310840736179</c:v>
                </c:pt>
                <c:pt idx="45">
                  <c:v>83.485482199931994</c:v>
                </c:pt>
                <c:pt idx="46">
                  <c:v>84.623724303710873</c:v>
                </c:pt>
                <c:pt idx="47">
                  <c:v>85.717059985537787</c:v>
                </c:pt>
                <c:pt idx="48">
                  <c:v>86.764847989814527</c:v>
                </c:pt>
                <c:pt idx="49">
                  <c:v>87.766588669901509</c:v>
                </c:pt>
                <c:pt idx="50">
                  <c:v>88.721931080679624</c:v>
                </c:pt>
                <c:pt idx="51">
                  <c:v>89.630678906307622</c:v>
                </c:pt>
                <c:pt idx="52">
                  <c:v>90.492795103483004</c:v>
                </c:pt>
                <c:pt idx="53">
                  <c:v>91.308405149882347</c:v>
                </c:pt>
                <c:pt idx="54">
                  <c:v>92.077798800003677</c:v>
                </c:pt>
                <c:pt idx="55">
                  <c:v>92.801430266370943</c:v>
                </c:pt>
                <c:pt idx="56">
                  <c:v>93.479916762927488</c:v>
                </c:pt>
                <c:pt idx="57">
                  <c:v>94.114035369282661</c:v>
                </c:pt>
                <c:pt idx="58">
                  <c:v>94.704718199029443</c:v>
                </c:pt>
                <c:pt idx="59">
                  <c:v>95.25304588225724</c:v>
                </c:pt>
                <c:pt idx="60">
                  <c:v>95.601693931026261</c:v>
                </c:pt>
                <c:pt idx="61">
                  <c:v>96.029717730996211</c:v>
                </c:pt>
                <c:pt idx="62">
                  <c:v>96.428312098099994</c:v>
                </c:pt>
                <c:pt idx="63">
                  <c:v>96.798211512484116</c:v>
                </c:pt>
                <c:pt idx="64">
                  <c:v>97.14025048889296</c:v>
                </c:pt>
                <c:pt idx="65">
                  <c:v>97.455355693893253</c:v>
                </c:pt>
                <c:pt idx="66">
                  <c:v>97.744537136920442</c:v>
                </c:pt>
                <c:pt idx="67">
                  <c:v>98.008878542551997</c:v>
                </c:pt>
                <c:pt idx="68">
                  <c:v>98.249527029306179</c:v>
                </c:pt>
                <c:pt idx="69">
                  <c:v>98.46768223628105</c:v>
                </c:pt>
                <c:pt idx="70">
                  <c:v>98.664585052538072</c:v>
                </c:pt>
                <c:pt idx="71">
                  <c:v>98.841506114775356</c:v>
                </c:pt>
                <c:pt idx="72">
                  <c:v>98.999734246064506</c:v>
                </c:pt>
                <c:pt idx="73">
                  <c:v>99.140565011848892</c:v>
                </c:pt>
                <c:pt idx="74">
                  <c:v>99.265289568732385</c:v>
                </c:pt>
                <c:pt idx="75">
                  <c:v>99.37518397665184</c:v>
                </c:pt>
                <c:pt idx="76">
                  <c:v>99.47149913578852</c:v>
                </c:pt>
                <c:pt idx="77">
                  <c:v>99.555451496143547</c:v>
                </c:pt>
                <c:pt idx="78">
                  <c:v>99.628214670348342</c:v>
                </c:pt>
                <c:pt idx="79">
                  <c:v>99.690912059421279</c:v>
                </c:pt>
                <c:pt idx="80">
                  <c:v>99.744610577386936</c:v>
                </c:pt>
                <c:pt idx="81">
                  <c:v>99.790315534642403</c:v>
                </c:pt>
                <c:pt idx="82">
                  <c:v>99.828966712497035</c:v>
                </c:pt>
                <c:pt idx="83">
                  <c:v>99.861435633314358</c:v>
                </c:pt>
                <c:pt idx="84">
                  <c:v>99.888524003079567</c:v>
                </c:pt>
                <c:pt idx="85">
                  <c:v>99.910963276934979</c:v>
                </c:pt>
                <c:pt idx="86">
                  <c:v>99.929415274161556</c:v>
                </c:pt>
                <c:pt idx="87">
                  <c:v>99.944473748044786</c:v>
                </c:pt>
                <c:pt idx="88">
                  <c:v>99.956666798730254</c:v>
                </c:pt>
                <c:pt idx="89">
                  <c:v>99.966460004073141</c:v>
                </c:pt>
                <c:pt idx="90">
                  <c:v>99.97426013495172</c:v>
                </c:pt>
                <c:pt idx="91">
                  <c:v>99.980419317681822</c:v>
                </c:pt>
                <c:pt idx="92">
                  <c:v>99.985239506956873</c:v>
                </c:pt>
                <c:pt idx="93">
                  <c:v>99.988977137867508</c:v>
                </c:pt>
                <c:pt idx="94">
                  <c:v>99.991847834554491</c:v>
                </c:pt>
                <c:pt idx="95">
                  <c:v>99.994031065299097</c:v>
                </c:pt>
                <c:pt idx="96">
                  <c:v>99.995674648610972</c:v>
                </c:pt>
                <c:pt idx="97">
                  <c:v>99.996899031324546</c:v>
                </c:pt>
                <c:pt idx="98">
                  <c:v>99.997801277022035</c:v>
                </c:pt>
                <c:pt idx="99">
                  <c:v>99.998458720453613</c:v>
                </c:pt>
                <c:pt idx="100">
                  <c:v>99.998932260278252</c:v>
                </c:pt>
                <c:pt idx="101">
                  <c:v>99.999269277768761</c:v>
                </c:pt>
                <c:pt idx="102">
                  <c:v>99.999506182609451</c:v>
                </c:pt>
                <c:pt idx="103">
                  <c:v>99.999670598217847</c:v>
                </c:pt>
                <c:pt idx="104">
                  <c:v>99.999783207952191</c:v>
                </c:pt>
                <c:pt idx="105">
                  <c:v>99.999859290087386</c:v>
                </c:pt>
                <c:pt idx="106">
                  <c:v>99.999909973649139</c:v>
                </c:pt>
                <c:pt idx="107">
                  <c:v>99.999943249300131</c:v>
                </c:pt>
                <c:pt idx="108">
                  <c:v>99.999964769763423</c:v>
                </c:pt>
                <c:pt idx="109">
                  <c:v>99.999978473089726</c:v>
                </c:pt>
                <c:pt idx="110">
                  <c:v>99.999987059789248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F3-4FF1-90A8-E922579EA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66080"/>
        <c:axId val="122000128"/>
      </c:scatterChart>
      <c:valAx>
        <c:axId val="117566080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726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000128"/>
        <c:crossesAt val="0.1"/>
        <c:crossBetween val="midCat"/>
        <c:majorUnit val="10"/>
        <c:minorUnit val="10"/>
      </c:valAx>
      <c:valAx>
        <c:axId val="12200012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7566080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4004437744377069"/>
          <c:y val="9.5461804733049604E-2"/>
          <c:w val="0.55752242503069316"/>
          <c:h val="3.91236904643645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Drop" dropStyle="combo" dx="16" fmlaLink="$R$2" fmlaRange="$Q$2:$Q$5" sel="2" val="0"/>
</file>

<file path=xl/ctrlProps/ctrlProp2.xml><?xml version="1.0" encoding="utf-8"?>
<formControlPr xmlns="http://schemas.microsoft.com/office/spreadsheetml/2009/9/main" objectType="Drop" dropStyle="combo" dx="16" fmlaLink="$R$8" fmlaRange="$Q$8:$Q$11" sel="2" val="0"/>
</file>

<file path=xl/ctrlProps/ctrlProp3.xml><?xml version="1.0" encoding="utf-8"?>
<formControlPr xmlns="http://schemas.microsoft.com/office/spreadsheetml/2009/9/main" objectType="Drop" dropStyle="combo" dx="16" fmlaLink="$R$14" fmlaRange="$Q$14:$Q$15" sel="2" val="0"/>
</file>

<file path=xl/ctrlProps/ctrlProp4.xml><?xml version="1.0" encoding="utf-8"?>
<formControlPr xmlns="http://schemas.microsoft.com/office/spreadsheetml/2009/9/main" objectType="Drop" dropStyle="combo" dx="16" fmlaLink="$R$18" fmlaRange="$Q$18:$Q$22" sel="1" val="0"/>
</file>

<file path=xl/ctrlProps/ctrlProp5.xml><?xml version="1.0" encoding="utf-8"?>
<formControlPr xmlns="http://schemas.microsoft.com/office/spreadsheetml/2009/9/main" objectType="Drop" dropStyle="combo" dx="16" fmlaLink="$R$24" fmlaRange="$Q$24:$Q$32" sel="6" val="0"/>
</file>

<file path=xl/ctrlProps/ctrlProp6.xml><?xml version="1.0" encoding="utf-8"?>
<formControlPr xmlns="http://schemas.microsoft.com/office/spreadsheetml/2009/9/main" objectType="Drop" dropStyle="combo" dx="16" fmlaLink="$R$35" fmlaRange="$Q$35:$Q$36" sel="2" val="0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85725</xdr:colOff>
          <xdr:row>4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4</xdr:col>
          <xdr:colOff>95250</xdr:colOff>
          <xdr:row>5</xdr:row>
          <xdr:rowOff>9525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</xdr:row>
          <xdr:rowOff>9525</xdr:rowOff>
        </xdr:from>
        <xdr:to>
          <xdr:col>4</xdr:col>
          <xdr:colOff>95250</xdr:colOff>
          <xdr:row>6</xdr:row>
          <xdr:rowOff>9525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</xdr:rowOff>
        </xdr:from>
        <xdr:to>
          <xdr:col>4</xdr:col>
          <xdr:colOff>85725</xdr:colOff>
          <xdr:row>9</xdr:row>
          <xdr:rowOff>9525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0</xdr:rowOff>
        </xdr:from>
        <xdr:to>
          <xdr:col>4</xdr:col>
          <xdr:colOff>209550</xdr:colOff>
          <xdr:row>10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9525</xdr:rowOff>
        </xdr:from>
        <xdr:to>
          <xdr:col>4</xdr:col>
          <xdr:colOff>85725</xdr:colOff>
          <xdr:row>18</xdr:row>
          <xdr:rowOff>9525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9</xdr:row>
          <xdr:rowOff>57150</xdr:rowOff>
        </xdr:from>
        <xdr:to>
          <xdr:col>7</xdr:col>
          <xdr:colOff>85725</xdr:colOff>
          <xdr:row>12</xdr:row>
          <xdr:rowOff>57150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AFDRUKKEN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69</xdr:row>
      <xdr:rowOff>9525</xdr:rowOff>
    </xdr:from>
    <xdr:to>
      <xdr:col>2</xdr:col>
      <xdr:colOff>695325</xdr:colOff>
      <xdr:row>73</xdr:row>
      <xdr:rowOff>66675</xdr:rowOff>
    </xdr:to>
    <xdr:sp macro="" textlink="">
      <xdr:nvSpPr>
        <xdr:cNvPr id="2753" name="Line 705">
          <a:extLst>
            <a:ext uri="{FF2B5EF4-FFF2-40B4-BE49-F238E27FC236}">
              <a16:creationId xmlns:a16="http://schemas.microsoft.com/office/drawing/2014/main" id="{00000000-0008-0000-0100-0000C10A0000}"/>
            </a:ext>
          </a:extLst>
        </xdr:cNvPr>
        <xdr:cNvSpPr>
          <a:spLocks noChangeShapeType="1"/>
        </xdr:cNvSpPr>
      </xdr:nvSpPr>
      <xdr:spPr bwMode="auto">
        <a:xfrm flipV="1">
          <a:off x="1095375" y="11182350"/>
          <a:ext cx="102870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476250</xdr:colOff>
          <xdr:row>68</xdr:row>
          <xdr:rowOff>9525</xdr:rowOff>
        </xdr:from>
        <xdr:to>
          <xdr:col>15</xdr:col>
          <xdr:colOff>514350</xdr:colOff>
          <xdr:row>70</xdr:row>
          <xdr:rowOff>85725</xdr:rowOff>
        </xdr:to>
        <xdr:sp macro="" textlink="">
          <xdr:nvSpPr>
            <xdr:cNvPr id="2293" name="Object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383540</xdr:colOff>
          <xdr:row>32</xdr:row>
          <xdr:rowOff>78740</xdr:rowOff>
        </xdr:from>
        <xdr:to>
          <xdr:col>14</xdr:col>
          <xdr:colOff>101600</xdr:colOff>
          <xdr:row>39</xdr:row>
          <xdr:rowOff>33020</xdr:rowOff>
        </xdr:to>
        <xdr:grpSp>
          <xdr:nvGrpSpPr>
            <xdr:cNvPr id="2458" name="Group 410">
              <a:extLst>
                <a:ext uri="{FF2B5EF4-FFF2-40B4-BE49-F238E27FC236}">
                  <a16:creationId xmlns:a16="http://schemas.microsoft.com/office/drawing/2014/main" id="{00000000-0008-0000-0100-00009A09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201367" y="5236894"/>
              <a:ext cx="1872175" cy="1082626"/>
              <a:chOff x="741" y="577"/>
              <a:chExt cx="213" cy="118"/>
            </a:xfrm>
          </xdr:grpSpPr>
          <xdr:sp macro="" textlink="">
            <xdr:nvSpPr>
              <xdr:cNvPr id="2049" name="Object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741" y="577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94" name="Object 246" hidden="1">
                <a:extLst>
                  <a:ext uri="{63B3BB69-23CF-44E3-9099-C40C66FF867C}">
                    <a14:compatExt spid="_x0000_s2294"/>
                  </a:ex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/>
            </xdr:nvSpPr>
            <xdr:spPr bwMode="auto">
              <a:xfrm>
                <a:off x="741" y="636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49</xdr:row>
          <xdr:rowOff>57150</xdr:rowOff>
        </xdr:from>
        <xdr:to>
          <xdr:col>4</xdr:col>
          <xdr:colOff>428625</xdr:colOff>
          <xdr:row>51</xdr:row>
          <xdr:rowOff>76200</xdr:rowOff>
        </xdr:to>
        <xdr:sp macro="" textlink="">
          <xdr:nvSpPr>
            <xdr:cNvPr id="2296" name="Object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44</xdr:row>
      <xdr:rowOff>0</xdr:rowOff>
    </xdr:from>
    <xdr:to>
      <xdr:col>15</xdr:col>
      <xdr:colOff>0</xdr:colOff>
      <xdr:row>81</xdr:row>
      <xdr:rowOff>95250</xdr:rowOff>
    </xdr:to>
    <xdr:graphicFrame macro="">
      <xdr:nvGraphicFramePr>
        <xdr:cNvPr id="3076" name="Chart 4">
          <a:extLs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079" name="Tekst 1">
          <a:extLs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342900</xdr:colOff>
      <xdr:row>3</xdr:row>
      <xdr:rowOff>76200</xdr:rowOff>
    </xdr:to>
    <xdr:pic>
      <xdr:nvPicPr>
        <xdr:cNvPr id="3078" name="Picture 6">
          <a:extLs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Mijn%20documenten\VENTILATOREN\prog%20patric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DEMPI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FA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er"/>
      <sheetName val="Klant"/>
      <sheetName val="Grafiek"/>
      <sheetName val="Uitvoer"/>
      <sheetName val="Calculatie"/>
      <sheetName val="Tabellen"/>
      <sheetName val="Berekening"/>
      <sheetName val="Spanning"/>
      <sheetName val="Dynamica"/>
      <sheetName val="Geluid"/>
      <sheetName val="Cases"/>
      <sheetName val="Zuigkast"/>
    </sheetNames>
    <sheetDataSet>
      <sheetData sheetId="0"/>
      <sheetData sheetId="1"/>
      <sheetData sheetId="2"/>
      <sheetData sheetId="3"/>
      <sheetData sheetId="4"/>
      <sheetData sheetId="5">
        <row r="6">
          <cell r="A6">
            <v>250</v>
          </cell>
          <cell r="C6">
            <v>184.57499999999999</v>
          </cell>
          <cell r="D6">
            <v>1426.25</v>
          </cell>
          <cell r="E6">
            <v>10</v>
          </cell>
          <cell r="F6">
            <v>9</v>
          </cell>
          <cell r="G6">
            <v>9.9</v>
          </cell>
          <cell r="I6">
            <v>4</v>
          </cell>
          <cell r="J6">
            <v>8</v>
          </cell>
          <cell r="K6">
            <v>8</v>
          </cell>
          <cell r="L6">
            <v>4</v>
          </cell>
          <cell r="M6">
            <v>8</v>
          </cell>
          <cell r="N6">
            <v>7</v>
          </cell>
          <cell r="O6">
            <v>4</v>
          </cell>
          <cell r="P6">
            <v>2</v>
          </cell>
          <cell r="Q6">
            <v>3</v>
          </cell>
          <cell r="R6">
            <v>2.5</v>
          </cell>
          <cell r="S6">
            <v>0.922875</v>
          </cell>
          <cell r="U6">
            <v>44</v>
          </cell>
          <cell r="V6">
            <v>43</v>
          </cell>
        </row>
        <row r="7">
          <cell r="A7">
            <v>300</v>
          </cell>
          <cell r="C7">
            <v>221.49</v>
          </cell>
          <cell r="D7">
            <v>1711.5</v>
          </cell>
          <cell r="E7">
            <v>11</v>
          </cell>
          <cell r="F7">
            <v>10</v>
          </cell>
          <cell r="G7">
            <v>11</v>
          </cell>
          <cell r="I7">
            <v>4</v>
          </cell>
          <cell r="J7">
            <v>8</v>
          </cell>
          <cell r="K7">
            <v>8</v>
          </cell>
          <cell r="L7">
            <v>4</v>
          </cell>
          <cell r="M7">
            <v>8</v>
          </cell>
          <cell r="N7">
            <v>7</v>
          </cell>
          <cell r="O7">
            <v>4</v>
          </cell>
          <cell r="P7">
            <v>2</v>
          </cell>
          <cell r="Q7">
            <v>3</v>
          </cell>
          <cell r="R7">
            <v>3</v>
          </cell>
          <cell r="S7">
            <v>1.1074499999999998</v>
          </cell>
          <cell r="T7">
            <v>38</v>
          </cell>
          <cell r="U7">
            <v>46</v>
          </cell>
          <cell r="V7">
            <v>45</v>
          </cell>
        </row>
        <row r="8">
          <cell r="A8">
            <v>350</v>
          </cell>
          <cell r="C8">
            <v>258.40499999999997</v>
          </cell>
          <cell r="D8">
            <v>1996.75</v>
          </cell>
          <cell r="E8">
            <v>11</v>
          </cell>
          <cell r="F8">
            <v>11</v>
          </cell>
          <cell r="G8">
            <v>12.1</v>
          </cell>
          <cell r="I8">
            <v>5</v>
          </cell>
          <cell r="J8">
            <v>8</v>
          </cell>
          <cell r="K8">
            <v>9</v>
          </cell>
          <cell r="L8">
            <v>4</v>
          </cell>
          <cell r="M8">
            <v>8</v>
          </cell>
          <cell r="N8">
            <v>7</v>
          </cell>
          <cell r="O8">
            <v>5</v>
          </cell>
          <cell r="P8">
            <v>2</v>
          </cell>
          <cell r="Q8">
            <v>3</v>
          </cell>
          <cell r="R8">
            <v>3.5</v>
          </cell>
          <cell r="S8">
            <v>1.292025</v>
          </cell>
          <cell r="T8">
            <v>41</v>
          </cell>
          <cell r="U8">
            <v>48</v>
          </cell>
          <cell r="V8">
            <v>48</v>
          </cell>
        </row>
        <row r="9">
          <cell r="A9">
            <v>400</v>
          </cell>
          <cell r="C9">
            <v>295.32</v>
          </cell>
          <cell r="D9">
            <v>2282</v>
          </cell>
          <cell r="E9">
            <v>13</v>
          </cell>
          <cell r="F9">
            <v>12</v>
          </cell>
          <cell r="G9">
            <v>13.2</v>
          </cell>
          <cell r="I9">
            <v>5</v>
          </cell>
          <cell r="J9">
            <v>8</v>
          </cell>
          <cell r="K9">
            <v>10</v>
          </cell>
          <cell r="L9">
            <v>4</v>
          </cell>
          <cell r="M9">
            <v>8</v>
          </cell>
          <cell r="N9">
            <v>7</v>
          </cell>
          <cell r="O9">
            <v>5</v>
          </cell>
          <cell r="P9">
            <v>2</v>
          </cell>
          <cell r="Q9">
            <v>4</v>
          </cell>
          <cell r="R9">
            <v>4</v>
          </cell>
          <cell r="S9">
            <v>1.4765999999999999</v>
          </cell>
          <cell r="T9">
            <v>45</v>
          </cell>
          <cell r="U9">
            <v>52</v>
          </cell>
          <cell r="V9">
            <v>53</v>
          </cell>
        </row>
        <row r="10">
          <cell r="A10">
            <v>500</v>
          </cell>
          <cell r="C10">
            <v>369.15</v>
          </cell>
          <cell r="D10">
            <v>2852.5</v>
          </cell>
          <cell r="E10">
            <v>15</v>
          </cell>
          <cell r="F10">
            <v>13</v>
          </cell>
          <cell r="G10">
            <v>14.3</v>
          </cell>
          <cell r="I10">
            <v>7</v>
          </cell>
          <cell r="J10">
            <v>10</v>
          </cell>
          <cell r="K10">
            <v>12</v>
          </cell>
          <cell r="L10">
            <v>5</v>
          </cell>
          <cell r="M10">
            <v>8</v>
          </cell>
          <cell r="N10">
            <v>8</v>
          </cell>
          <cell r="O10">
            <v>5</v>
          </cell>
          <cell r="P10">
            <v>3</v>
          </cell>
          <cell r="Q10">
            <v>4</v>
          </cell>
          <cell r="R10">
            <v>5</v>
          </cell>
          <cell r="S10">
            <v>1.84575</v>
          </cell>
          <cell r="T10">
            <v>52</v>
          </cell>
          <cell r="U10">
            <v>58</v>
          </cell>
          <cell r="V10">
            <v>60</v>
          </cell>
        </row>
        <row r="11">
          <cell r="A11">
            <v>600</v>
          </cell>
          <cell r="C11">
            <v>442.98</v>
          </cell>
          <cell r="D11">
            <v>3423</v>
          </cell>
          <cell r="E11">
            <v>16</v>
          </cell>
          <cell r="F11">
            <v>15</v>
          </cell>
          <cell r="G11">
            <v>16.5</v>
          </cell>
          <cell r="I11">
            <v>9</v>
          </cell>
          <cell r="J11">
            <v>13</v>
          </cell>
          <cell r="K11">
            <v>13</v>
          </cell>
          <cell r="L11">
            <v>7</v>
          </cell>
          <cell r="M11">
            <v>10</v>
          </cell>
          <cell r="N11">
            <v>9</v>
          </cell>
          <cell r="O11">
            <v>6</v>
          </cell>
          <cell r="P11">
            <v>3</v>
          </cell>
          <cell r="Q11">
            <v>4</v>
          </cell>
          <cell r="R11">
            <v>6</v>
          </cell>
          <cell r="S11">
            <v>2.2148999999999996</v>
          </cell>
          <cell r="T11">
            <v>60</v>
          </cell>
          <cell r="U11">
            <v>67</v>
          </cell>
          <cell r="V11">
            <v>66</v>
          </cell>
        </row>
        <row r="12">
          <cell r="A12">
            <v>700</v>
          </cell>
          <cell r="C12">
            <v>516.80999999999995</v>
          </cell>
          <cell r="D12">
            <v>3993.5</v>
          </cell>
          <cell r="E12">
            <v>19</v>
          </cell>
          <cell r="F12">
            <v>18</v>
          </cell>
          <cell r="G12">
            <v>19.8</v>
          </cell>
          <cell r="I12">
            <v>12</v>
          </cell>
          <cell r="J12">
            <v>15</v>
          </cell>
          <cell r="K12">
            <v>16</v>
          </cell>
          <cell r="L12">
            <v>7</v>
          </cell>
          <cell r="M12">
            <v>12</v>
          </cell>
          <cell r="N12">
            <v>9</v>
          </cell>
          <cell r="O12">
            <v>6</v>
          </cell>
          <cell r="P12">
            <v>3</v>
          </cell>
          <cell r="Q12">
            <v>4</v>
          </cell>
          <cell r="R12">
            <v>7</v>
          </cell>
          <cell r="S12">
            <v>2.58405</v>
          </cell>
          <cell r="T12">
            <v>69</v>
          </cell>
          <cell r="U12">
            <v>77</v>
          </cell>
          <cell r="V12">
            <v>75</v>
          </cell>
        </row>
        <row r="13">
          <cell r="A13">
            <v>800</v>
          </cell>
          <cell r="C13">
            <v>590.64</v>
          </cell>
          <cell r="D13">
            <v>4564</v>
          </cell>
          <cell r="E13">
            <v>21</v>
          </cell>
          <cell r="F13">
            <v>21</v>
          </cell>
          <cell r="G13">
            <v>23.1</v>
          </cell>
          <cell r="I13">
            <v>12</v>
          </cell>
          <cell r="J13">
            <v>17</v>
          </cell>
          <cell r="K13">
            <v>17</v>
          </cell>
          <cell r="L13">
            <v>7</v>
          </cell>
          <cell r="M13">
            <v>13</v>
          </cell>
          <cell r="N13">
            <v>10</v>
          </cell>
          <cell r="O13">
            <v>6</v>
          </cell>
          <cell r="P13">
            <v>4</v>
          </cell>
          <cell r="Q13">
            <v>5</v>
          </cell>
          <cell r="R13">
            <v>8</v>
          </cell>
          <cell r="S13">
            <v>2.9531999999999998</v>
          </cell>
          <cell r="T13">
            <v>76</v>
          </cell>
          <cell r="U13">
            <v>87</v>
          </cell>
          <cell r="V13">
            <v>84</v>
          </cell>
        </row>
        <row r="14">
          <cell r="A14">
            <v>900</v>
          </cell>
          <cell r="C14">
            <v>664.47</v>
          </cell>
          <cell r="D14">
            <v>5134.5</v>
          </cell>
          <cell r="E14">
            <v>25</v>
          </cell>
          <cell r="F14">
            <v>25</v>
          </cell>
          <cell r="G14">
            <v>27.5</v>
          </cell>
          <cell r="I14">
            <v>16</v>
          </cell>
          <cell r="J14">
            <v>20</v>
          </cell>
          <cell r="K14">
            <v>20</v>
          </cell>
          <cell r="L14">
            <v>7</v>
          </cell>
          <cell r="M14">
            <v>14</v>
          </cell>
          <cell r="N14">
            <v>9</v>
          </cell>
          <cell r="O14">
            <v>7</v>
          </cell>
          <cell r="P14">
            <v>4</v>
          </cell>
          <cell r="Q14">
            <v>5</v>
          </cell>
          <cell r="R14">
            <v>9</v>
          </cell>
          <cell r="S14">
            <v>3.3223500000000001</v>
          </cell>
          <cell r="T14">
            <v>89</v>
          </cell>
          <cell r="U14">
            <v>100</v>
          </cell>
          <cell r="V14">
            <v>95</v>
          </cell>
        </row>
        <row r="15">
          <cell r="A15">
            <v>1000</v>
          </cell>
          <cell r="C15">
            <v>738.3</v>
          </cell>
          <cell r="D15">
            <v>5705</v>
          </cell>
          <cell r="E15">
            <v>29</v>
          </cell>
          <cell r="F15">
            <v>29</v>
          </cell>
          <cell r="G15">
            <v>31.9</v>
          </cell>
          <cell r="I15">
            <v>16</v>
          </cell>
          <cell r="J15">
            <v>22</v>
          </cell>
          <cell r="K15">
            <v>23</v>
          </cell>
          <cell r="L15">
            <v>7</v>
          </cell>
          <cell r="M15">
            <v>13</v>
          </cell>
          <cell r="N15">
            <v>9</v>
          </cell>
          <cell r="O15">
            <v>8</v>
          </cell>
          <cell r="P15">
            <v>4</v>
          </cell>
          <cell r="Q15">
            <v>5</v>
          </cell>
          <cell r="R15">
            <v>10</v>
          </cell>
          <cell r="S15">
            <v>3.6915</v>
          </cell>
          <cell r="T15">
            <v>98</v>
          </cell>
          <cell r="U15">
            <v>110</v>
          </cell>
          <cell r="V15">
            <v>107</v>
          </cell>
        </row>
        <row r="16">
          <cell r="A16">
            <v>1100</v>
          </cell>
          <cell r="C16">
            <v>812.13</v>
          </cell>
          <cell r="D16">
            <v>6275.5</v>
          </cell>
          <cell r="E16">
            <v>32</v>
          </cell>
          <cell r="F16">
            <v>33</v>
          </cell>
          <cell r="G16">
            <v>36.299999999999997</v>
          </cell>
          <cell r="I16">
            <v>18</v>
          </cell>
          <cell r="J16">
            <v>24</v>
          </cell>
          <cell r="K16">
            <v>25</v>
          </cell>
          <cell r="L16">
            <v>8</v>
          </cell>
          <cell r="M16">
            <v>14</v>
          </cell>
          <cell r="N16">
            <v>9</v>
          </cell>
          <cell r="O16">
            <v>9</v>
          </cell>
          <cell r="P16">
            <v>5</v>
          </cell>
          <cell r="Q16">
            <v>6</v>
          </cell>
          <cell r="R16">
            <v>11</v>
          </cell>
          <cell r="S16">
            <v>4.0606499999999999</v>
          </cell>
          <cell r="T16">
            <v>111</v>
          </cell>
          <cell r="U16">
            <v>123</v>
          </cell>
          <cell r="V16">
            <v>119</v>
          </cell>
        </row>
        <row r="17">
          <cell r="A17">
            <v>1200</v>
          </cell>
          <cell r="C17">
            <v>885.96</v>
          </cell>
          <cell r="D17">
            <v>6846</v>
          </cell>
          <cell r="E17">
            <v>36</v>
          </cell>
          <cell r="F17">
            <v>37</v>
          </cell>
          <cell r="G17">
            <v>40.700000000000003</v>
          </cell>
          <cell r="J17">
            <v>27</v>
          </cell>
          <cell r="K17">
            <v>28</v>
          </cell>
          <cell r="M17">
            <v>14</v>
          </cell>
          <cell r="N17">
            <v>10</v>
          </cell>
          <cell r="O17">
            <v>10</v>
          </cell>
          <cell r="P17">
            <v>5</v>
          </cell>
          <cell r="Q17">
            <v>6</v>
          </cell>
          <cell r="R17">
            <v>12</v>
          </cell>
          <cell r="S17">
            <v>4.4297999999999993</v>
          </cell>
          <cell r="U17">
            <v>135</v>
          </cell>
          <cell r="V17">
            <v>132</v>
          </cell>
        </row>
        <row r="18">
          <cell r="A18">
            <v>1300</v>
          </cell>
          <cell r="C18">
            <v>959.79</v>
          </cell>
          <cell r="D18">
            <v>7416.5</v>
          </cell>
          <cell r="E18">
            <v>39</v>
          </cell>
          <cell r="F18">
            <v>41</v>
          </cell>
          <cell r="G18">
            <v>45.1</v>
          </cell>
          <cell r="J18">
            <v>29</v>
          </cell>
          <cell r="K18">
            <v>31</v>
          </cell>
          <cell r="M18">
            <v>17</v>
          </cell>
          <cell r="N18">
            <v>12</v>
          </cell>
          <cell r="O18">
            <v>11</v>
          </cell>
          <cell r="P18">
            <v>6</v>
          </cell>
          <cell r="Q18">
            <v>7</v>
          </cell>
          <cell r="R18">
            <v>13</v>
          </cell>
          <cell r="S18">
            <v>4.7989499999999996</v>
          </cell>
          <cell r="U18">
            <v>150</v>
          </cell>
          <cell r="V18">
            <v>147</v>
          </cell>
        </row>
        <row r="19">
          <cell r="A19">
            <v>1400</v>
          </cell>
          <cell r="C19">
            <v>1033.6199999999999</v>
          </cell>
          <cell r="D19">
            <v>7987</v>
          </cell>
          <cell r="E19">
            <v>44</v>
          </cell>
          <cell r="F19">
            <v>46</v>
          </cell>
          <cell r="G19">
            <v>50.6</v>
          </cell>
          <cell r="J19">
            <v>34</v>
          </cell>
          <cell r="K19">
            <v>35</v>
          </cell>
          <cell r="M19">
            <v>18</v>
          </cell>
          <cell r="N19">
            <v>14</v>
          </cell>
          <cell r="O19">
            <v>11</v>
          </cell>
          <cell r="P19">
            <v>7</v>
          </cell>
          <cell r="Q19">
            <v>8</v>
          </cell>
          <cell r="R19">
            <v>14</v>
          </cell>
          <cell r="S19">
            <v>5.1680999999999999</v>
          </cell>
          <cell r="U19">
            <v>168</v>
          </cell>
          <cell r="V19">
            <v>165</v>
          </cell>
        </row>
        <row r="20">
          <cell r="A20">
            <v>1500</v>
          </cell>
          <cell r="C20">
            <v>1107.45</v>
          </cell>
          <cell r="D20">
            <v>8557.5</v>
          </cell>
          <cell r="E20">
            <v>49</v>
          </cell>
          <cell r="F20">
            <v>50</v>
          </cell>
          <cell r="G20">
            <v>55</v>
          </cell>
          <cell r="J20">
            <v>37</v>
          </cell>
          <cell r="K20">
            <v>39</v>
          </cell>
          <cell r="M20">
            <v>20</v>
          </cell>
          <cell r="N20">
            <v>16</v>
          </cell>
          <cell r="O20">
            <v>12</v>
          </cell>
          <cell r="P20">
            <v>8</v>
          </cell>
          <cell r="Q20">
            <v>9</v>
          </cell>
          <cell r="R20">
            <v>15</v>
          </cell>
          <cell r="S20">
            <v>5.5372499999999993</v>
          </cell>
          <cell r="U20">
            <v>185</v>
          </cell>
          <cell r="V20">
            <v>183</v>
          </cell>
        </row>
        <row r="21">
          <cell r="A21">
            <v>1600</v>
          </cell>
          <cell r="C21">
            <v>1181.28</v>
          </cell>
          <cell r="D21">
            <v>9128</v>
          </cell>
          <cell r="E21">
            <v>55</v>
          </cell>
          <cell r="F21">
            <v>54</v>
          </cell>
          <cell r="G21">
            <v>59.4</v>
          </cell>
          <cell r="J21">
            <v>40</v>
          </cell>
          <cell r="K21">
            <v>44</v>
          </cell>
          <cell r="M21">
            <v>22</v>
          </cell>
          <cell r="N21">
            <v>19</v>
          </cell>
          <cell r="O21">
            <v>13</v>
          </cell>
          <cell r="P21">
            <v>9</v>
          </cell>
          <cell r="Q21">
            <v>10</v>
          </cell>
          <cell r="R21">
            <v>16</v>
          </cell>
          <cell r="S21">
            <v>5.9063999999999997</v>
          </cell>
          <cell r="U21">
            <v>203</v>
          </cell>
          <cell r="V21">
            <v>204</v>
          </cell>
        </row>
        <row r="22">
          <cell r="A22">
            <v>1700</v>
          </cell>
          <cell r="C22">
            <v>1255.1099999999999</v>
          </cell>
          <cell r="D22">
            <v>9698.5</v>
          </cell>
          <cell r="E22">
            <v>61</v>
          </cell>
          <cell r="F22">
            <v>59</v>
          </cell>
          <cell r="G22">
            <v>64.900000000000006</v>
          </cell>
          <cell r="K22">
            <v>48</v>
          </cell>
          <cell r="N22">
            <v>21</v>
          </cell>
          <cell r="O22">
            <v>14</v>
          </cell>
          <cell r="P22">
            <v>10</v>
          </cell>
          <cell r="Q22">
            <v>11</v>
          </cell>
          <cell r="R22">
            <v>17</v>
          </cell>
          <cell r="S22">
            <v>6.27555</v>
          </cell>
          <cell r="V22">
            <v>224</v>
          </cell>
        </row>
        <row r="23">
          <cell r="A23">
            <v>1800</v>
          </cell>
          <cell r="C23">
            <v>1328.94</v>
          </cell>
          <cell r="D23">
            <v>10269</v>
          </cell>
          <cell r="E23">
            <v>67</v>
          </cell>
          <cell r="F23">
            <v>64</v>
          </cell>
          <cell r="G23">
            <v>70.400000000000006</v>
          </cell>
          <cell r="K23">
            <v>54</v>
          </cell>
          <cell r="N23">
            <v>23</v>
          </cell>
          <cell r="O23">
            <v>15</v>
          </cell>
          <cell r="P23">
            <v>11</v>
          </cell>
          <cell r="Q23">
            <v>12</v>
          </cell>
          <cell r="R23">
            <v>18</v>
          </cell>
          <cell r="S23">
            <v>6.6447000000000003</v>
          </cell>
          <cell r="V23">
            <v>246</v>
          </cell>
        </row>
        <row r="24">
          <cell r="A24">
            <v>1900</v>
          </cell>
          <cell r="C24">
            <v>1402.77</v>
          </cell>
          <cell r="D24">
            <v>10839.5</v>
          </cell>
          <cell r="E24">
            <v>74</v>
          </cell>
          <cell r="F24">
            <v>70</v>
          </cell>
          <cell r="G24">
            <v>77</v>
          </cell>
          <cell r="K24">
            <v>60</v>
          </cell>
          <cell r="N24">
            <v>30</v>
          </cell>
          <cell r="O24">
            <v>16</v>
          </cell>
          <cell r="P24">
            <v>12</v>
          </cell>
          <cell r="Q24">
            <v>13</v>
          </cell>
          <cell r="R24">
            <v>19</v>
          </cell>
          <cell r="S24">
            <v>7.0138499999999988</v>
          </cell>
          <cell r="V24">
            <v>275</v>
          </cell>
        </row>
        <row r="25">
          <cell r="A25">
            <v>2000</v>
          </cell>
          <cell r="C25">
            <v>1476.6</v>
          </cell>
          <cell r="D25">
            <v>11410</v>
          </cell>
          <cell r="E25">
            <v>84</v>
          </cell>
          <cell r="F25">
            <v>75</v>
          </cell>
          <cell r="G25">
            <v>82.5</v>
          </cell>
          <cell r="K25">
            <v>67</v>
          </cell>
          <cell r="N25">
            <v>42</v>
          </cell>
          <cell r="O25">
            <v>18</v>
          </cell>
          <cell r="P25">
            <v>14</v>
          </cell>
          <cell r="Q25">
            <v>14</v>
          </cell>
          <cell r="R25">
            <v>20</v>
          </cell>
          <cell r="S25">
            <v>7.383</v>
          </cell>
          <cell r="V25">
            <v>314</v>
          </cell>
        </row>
        <row r="67">
          <cell r="B67" t="str">
            <v>Isol.</v>
          </cell>
          <cell r="C67" t="str">
            <v>Plaat</v>
          </cell>
          <cell r="D67" t="str">
            <v>Folie</v>
          </cell>
          <cell r="E67" t="str">
            <v>Demping</v>
          </cell>
        </row>
        <row r="68">
          <cell r="B68" t="str">
            <v>dikte</v>
          </cell>
          <cell r="C68" t="str">
            <v>Mat.</v>
          </cell>
          <cell r="D68" t="str">
            <v>dikte</v>
          </cell>
          <cell r="E68">
            <v>63</v>
          </cell>
          <cell r="F68">
            <v>125</v>
          </cell>
          <cell r="G68">
            <v>250</v>
          </cell>
          <cell r="H68">
            <v>500</v>
          </cell>
          <cell r="I68">
            <v>1000</v>
          </cell>
          <cell r="J68">
            <v>2000</v>
          </cell>
          <cell r="K68">
            <v>4000</v>
          </cell>
          <cell r="L68">
            <v>8000</v>
          </cell>
        </row>
        <row r="69">
          <cell r="A69">
            <v>3</v>
          </cell>
          <cell r="B69">
            <v>100</v>
          </cell>
          <cell r="C69" t="str">
            <v>Al</v>
          </cell>
          <cell r="D69">
            <v>0</v>
          </cell>
          <cell r="E69">
            <v>0</v>
          </cell>
          <cell r="F69">
            <v>1</v>
          </cell>
          <cell r="G69">
            <v>5</v>
          </cell>
          <cell r="H69">
            <v>10</v>
          </cell>
          <cell r="I69">
            <v>15</v>
          </cell>
          <cell r="J69">
            <v>15</v>
          </cell>
          <cell r="K69">
            <v>15</v>
          </cell>
          <cell r="L69">
            <v>15</v>
          </cell>
        </row>
        <row r="70">
          <cell r="A70">
            <v>1</v>
          </cell>
          <cell r="B70">
            <v>50</v>
          </cell>
          <cell r="C70" t="str">
            <v>Al</v>
          </cell>
          <cell r="D70">
            <v>0</v>
          </cell>
          <cell r="E70">
            <v>0</v>
          </cell>
          <cell r="F70">
            <v>0</v>
          </cell>
          <cell r="G70">
            <v>2</v>
          </cell>
          <cell r="H70">
            <v>7</v>
          </cell>
          <cell r="I70">
            <v>12</v>
          </cell>
          <cell r="J70">
            <v>12</v>
          </cell>
          <cell r="K70">
            <v>12</v>
          </cell>
          <cell r="L70">
            <v>12</v>
          </cell>
        </row>
        <row r="71">
          <cell r="A71">
            <v>2</v>
          </cell>
          <cell r="B71">
            <v>75</v>
          </cell>
          <cell r="C71" t="str">
            <v>Al</v>
          </cell>
          <cell r="D71">
            <v>0</v>
          </cell>
          <cell r="E71">
            <v>0</v>
          </cell>
          <cell r="F71">
            <v>0</v>
          </cell>
          <cell r="G71">
            <v>3</v>
          </cell>
          <cell r="H71">
            <v>8</v>
          </cell>
          <cell r="I71">
            <v>13</v>
          </cell>
          <cell r="J71">
            <v>13</v>
          </cell>
          <cell r="K71">
            <v>13</v>
          </cell>
          <cell r="L71">
            <v>13</v>
          </cell>
        </row>
        <row r="72">
          <cell r="A72">
            <v>3</v>
          </cell>
          <cell r="B72">
            <v>100</v>
          </cell>
          <cell r="C72" t="str">
            <v>Al</v>
          </cell>
          <cell r="D72">
            <v>0</v>
          </cell>
          <cell r="E72">
            <v>0</v>
          </cell>
          <cell r="F72">
            <v>1</v>
          </cell>
          <cell r="G72">
            <v>5</v>
          </cell>
          <cell r="H72">
            <v>10</v>
          </cell>
          <cell r="I72">
            <v>15</v>
          </cell>
          <cell r="J72">
            <v>15</v>
          </cell>
          <cell r="K72">
            <v>15</v>
          </cell>
          <cell r="L72">
            <v>15</v>
          </cell>
        </row>
        <row r="73">
          <cell r="A73">
            <v>4</v>
          </cell>
          <cell r="B73">
            <v>100</v>
          </cell>
          <cell r="C73" t="str">
            <v>Fe</v>
          </cell>
          <cell r="D73">
            <v>0</v>
          </cell>
          <cell r="E73">
            <v>0</v>
          </cell>
          <cell r="F73">
            <v>2</v>
          </cell>
          <cell r="G73">
            <v>6</v>
          </cell>
          <cell r="H73">
            <v>14</v>
          </cell>
          <cell r="I73">
            <v>21</v>
          </cell>
          <cell r="J73">
            <v>21</v>
          </cell>
          <cell r="K73">
            <v>21</v>
          </cell>
          <cell r="L73">
            <v>21</v>
          </cell>
        </row>
        <row r="74">
          <cell r="A74">
            <v>5</v>
          </cell>
          <cell r="B74">
            <v>125</v>
          </cell>
          <cell r="C74" t="str">
            <v>Al</v>
          </cell>
          <cell r="D74">
            <v>0</v>
          </cell>
          <cell r="E74">
            <v>1</v>
          </cell>
          <cell r="F74">
            <v>3</v>
          </cell>
          <cell r="G74">
            <v>7</v>
          </cell>
          <cell r="H74">
            <v>12</v>
          </cell>
          <cell r="I74">
            <v>17</v>
          </cell>
          <cell r="J74">
            <v>17</v>
          </cell>
          <cell r="K74">
            <v>17</v>
          </cell>
          <cell r="L74">
            <v>17</v>
          </cell>
        </row>
        <row r="75">
          <cell r="A75">
            <v>6</v>
          </cell>
          <cell r="B75">
            <v>125</v>
          </cell>
          <cell r="C75" t="str">
            <v>Fe</v>
          </cell>
          <cell r="D75">
            <v>0</v>
          </cell>
          <cell r="E75">
            <v>2</v>
          </cell>
          <cell r="F75">
            <v>4</v>
          </cell>
          <cell r="G75">
            <v>9</v>
          </cell>
          <cell r="H75">
            <v>16</v>
          </cell>
          <cell r="I75">
            <v>22</v>
          </cell>
          <cell r="J75">
            <v>22</v>
          </cell>
          <cell r="K75">
            <v>22</v>
          </cell>
          <cell r="L75">
            <v>22</v>
          </cell>
        </row>
        <row r="76">
          <cell r="A76">
            <v>7</v>
          </cell>
          <cell r="B76">
            <v>150</v>
          </cell>
          <cell r="C76" t="str">
            <v>Al</v>
          </cell>
          <cell r="D76">
            <v>0</v>
          </cell>
          <cell r="E76">
            <v>3</v>
          </cell>
          <cell r="F76">
            <v>7</v>
          </cell>
          <cell r="G76">
            <v>12</v>
          </cell>
          <cell r="H76">
            <v>17</v>
          </cell>
          <cell r="I76">
            <v>21</v>
          </cell>
          <cell r="J76">
            <v>21</v>
          </cell>
          <cell r="K76">
            <v>21</v>
          </cell>
          <cell r="L76">
            <v>21</v>
          </cell>
        </row>
        <row r="77">
          <cell r="A77">
            <v>8</v>
          </cell>
          <cell r="B77">
            <v>150</v>
          </cell>
          <cell r="C77" t="str">
            <v>Fe</v>
          </cell>
          <cell r="D77">
            <v>0</v>
          </cell>
          <cell r="E77">
            <v>5</v>
          </cell>
          <cell r="F77">
            <v>9</v>
          </cell>
          <cell r="G77">
            <v>14</v>
          </cell>
          <cell r="H77">
            <v>19</v>
          </cell>
          <cell r="I77">
            <v>23</v>
          </cell>
          <cell r="J77">
            <v>23</v>
          </cell>
          <cell r="K77">
            <v>23</v>
          </cell>
          <cell r="L77">
            <v>23</v>
          </cell>
        </row>
        <row r="78">
          <cell r="A78">
            <v>9</v>
          </cell>
          <cell r="B78">
            <v>175</v>
          </cell>
          <cell r="C78" t="str">
            <v>Al</v>
          </cell>
          <cell r="D78">
            <v>0</v>
          </cell>
          <cell r="E78">
            <v>4</v>
          </cell>
          <cell r="F78">
            <v>9</v>
          </cell>
          <cell r="G78">
            <v>15</v>
          </cell>
          <cell r="H78">
            <v>21</v>
          </cell>
          <cell r="I78">
            <v>23</v>
          </cell>
          <cell r="J78">
            <v>23</v>
          </cell>
          <cell r="K78">
            <v>23</v>
          </cell>
          <cell r="L78">
            <v>23</v>
          </cell>
        </row>
        <row r="79">
          <cell r="A79">
            <v>10</v>
          </cell>
          <cell r="B79">
            <v>175</v>
          </cell>
          <cell r="C79" t="str">
            <v>Fe</v>
          </cell>
          <cell r="D79">
            <v>0</v>
          </cell>
          <cell r="E79">
            <v>7</v>
          </cell>
          <cell r="F79">
            <v>12</v>
          </cell>
          <cell r="G79">
            <v>17</v>
          </cell>
          <cell r="H79">
            <v>22</v>
          </cell>
          <cell r="I79">
            <v>24</v>
          </cell>
          <cell r="J79">
            <v>24</v>
          </cell>
          <cell r="K79">
            <v>24</v>
          </cell>
          <cell r="L79">
            <v>24</v>
          </cell>
        </row>
        <row r="80">
          <cell r="A80">
            <v>11</v>
          </cell>
          <cell r="B80">
            <v>125</v>
          </cell>
          <cell r="C80" t="str">
            <v>Al</v>
          </cell>
          <cell r="D80" t="str">
            <v>Folie</v>
          </cell>
          <cell r="E80">
            <v>2</v>
          </cell>
          <cell r="F80">
            <v>7</v>
          </cell>
          <cell r="G80">
            <v>13</v>
          </cell>
          <cell r="H80">
            <v>19</v>
          </cell>
          <cell r="I80">
            <v>22</v>
          </cell>
          <cell r="J80">
            <v>23</v>
          </cell>
          <cell r="K80">
            <v>23</v>
          </cell>
          <cell r="L80">
            <v>23</v>
          </cell>
        </row>
        <row r="81">
          <cell r="A81">
            <v>12</v>
          </cell>
          <cell r="B81">
            <v>125</v>
          </cell>
          <cell r="C81" t="str">
            <v>Fe</v>
          </cell>
          <cell r="D81" t="str">
            <v>Folie</v>
          </cell>
          <cell r="E81">
            <v>6</v>
          </cell>
          <cell r="F81">
            <v>14</v>
          </cell>
          <cell r="G81">
            <v>19</v>
          </cell>
          <cell r="H81">
            <v>22</v>
          </cell>
          <cell r="I81">
            <v>23</v>
          </cell>
          <cell r="J81">
            <v>23</v>
          </cell>
          <cell r="K81">
            <v>23</v>
          </cell>
          <cell r="L81">
            <v>23</v>
          </cell>
        </row>
        <row r="82">
          <cell r="A82">
            <v>13</v>
          </cell>
          <cell r="B82">
            <v>150</v>
          </cell>
          <cell r="C82" t="str">
            <v>Al</v>
          </cell>
          <cell r="D82" t="str">
            <v>Folie</v>
          </cell>
          <cell r="E82">
            <v>4</v>
          </cell>
          <cell r="F82">
            <v>10</v>
          </cell>
          <cell r="G82">
            <v>15</v>
          </cell>
          <cell r="H82">
            <v>20</v>
          </cell>
          <cell r="I82">
            <v>23</v>
          </cell>
          <cell r="J82">
            <v>24</v>
          </cell>
          <cell r="K82">
            <v>24</v>
          </cell>
          <cell r="L82">
            <v>24</v>
          </cell>
        </row>
        <row r="83">
          <cell r="A83">
            <v>14</v>
          </cell>
          <cell r="B83">
            <v>150</v>
          </cell>
          <cell r="C83" t="str">
            <v>Fe</v>
          </cell>
          <cell r="D83" t="str">
            <v>Folie</v>
          </cell>
          <cell r="E83">
            <v>8</v>
          </cell>
          <cell r="F83">
            <v>15</v>
          </cell>
          <cell r="G83">
            <v>21</v>
          </cell>
          <cell r="H83">
            <v>24</v>
          </cell>
          <cell r="I83">
            <v>25</v>
          </cell>
          <cell r="J83">
            <v>25</v>
          </cell>
          <cell r="K83">
            <v>25</v>
          </cell>
          <cell r="L83">
            <v>25</v>
          </cell>
        </row>
        <row r="84">
          <cell r="A84">
            <v>15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mpings waarden"/>
    </sheetNames>
    <sheetDataSet>
      <sheetData sheetId="0">
        <row r="3">
          <cell r="D3">
            <v>63</v>
          </cell>
          <cell r="E3">
            <v>125</v>
          </cell>
          <cell r="F3">
            <v>250</v>
          </cell>
          <cell r="G3">
            <v>500</v>
          </cell>
          <cell r="H3">
            <v>1000</v>
          </cell>
          <cell r="I3">
            <v>2000</v>
          </cell>
          <cell r="J3">
            <v>4000</v>
          </cell>
          <cell r="K3">
            <v>8000</v>
          </cell>
        </row>
        <row r="4">
          <cell r="A4">
            <v>500</v>
          </cell>
          <cell r="D4">
            <v>-3</v>
          </cell>
          <cell r="E4">
            <v>-5</v>
          </cell>
          <cell r="F4">
            <v>-10</v>
          </cell>
          <cell r="G4">
            <v>-17</v>
          </cell>
          <cell r="H4">
            <v>-24</v>
          </cell>
          <cell r="I4">
            <v>-20</v>
          </cell>
          <cell r="J4">
            <v>-14</v>
          </cell>
          <cell r="K4">
            <v>-11</v>
          </cell>
        </row>
        <row r="5">
          <cell r="A5">
            <v>750</v>
          </cell>
          <cell r="D5">
            <v>-3</v>
          </cell>
          <cell r="E5">
            <v>-6</v>
          </cell>
          <cell r="F5">
            <v>-13</v>
          </cell>
          <cell r="G5">
            <v>-24</v>
          </cell>
          <cell r="H5">
            <v>-32</v>
          </cell>
          <cell r="I5">
            <v>-26</v>
          </cell>
          <cell r="J5">
            <v>-16</v>
          </cell>
          <cell r="K5">
            <v>-12</v>
          </cell>
        </row>
        <row r="6">
          <cell r="A6">
            <v>1000</v>
          </cell>
          <cell r="D6">
            <v>-4</v>
          </cell>
          <cell r="E6">
            <v>-8</v>
          </cell>
          <cell r="F6">
            <v>-17</v>
          </cell>
          <cell r="G6">
            <v>-30</v>
          </cell>
          <cell r="H6">
            <v>-40</v>
          </cell>
          <cell r="I6">
            <v>-32</v>
          </cell>
          <cell r="J6">
            <v>-19</v>
          </cell>
          <cell r="K6">
            <v>-13</v>
          </cell>
        </row>
        <row r="7">
          <cell r="A7">
            <v>1250</v>
          </cell>
          <cell r="D7">
            <v>-5</v>
          </cell>
          <cell r="E7">
            <v>-10</v>
          </cell>
          <cell r="F7">
            <v>-20</v>
          </cell>
          <cell r="G7">
            <v>-35</v>
          </cell>
          <cell r="H7">
            <v>-49</v>
          </cell>
          <cell r="I7">
            <v>-38</v>
          </cell>
          <cell r="J7">
            <v>-22</v>
          </cell>
          <cell r="K7">
            <v>-15</v>
          </cell>
        </row>
        <row r="8">
          <cell r="A8">
            <v>1500</v>
          </cell>
          <cell r="D8">
            <v>-6</v>
          </cell>
          <cell r="E8">
            <v>-14</v>
          </cell>
          <cell r="F8">
            <v>-23</v>
          </cell>
          <cell r="G8">
            <v>-41</v>
          </cell>
          <cell r="H8">
            <v>-50</v>
          </cell>
          <cell r="I8">
            <v>-44</v>
          </cell>
          <cell r="J8">
            <v>-25</v>
          </cell>
          <cell r="K8">
            <v>-17</v>
          </cell>
        </row>
        <row r="9">
          <cell r="A9">
            <v>1750</v>
          </cell>
          <cell r="D9">
            <v>-7</v>
          </cell>
          <cell r="E9">
            <v>-16</v>
          </cell>
          <cell r="F9">
            <v>-27</v>
          </cell>
          <cell r="G9">
            <v>-47</v>
          </cell>
          <cell r="H9">
            <v>-50</v>
          </cell>
          <cell r="I9">
            <v>-50</v>
          </cell>
          <cell r="J9">
            <v>-27</v>
          </cell>
          <cell r="K9">
            <v>-18</v>
          </cell>
        </row>
        <row r="10">
          <cell r="A10">
            <v>2000</v>
          </cell>
          <cell r="D10">
            <v>-7</v>
          </cell>
          <cell r="E10">
            <v>-17</v>
          </cell>
          <cell r="F10">
            <v>-30</v>
          </cell>
          <cell r="G10">
            <v>-50</v>
          </cell>
          <cell r="H10">
            <v>-50</v>
          </cell>
          <cell r="I10">
            <v>-50</v>
          </cell>
          <cell r="J10">
            <v>-30</v>
          </cell>
          <cell r="K10">
            <v>-20</v>
          </cell>
        </row>
        <row r="11">
          <cell r="A11">
            <v>2250</v>
          </cell>
          <cell r="D11">
            <v>-8</v>
          </cell>
          <cell r="E11">
            <v>-18</v>
          </cell>
          <cell r="F11">
            <v>-33</v>
          </cell>
          <cell r="G11">
            <v>-50</v>
          </cell>
          <cell r="H11">
            <v>-50</v>
          </cell>
          <cell r="I11">
            <v>-50</v>
          </cell>
          <cell r="J11">
            <v>-32</v>
          </cell>
          <cell r="K11">
            <v>-21</v>
          </cell>
        </row>
        <row r="12">
          <cell r="A12">
            <v>2500</v>
          </cell>
          <cell r="D12">
            <v>-8</v>
          </cell>
          <cell r="E12">
            <v>-19</v>
          </cell>
          <cell r="F12">
            <v>-36</v>
          </cell>
          <cell r="G12">
            <v>-50</v>
          </cell>
          <cell r="H12">
            <v>-50</v>
          </cell>
          <cell r="I12">
            <v>-50</v>
          </cell>
          <cell r="J12">
            <v>-35</v>
          </cell>
          <cell r="K12">
            <v>-22</v>
          </cell>
        </row>
        <row r="13">
          <cell r="A13">
            <v>2750</v>
          </cell>
          <cell r="D13">
            <v>-8</v>
          </cell>
          <cell r="E13">
            <v>-20</v>
          </cell>
          <cell r="F13">
            <v>-38</v>
          </cell>
          <cell r="G13">
            <v>-50</v>
          </cell>
          <cell r="H13">
            <v>-50</v>
          </cell>
          <cell r="I13">
            <v>-50</v>
          </cell>
          <cell r="J13">
            <v>-37</v>
          </cell>
          <cell r="K13">
            <v>-23</v>
          </cell>
        </row>
        <row r="14">
          <cell r="A14">
            <v>3000</v>
          </cell>
          <cell r="D14">
            <v>-9</v>
          </cell>
          <cell r="E14">
            <v>-21</v>
          </cell>
          <cell r="F14">
            <v>-39</v>
          </cell>
          <cell r="G14">
            <v>-50</v>
          </cell>
          <cell r="H14">
            <v>-50</v>
          </cell>
          <cell r="I14">
            <v>-50</v>
          </cell>
          <cell r="J14">
            <v>-38</v>
          </cell>
          <cell r="K14">
            <v>-23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</sheetNames>
    <sheetDataSet>
      <sheetData sheetId="0">
        <row r="3">
          <cell r="E3" t="str">
            <v>T01A</v>
          </cell>
          <cell r="F3" t="str">
            <v>T01B</v>
          </cell>
          <cell r="G3" t="str">
            <v>T01E</v>
          </cell>
          <cell r="H3" t="str">
            <v>T12A</v>
          </cell>
          <cell r="I3" t="str">
            <v>T16B</v>
          </cell>
          <cell r="J3" t="str">
            <v>T17B</v>
          </cell>
          <cell r="K3" t="str">
            <v>T20B</v>
          </cell>
          <cell r="L3" t="str">
            <v>T21E</v>
          </cell>
          <cell r="M3" t="str">
            <v>T21F</v>
          </cell>
          <cell r="N3" t="str">
            <v>T22B</v>
          </cell>
          <cell r="O3" t="str">
            <v>T22C</v>
          </cell>
          <cell r="P3" t="str">
            <v>T26</v>
          </cell>
          <cell r="Q3" t="str">
            <v>T27</v>
          </cell>
          <cell r="R3" t="str">
            <v>T28</v>
          </cell>
          <cell r="S3" t="str">
            <v>T31A</v>
          </cell>
          <cell r="T3" t="str">
            <v>T31B</v>
          </cell>
          <cell r="U3" t="str">
            <v>T31C</v>
          </cell>
          <cell r="V3" t="str">
            <v>T31D</v>
          </cell>
          <cell r="W3" t="str">
            <v>T31E</v>
          </cell>
          <cell r="X3" t="str">
            <v>T32</v>
          </cell>
          <cell r="Y3" t="str">
            <v>T33</v>
          </cell>
          <cell r="Z3" t="str">
            <v>T34</v>
          </cell>
          <cell r="AA3" t="str">
            <v>T35A</v>
          </cell>
          <cell r="AB3" t="str">
            <v>T35B</v>
          </cell>
          <cell r="AC3" t="str">
            <v>T35C</v>
          </cell>
          <cell r="AD3" t="str">
            <v>T35D</v>
          </cell>
          <cell r="AE3" t="str">
            <v>T36</v>
          </cell>
          <cell r="AF3" t="str">
            <v>T36A</v>
          </cell>
          <cell r="AG3" t="str">
            <v>Gal</v>
          </cell>
          <cell r="AH3" t="str">
            <v>GalS</v>
          </cell>
          <cell r="AI3" t="str">
            <v>GW</v>
          </cell>
          <cell r="AJ3" t="str">
            <v>GWA</v>
          </cell>
        </row>
        <row r="4">
          <cell r="E4">
            <v>1000</v>
          </cell>
          <cell r="F4">
            <v>1000</v>
          </cell>
          <cell r="G4">
            <v>1000</v>
          </cell>
          <cell r="H4">
            <v>1000</v>
          </cell>
          <cell r="I4">
            <v>1000</v>
          </cell>
          <cell r="J4">
            <v>1000</v>
          </cell>
          <cell r="K4">
            <v>1000</v>
          </cell>
          <cell r="L4">
            <v>1000</v>
          </cell>
          <cell r="M4">
            <v>1000</v>
          </cell>
          <cell r="N4">
            <v>1000</v>
          </cell>
          <cell r="O4">
            <v>1000</v>
          </cell>
          <cell r="P4">
            <v>1000</v>
          </cell>
          <cell r="Q4">
            <v>1000</v>
          </cell>
          <cell r="R4">
            <v>1000</v>
          </cell>
          <cell r="S4">
            <v>1000</v>
          </cell>
          <cell r="T4">
            <v>1000</v>
          </cell>
          <cell r="U4">
            <v>1000</v>
          </cell>
          <cell r="V4">
            <v>1000</v>
          </cell>
          <cell r="W4">
            <v>1000</v>
          </cell>
          <cell r="X4">
            <v>1000</v>
          </cell>
          <cell r="Y4">
            <v>1000</v>
          </cell>
          <cell r="Z4">
            <v>1000</v>
          </cell>
          <cell r="AA4">
            <v>1000</v>
          </cell>
          <cell r="AB4">
            <v>1000</v>
          </cell>
          <cell r="AC4">
            <v>1000</v>
          </cell>
          <cell r="AD4">
            <v>1000</v>
          </cell>
          <cell r="AE4">
            <v>1000</v>
          </cell>
          <cell r="AF4">
            <v>1000</v>
          </cell>
          <cell r="AG4">
            <v>1200</v>
          </cell>
          <cell r="AH4">
            <v>1200</v>
          </cell>
          <cell r="AI4">
            <v>1000</v>
          </cell>
          <cell r="AJ4">
            <v>1000</v>
          </cell>
        </row>
        <row r="5">
          <cell r="E5">
            <v>1480</v>
          </cell>
          <cell r="F5">
            <v>1480</v>
          </cell>
          <cell r="G5">
            <v>1480</v>
          </cell>
          <cell r="H5">
            <v>1480</v>
          </cell>
          <cell r="I5">
            <v>1480</v>
          </cell>
          <cell r="J5">
            <v>1480</v>
          </cell>
          <cell r="K5">
            <v>1480</v>
          </cell>
          <cell r="L5">
            <v>1480</v>
          </cell>
          <cell r="M5">
            <v>1480</v>
          </cell>
          <cell r="N5">
            <v>1480</v>
          </cell>
          <cell r="O5">
            <v>1480</v>
          </cell>
          <cell r="P5">
            <v>1480</v>
          </cell>
          <cell r="Q5">
            <v>1480</v>
          </cell>
          <cell r="R5">
            <v>1480</v>
          </cell>
          <cell r="S5">
            <v>1480</v>
          </cell>
          <cell r="T5">
            <v>1480</v>
          </cell>
          <cell r="U5">
            <v>1480</v>
          </cell>
          <cell r="V5">
            <v>1480</v>
          </cell>
          <cell r="W5">
            <v>1480</v>
          </cell>
          <cell r="X5">
            <v>1480</v>
          </cell>
          <cell r="Y5">
            <v>1480</v>
          </cell>
          <cell r="Z5">
            <v>1480</v>
          </cell>
          <cell r="AA5">
            <v>1480</v>
          </cell>
          <cell r="AB5">
            <v>1480</v>
          </cell>
          <cell r="AC5">
            <v>1480</v>
          </cell>
          <cell r="AD5">
            <v>1480</v>
          </cell>
          <cell r="AE5">
            <v>1480</v>
          </cell>
          <cell r="AF5">
            <v>1480</v>
          </cell>
          <cell r="AG5">
            <v>1465</v>
          </cell>
          <cell r="AH5">
            <v>1465</v>
          </cell>
          <cell r="AI5">
            <v>1480</v>
          </cell>
          <cell r="AJ5">
            <v>1480</v>
          </cell>
        </row>
        <row r="6">
          <cell r="E6">
            <v>1.2050000000000001</v>
          </cell>
          <cell r="F6">
            <v>1.2050000000000001</v>
          </cell>
          <cell r="G6">
            <v>1.2050000000000001</v>
          </cell>
          <cell r="H6">
            <v>1.2050000000000001</v>
          </cell>
          <cell r="I6">
            <v>1.2050000000000001</v>
          </cell>
          <cell r="J6">
            <v>1.2050000000000001</v>
          </cell>
          <cell r="K6">
            <v>1.2050000000000001</v>
          </cell>
          <cell r="L6">
            <v>1.2050000000000001</v>
          </cell>
          <cell r="M6">
            <v>1.2050000000000001</v>
          </cell>
          <cell r="N6">
            <v>1.2050000000000001</v>
          </cell>
          <cell r="O6">
            <v>1.2050000000000001</v>
          </cell>
          <cell r="P6">
            <v>1.2050000000000001</v>
          </cell>
          <cell r="Q6">
            <v>1.2050000000000001</v>
          </cell>
          <cell r="R6">
            <v>1.2050000000000001</v>
          </cell>
          <cell r="S6">
            <v>1.2050000000000001</v>
          </cell>
          <cell r="T6">
            <v>1.2050000000000001</v>
          </cell>
          <cell r="U6">
            <v>1.2050000000000001</v>
          </cell>
          <cell r="V6">
            <v>1.2050000000000001</v>
          </cell>
          <cell r="W6">
            <v>1.2050000000000001</v>
          </cell>
          <cell r="X6">
            <v>1.2050000000000001</v>
          </cell>
          <cell r="Y6">
            <v>1.2050000000000001</v>
          </cell>
          <cell r="Z6">
            <v>1.2050000000000001</v>
          </cell>
          <cell r="AA6">
            <v>1.2050000000000001</v>
          </cell>
          <cell r="AB6">
            <v>1.2050000000000001</v>
          </cell>
          <cell r="AC6">
            <v>1.2050000000000001</v>
          </cell>
          <cell r="AD6">
            <v>1.2050000000000001</v>
          </cell>
          <cell r="AE6">
            <v>1.2050000000000001</v>
          </cell>
          <cell r="AF6">
            <v>1.2050000000000001</v>
          </cell>
          <cell r="AG6">
            <v>1.2</v>
          </cell>
          <cell r="AH6">
            <v>1.2</v>
          </cell>
          <cell r="AI6">
            <v>1.2050000000000001</v>
          </cell>
          <cell r="AJ6">
            <v>1.2050000000000001</v>
          </cell>
        </row>
        <row r="7">
          <cell r="E7">
            <v>605.40540540540542</v>
          </cell>
          <cell r="F7">
            <v>679.01234567901236</v>
          </cell>
          <cell r="G7">
            <v>617.28395061728395</v>
          </cell>
          <cell r="H7">
            <v>897.22675367047304</v>
          </cell>
          <cell r="I7">
            <v>291.26213592233012</v>
          </cell>
          <cell r="J7">
            <v>738.255033557047</v>
          </cell>
          <cell r="K7">
            <v>472.44094488188978</v>
          </cell>
          <cell r="L7">
            <v>755.55555555555554</v>
          </cell>
          <cell r="M7">
            <v>755.55555555555554</v>
          </cell>
          <cell r="N7">
            <v>964.91228070175441</v>
          </cell>
          <cell r="O7">
            <v>964.91228070175441</v>
          </cell>
          <cell r="P7">
            <v>349.92887624466573</v>
          </cell>
          <cell r="Q7">
            <v>285.71428571428572</v>
          </cell>
          <cell r="R7">
            <v>477.27272727272725</v>
          </cell>
          <cell r="S7">
            <v>770.44854881266485</v>
          </cell>
          <cell r="T7">
            <v>770.44854881266485</v>
          </cell>
          <cell r="U7">
            <v>770.44854881266485</v>
          </cell>
          <cell r="V7">
            <v>770.44854881266485</v>
          </cell>
          <cell r="W7">
            <v>770.44854881266485</v>
          </cell>
          <cell r="X7">
            <v>730</v>
          </cell>
          <cell r="Y7">
            <v>1013.1926121372031</v>
          </cell>
          <cell r="Z7">
            <v>1013.1926121372031</v>
          </cell>
          <cell r="AA7">
            <v>233.3</v>
          </cell>
          <cell r="AB7">
            <v>233.3</v>
          </cell>
          <cell r="AC7">
            <v>233.3</v>
          </cell>
          <cell r="AD7">
            <v>303.33300000000003</v>
          </cell>
          <cell r="AE7">
            <v>523.68421052631584</v>
          </cell>
          <cell r="AF7">
            <v>523.68421052631584</v>
          </cell>
          <cell r="AG7">
            <v>500</v>
          </cell>
          <cell r="AH7">
            <v>500</v>
          </cell>
          <cell r="AI7">
            <v>127.83505154639175</v>
          </cell>
          <cell r="AJ7">
            <v>127.83505154639175</v>
          </cell>
        </row>
        <row r="8">
          <cell r="E8">
            <v>832.43243243243239</v>
          </cell>
          <cell r="F8">
            <v>814.81481481481478</v>
          </cell>
          <cell r="G8">
            <v>814.81481481481478</v>
          </cell>
          <cell r="H8">
            <v>978.79282218597064</v>
          </cell>
          <cell r="I8">
            <v>359.22330097087377</v>
          </cell>
          <cell r="J8">
            <v>872.48322147651004</v>
          </cell>
          <cell r="K8">
            <v>570.0787401574803</v>
          </cell>
          <cell r="L8">
            <v>673.33333333333337</v>
          </cell>
          <cell r="M8">
            <v>673.33333333333337</v>
          </cell>
          <cell r="N8">
            <v>905.26315789473688</v>
          </cell>
          <cell r="O8">
            <v>905.26315789473688</v>
          </cell>
          <cell r="P8">
            <v>438.12233285917495</v>
          </cell>
          <cell r="Q8">
            <v>347.82608695652175</v>
          </cell>
          <cell r="R8">
            <v>477.27272727272725</v>
          </cell>
          <cell r="S8">
            <v>857.51978891820579</v>
          </cell>
          <cell r="T8">
            <v>857.51978891820579</v>
          </cell>
          <cell r="U8">
            <v>857.51978891820579</v>
          </cell>
          <cell r="V8">
            <v>857.51978891820579</v>
          </cell>
          <cell r="W8">
            <v>857.51978891820579</v>
          </cell>
          <cell r="X8">
            <v>812.5</v>
          </cell>
          <cell r="Y8">
            <v>857.51978891820579</v>
          </cell>
          <cell r="Z8">
            <v>857.51978891820579</v>
          </cell>
          <cell r="AA8">
            <v>333.33300000000003</v>
          </cell>
          <cell r="AB8">
            <v>333.33300000000003</v>
          </cell>
          <cell r="AC8">
            <v>333.33300000000003</v>
          </cell>
          <cell r="AD8">
            <v>333.33300000000003</v>
          </cell>
          <cell r="AE8">
            <v>572.36842105263156</v>
          </cell>
          <cell r="AF8">
            <v>572.36842105263156</v>
          </cell>
          <cell r="AG8">
            <v>665</v>
          </cell>
          <cell r="AH8">
            <v>665</v>
          </cell>
          <cell r="AI8">
            <v>156.70103092783506</v>
          </cell>
          <cell r="AJ8">
            <v>156.70103092783506</v>
          </cell>
        </row>
        <row r="9">
          <cell r="E9">
            <v>372.97297297297297</v>
          </cell>
          <cell r="F9">
            <v>370.37037037037032</v>
          </cell>
          <cell r="G9">
            <v>370.37037037037032</v>
          </cell>
          <cell r="H9">
            <v>489.39641109298532</v>
          </cell>
          <cell r="I9">
            <v>184.46601941747574</v>
          </cell>
          <cell r="J9">
            <v>402.68456375838929</v>
          </cell>
          <cell r="K9">
            <v>275.59055118110234</v>
          </cell>
          <cell r="L9">
            <v>500</v>
          </cell>
          <cell r="M9">
            <v>500</v>
          </cell>
          <cell r="N9">
            <v>659.64912280701753</v>
          </cell>
          <cell r="O9">
            <v>659.64912280701753</v>
          </cell>
          <cell r="P9">
            <v>213.37126600284495</v>
          </cell>
          <cell r="Q9">
            <v>183.85093167701862</v>
          </cell>
          <cell r="R9">
            <v>378.78787878787881</v>
          </cell>
          <cell r="S9">
            <v>422.16358839050133</v>
          </cell>
          <cell r="T9">
            <v>422.16358839050133</v>
          </cell>
          <cell r="U9">
            <v>455.14511873350921</v>
          </cell>
          <cell r="V9">
            <v>521.10817941952507</v>
          </cell>
          <cell r="W9">
            <v>521.10817941952507</v>
          </cell>
          <cell r="X9">
            <v>431.25</v>
          </cell>
          <cell r="Y9">
            <v>637.20316622691291</v>
          </cell>
          <cell r="Z9">
            <v>693.93139841688651</v>
          </cell>
          <cell r="AA9">
            <v>175</v>
          </cell>
          <cell r="AB9">
            <v>175</v>
          </cell>
          <cell r="AC9">
            <v>175</v>
          </cell>
          <cell r="AD9">
            <v>175</v>
          </cell>
          <cell r="AE9">
            <v>328.94736842105266</v>
          </cell>
          <cell r="AF9">
            <v>328.94736842105266</v>
          </cell>
          <cell r="AG9">
            <v>300</v>
          </cell>
          <cell r="AH9">
            <v>300</v>
          </cell>
          <cell r="AI9">
            <v>82.474226804123717</v>
          </cell>
          <cell r="AJ9">
            <v>82.474226804123717</v>
          </cell>
        </row>
        <row r="10">
          <cell r="E10">
            <v>6075.6756756756758</v>
          </cell>
          <cell r="F10">
            <v>5679.0123456790125</v>
          </cell>
          <cell r="G10">
            <v>5679.0123456790125</v>
          </cell>
          <cell r="H10">
            <v>6107.6672104404561</v>
          </cell>
          <cell r="I10">
            <v>4708.7378640776697</v>
          </cell>
          <cell r="J10">
            <v>5704.6979865771818</v>
          </cell>
          <cell r="K10">
            <v>5275.5905511811025</v>
          </cell>
          <cell r="L10">
            <v>5044.4444444444443</v>
          </cell>
          <cell r="M10">
            <v>5044.4444444444443</v>
          </cell>
          <cell r="N10">
            <v>4666.6666666666661</v>
          </cell>
          <cell r="O10">
            <v>4666.6666666666661</v>
          </cell>
          <cell r="P10">
            <v>5689.9004267425316</v>
          </cell>
          <cell r="Q10">
            <v>4596.2732919254659</v>
          </cell>
          <cell r="R10">
            <v>4742.424242424242</v>
          </cell>
          <cell r="S10">
            <v>6229.5514511873353</v>
          </cell>
          <cell r="T10">
            <v>6229.5514511873353</v>
          </cell>
          <cell r="U10">
            <v>6229.5514511873353</v>
          </cell>
          <cell r="V10">
            <v>6229.5514511873353</v>
          </cell>
          <cell r="W10">
            <v>6229.5514511873353</v>
          </cell>
          <cell r="X10">
            <v>5902.5</v>
          </cell>
          <cell r="Y10">
            <v>6229.5514511873353</v>
          </cell>
          <cell r="Z10">
            <v>6229.5514511873353</v>
          </cell>
          <cell r="AA10">
            <v>5016.66</v>
          </cell>
          <cell r="AB10">
            <v>5016.66</v>
          </cell>
          <cell r="AC10">
            <v>5016.66</v>
          </cell>
          <cell r="AD10">
            <v>5016.66</v>
          </cell>
          <cell r="AE10">
            <v>5657.8947368421059</v>
          </cell>
          <cell r="AF10">
            <v>5657.8947368421059</v>
          </cell>
          <cell r="AG10">
            <v>5500</v>
          </cell>
          <cell r="AH10">
            <v>5500</v>
          </cell>
          <cell r="AI10">
            <v>4117.5257731958754</v>
          </cell>
          <cell r="AJ10">
            <v>4117.5257731958754</v>
          </cell>
        </row>
        <row r="11">
          <cell r="E11">
            <v>702.70270270270271</v>
          </cell>
          <cell r="F11">
            <v>685.18518518518511</v>
          </cell>
          <cell r="G11">
            <v>685.18518518518511</v>
          </cell>
          <cell r="H11">
            <v>685.1549755301794</v>
          </cell>
          <cell r="I11">
            <v>689.32038834951459</v>
          </cell>
          <cell r="J11">
            <v>617.44966442953023</v>
          </cell>
          <cell r="K11">
            <v>708.66141732283461</v>
          </cell>
          <cell r="L11">
            <v>622.22222222222217</v>
          </cell>
          <cell r="M11">
            <v>622.22222222222217</v>
          </cell>
          <cell r="N11">
            <v>666.66666666666663</v>
          </cell>
          <cell r="O11">
            <v>666.66666666666663</v>
          </cell>
          <cell r="P11">
            <v>625.88904694167854</v>
          </cell>
          <cell r="Q11">
            <v>677.01863354037266</v>
          </cell>
          <cell r="R11">
            <v>643.93939393939399</v>
          </cell>
          <cell r="S11">
            <v>791.55672823218993</v>
          </cell>
          <cell r="T11">
            <v>791.55672823218993</v>
          </cell>
          <cell r="U11">
            <v>791.55672823218993</v>
          </cell>
          <cell r="V11">
            <v>791.55672823218993</v>
          </cell>
          <cell r="W11">
            <v>791.55672823218993</v>
          </cell>
          <cell r="X11">
            <v>750</v>
          </cell>
          <cell r="Y11">
            <v>791.55672823218993</v>
          </cell>
          <cell r="Z11">
            <v>791.55672823218993</v>
          </cell>
          <cell r="AA11">
            <v>792</v>
          </cell>
          <cell r="AB11">
            <v>792</v>
          </cell>
          <cell r="AC11">
            <v>792</v>
          </cell>
          <cell r="AD11">
            <v>1208.3330000000001</v>
          </cell>
          <cell r="AE11">
            <v>710.52631578947364</v>
          </cell>
          <cell r="AF11">
            <v>710.52631578947364</v>
          </cell>
          <cell r="AG11">
            <v>820</v>
          </cell>
          <cell r="AH11">
            <v>820</v>
          </cell>
          <cell r="AI11">
            <v>618.5567010309278</v>
          </cell>
          <cell r="AJ11">
            <v>618.5567010309278</v>
          </cell>
        </row>
        <row r="12">
          <cell r="E12">
            <v>881.08108108108104</v>
          </cell>
          <cell r="F12">
            <v>850.61728395061721</v>
          </cell>
          <cell r="G12">
            <v>866.66666666666663</v>
          </cell>
          <cell r="H12">
            <v>913.53996737357261</v>
          </cell>
          <cell r="I12">
            <v>666.01941747572812</v>
          </cell>
          <cell r="J12">
            <v>735.57046979865777</v>
          </cell>
          <cell r="K12">
            <v>749.6062992125984</v>
          </cell>
          <cell r="L12">
            <v>706.66666666666663</v>
          </cell>
          <cell r="M12">
            <v>706.66666666666663</v>
          </cell>
          <cell r="N12">
            <v>731.57894736842104</v>
          </cell>
          <cell r="O12">
            <v>731.57894736842104</v>
          </cell>
          <cell r="P12">
            <v>694.16785206258885</v>
          </cell>
          <cell r="Q12">
            <v>648.94409937888202</v>
          </cell>
          <cell r="R12">
            <v>706.06060606060601</v>
          </cell>
          <cell r="S12">
            <v>878.62796833773086</v>
          </cell>
          <cell r="T12">
            <v>878.62796833773086</v>
          </cell>
          <cell r="U12">
            <v>878.62796833773086</v>
          </cell>
          <cell r="V12">
            <v>878.62796833773086</v>
          </cell>
          <cell r="W12">
            <v>878.62796833773086</v>
          </cell>
          <cell r="X12">
            <v>832.5</v>
          </cell>
          <cell r="Y12">
            <v>877.30870712401054</v>
          </cell>
          <cell r="Z12">
            <v>877.30870712401054</v>
          </cell>
          <cell r="AA12">
            <v>736.66600000000005</v>
          </cell>
          <cell r="AB12">
            <v>736.66600000000005</v>
          </cell>
          <cell r="AC12">
            <v>736.66600000000005</v>
          </cell>
          <cell r="AD12">
            <v>736.66600000000005</v>
          </cell>
          <cell r="AE12">
            <v>750</v>
          </cell>
          <cell r="AF12">
            <v>750</v>
          </cell>
          <cell r="AG12">
            <v>886</v>
          </cell>
          <cell r="AH12">
            <v>886</v>
          </cell>
          <cell r="AI12">
            <v>573.19587628865975</v>
          </cell>
          <cell r="AJ12">
            <v>573.19587628865975</v>
          </cell>
        </row>
        <row r="13">
          <cell r="E13">
            <v>1063.7837837837837</v>
          </cell>
          <cell r="F13">
            <v>1043.2098765432099</v>
          </cell>
          <cell r="G13">
            <v>1045.679012345679</v>
          </cell>
          <cell r="H13">
            <v>1151.7128874388254</v>
          </cell>
          <cell r="I13">
            <v>728.15533980582529</v>
          </cell>
          <cell r="J13">
            <v>974.49664429530196</v>
          </cell>
          <cell r="K13">
            <v>859.05511811023621</v>
          </cell>
          <cell r="L13">
            <v>844.44444444444446</v>
          </cell>
          <cell r="M13">
            <v>844.44444444444446</v>
          </cell>
          <cell r="N13">
            <v>912.28070175438597</v>
          </cell>
          <cell r="O13">
            <v>912.28070175438597</v>
          </cell>
          <cell r="P13">
            <v>768.13655761024177</v>
          </cell>
          <cell r="Q13">
            <v>701.86335403726707</v>
          </cell>
          <cell r="R13">
            <v>792.42424242424238</v>
          </cell>
          <cell r="S13">
            <v>1060.6860158311345</v>
          </cell>
          <cell r="T13">
            <v>1060.6860158311345</v>
          </cell>
          <cell r="U13">
            <v>1060.6860158311345</v>
          </cell>
          <cell r="V13">
            <v>1060.6860158311345</v>
          </cell>
          <cell r="W13">
            <v>1060.6860158311345</v>
          </cell>
          <cell r="X13">
            <v>1005</v>
          </cell>
          <cell r="Y13">
            <v>1060.6860158311345</v>
          </cell>
          <cell r="Z13">
            <v>1060.6860158311345</v>
          </cell>
          <cell r="AA13">
            <v>760</v>
          </cell>
          <cell r="AB13">
            <v>760</v>
          </cell>
          <cell r="AC13">
            <v>760</v>
          </cell>
          <cell r="AD13">
            <v>760</v>
          </cell>
          <cell r="AE13">
            <v>859.21052631578948</v>
          </cell>
          <cell r="AF13">
            <v>859.21052631578948</v>
          </cell>
          <cell r="AG13">
            <v>1018</v>
          </cell>
          <cell r="AH13">
            <v>1018</v>
          </cell>
          <cell r="AI13">
            <v>573.19587628865975</v>
          </cell>
          <cell r="AJ13">
            <v>573.19587628865975</v>
          </cell>
        </row>
        <row r="14">
          <cell r="E14">
            <v>878.91891891891896</v>
          </cell>
          <cell r="F14">
            <v>861.72839506172829</v>
          </cell>
          <cell r="G14">
            <v>859.25925925925924</v>
          </cell>
          <cell r="H14">
            <v>901.30505709624799</v>
          </cell>
          <cell r="I14">
            <v>631.55339805825247</v>
          </cell>
          <cell r="J14">
            <v>837.58389261744969</v>
          </cell>
          <cell r="K14">
            <v>733.85826771653547</v>
          </cell>
          <cell r="L14">
            <v>736.88888888888891</v>
          </cell>
          <cell r="M14">
            <v>736.88888888888891</v>
          </cell>
          <cell r="N14">
            <v>649.12280701754389</v>
          </cell>
          <cell r="O14">
            <v>649.12280701754389</v>
          </cell>
          <cell r="P14">
            <v>666.42958748221906</v>
          </cell>
          <cell r="Q14">
            <v>618.63354037267084</v>
          </cell>
          <cell r="R14">
            <v>643.93939393939399</v>
          </cell>
          <cell r="S14">
            <v>877.30870712401054</v>
          </cell>
          <cell r="T14">
            <v>877.30870712401054</v>
          </cell>
          <cell r="U14">
            <v>877.30870712401054</v>
          </cell>
          <cell r="V14">
            <v>877.30870712401054</v>
          </cell>
          <cell r="W14">
            <v>877.30870712401054</v>
          </cell>
          <cell r="X14">
            <v>831.25</v>
          </cell>
          <cell r="Y14">
            <v>877.30870712401054</v>
          </cell>
          <cell r="Z14">
            <v>877.30870712401054</v>
          </cell>
          <cell r="AA14">
            <v>650</v>
          </cell>
          <cell r="AB14">
            <v>650</v>
          </cell>
          <cell r="AC14">
            <v>650</v>
          </cell>
          <cell r="AD14">
            <v>650</v>
          </cell>
          <cell r="AE14">
            <v>733.5526315789474</v>
          </cell>
          <cell r="AF14">
            <v>733.5526315789474</v>
          </cell>
          <cell r="AG14">
            <v>875</v>
          </cell>
          <cell r="AH14">
            <v>875</v>
          </cell>
          <cell r="AI14">
            <v>536.08247422680415</v>
          </cell>
          <cell r="AJ14">
            <v>536.08247422680415</v>
          </cell>
        </row>
        <row r="15">
          <cell r="E15">
            <v>1295.1351351351352</v>
          </cell>
          <cell r="F15">
            <v>1269.1358024691358</v>
          </cell>
          <cell r="G15">
            <v>1044.4444444444443</v>
          </cell>
          <cell r="H15">
            <v>1390.7014681892333</v>
          </cell>
          <cell r="I15">
            <v>811.16504854368941</v>
          </cell>
          <cell r="J15">
            <v>1273.8255033557048</v>
          </cell>
          <cell r="K15">
            <v>1018.8976377952756</v>
          </cell>
          <cell r="L15">
            <v>1073.5555555555557</v>
          </cell>
          <cell r="M15">
            <v>1073.5555555555557</v>
          </cell>
          <cell r="N15">
            <v>1101.7543859649122</v>
          </cell>
          <cell r="O15">
            <v>1101.7543859649122</v>
          </cell>
          <cell r="P15">
            <v>885.49075391180656</v>
          </cell>
          <cell r="Q15">
            <v>792.54658385093171</v>
          </cell>
          <cell r="R15">
            <v>882.57575757575762</v>
          </cell>
          <cell r="S15">
            <v>1306.0686015831134</v>
          </cell>
          <cell r="T15">
            <v>1306.0686015831134</v>
          </cell>
          <cell r="U15">
            <v>1306.0686015831134</v>
          </cell>
          <cell r="V15">
            <v>1306.0686015831134</v>
          </cell>
          <cell r="W15">
            <v>1306.0686015831134</v>
          </cell>
          <cell r="X15">
            <v>1237.5</v>
          </cell>
          <cell r="Y15">
            <v>1306.0686015831134</v>
          </cell>
          <cell r="Z15">
            <v>1306.0686015831134</v>
          </cell>
          <cell r="AA15">
            <v>816.66600000000005</v>
          </cell>
          <cell r="AB15">
            <v>816.66600000000005</v>
          </cell>
          <cell r="AC15">
            <v>816.66600000000005</v>
          </cell>
          <cell r="AD15">
            <v>816.66600000000005</v>
          </cell>
          <cell r="AE15">
            <v>1019.7368421052631</v>
          </cell>
          <cell r="AF15">
            <v>1019.7368421052631</v>
          </cell>
          <cell r="AG15">
            <v>1208</v>
          </cell>
          <cell r="AH15">
            <v>1208</v>
          </cell>
          <cell r="AI15">
            <v>614.43298969072168</v>
          </cell>
          <cell r="AJ15">
            <v>614.43298969072168</v>
          </cell>
        </row>
        <row r="16">
          <cell r="E16">
            <v>364.32432432432432</v>
          </cell>
          <cell r="F16">
            <v>416.04938271604937</v>
          </cell>
          <cell r="G16">
            <v>385.18518518518516</v>
          </cell>
          <cell r="H16">
            <v>243.06688417618273</v>
          </cell>
          <cell r="I16">
            <v>469.41747572815535</v>
          </cell>
          <cell r="J16">
            <v>351.67785234899333</v>
          </cell>
          <cell r="K16">
            <v>433.07086614173232</v>
          </cell>
          <cell r="L16">
            <v>242.22222222222223</v>
          </cell>
          <cell r="M16">
            <v>242.22222222222223</v>
          </cell>
          <cell r="N16">
            <v>243.85964912280701</v>
          </cell>
          <cell r="O16">
            <v>243.85964912280701</v>
          </cell>
          <cell r="P16">
            <v>470.83926031294448</v>
          </cell>
          <cell r="Q16">
            <v>414.28571428571428</v>
          </cell>
          <cell r="R16">
            <v>421.21212121212119</v>
          </cell>
          <cell r="S16">
            <v>403.03430079155669</v>
          </cell>
          <cell r="T16">
            <v>403.03430079155669</v>
          </cell>
          <cell r="U16">
            <v>403.03430079155669</v>
          </cell>
          <cell r="V16">
            <v>403.03430079155669</v>
          </cell>
          <cell r="W16">
            <v>403.03430079155669</v>
          </cell>
          <cell r="X16">
            <v>431.25</v>
          </cell>
          <cell r="Y16">
            <v>431.25</v>
          </cell>
          <cell r="Z16">
            <v>411.6</v>
          </cell>
          <cell r="AA16">
            <v>433.33300000000003</v>
          </cell>
          <cell r="AB16">
            <v>433.33300000000003</v>
          </cell>
          <cell r="AC16">
            <v>433.33300000000003</v>
          </cell>
          <cell r="AD16">
            <v>433.33300000000003</v>
          </cell>
          <cell r="AE16">
            <v>425.00000000000006</v>
          </cell>
          <cell r="AF16">
            <v>425.00000000000006</v>
          </cell>
          <cell r="AG16">
            <v>408</v>
          </cell>
          <cell r="AH16">
            <v>408</v>
          </cell>
          <cell r="AI16">
            <v>416.49484536082468</v>
          </cell>
          <cell r="AJ16">
            <v>416.49484536082468</v>
          </cell>
        </row>
        <row r="17">
          <cell r="E17">
            <v>12</v>
          </cell>
          <cell r="F17">
            <v>12</v>
          </cell>
          <cell r="G17">
            <v>12</v>
          </cell>
          <cell r="H17">
            <v>12</v>
          </cell>
          <cell r="I17">
            <v>10</v>
          </cell>
          <cell r="J17">
            <v>12</v>
          </cell>
          <cell r="K17">
            <v>10</v>
          </cell>
          <cell r="L17">
            <v>8</v>
          </cell>
          <cell r="M17">
            <v>16</v>
          </cell>
          <cell r="N17">
            <v>24</v>
          </cell>
          <cell r="O17">
            <v>12</v>
          </cell>
          <cell r="P17">
            <v>10</v>
          </cell>
          <cell r="Q17">
            <v>16</v>
          </cell>
          <cell r="R17">
            <v>8</v>
          </cell>
          <cell r="S17">
            <v>8</v>
          </cell>
          <cell r="T17">
            <v>8</v>
          </cell>
          <cell r="U17">
            <v>8</v>
          </cell>
          <cell r="V17">
            <v>8</v>
          </cell>
          <cell r="W17">
            <v>8</v>
          </cell>
          <cell r="X17">
            <v>12</v>
          </cell>
          <cell r="Y17">
            <v>8</v>
          </cell>
          <cell r="Z17">
            <v>8</v>
          </cell>
          <cell r="AA17">
            <v>8</v>
          </cell>
          <cell r="AB17">
            <v>8</v>
          </cell>
          <cell r="AC17">
            <v>8</v>
          </cell>
          <cell r="AD17">
            <v>8</v>
          </cell>
          <cell r="AE17">
            <v>10</v>
          </cell>
          <cell r="AF17">
            <v>10</v>
          </cell>
          <cell r="AG17">
            <v>16</v>
          </cell>
          <cell r="AH17">
            <v>16</v>
          </cell>
          <cell r="AI17">
            <v>12</v>
          </cell>
          <cell r="AJ17">
            <v>12</v>
          </cell>
        </row>
        <row r="18">
          <cell r="E18">
            <v>132.97297297297297</v>
          </cell>
          <cell r="F18">
            <v>129.62962962962962</v>
          </cell>
          <cell r="G18">
            <v>129.62962962962962</v>
          </cell>
          <cell r="H18">
            <v>187.60195758564439</v>
          </cell>
          <cell r="I18">
            <v>32.524271844660191</v>
          </cell>
          <cell r="J18">
            <v>134.2281879194631</v>
          </cell>
          <cell r="K18">
            <v>126.77165354330708</v>
          </cell>
          <cell r="L18">
            <v>160</v>
          </cell>
          <cell r="M18">
            <v>160</v>
          </cell>
          <cell r="N18">
            <v>321.05263157894734</v>
          </cell>
          <cell r="O18">
            <v>321.05263157894734</v>
          </cell>
          <cell r="P18">
            <v>60.73968705547653</v>
          </cell>
          <cell r="Q18">
            <v>54.658385093167702</v>
          </cell>
          <cell r="R18">
            <v>234.84848484848484</v>
          </cell>
          <cell r="S18">
            <v>197.88918205804748</v>
          </cell>
          <cell r="T18">
            <v>213.72031662269129</v>
          </cell>
          <cell r="U18">
            <v>246.70184696569922</v>
          </cell>
          <cell r="V18">
            <v>278.3641160949868</v>
          </cell>
          <cell r="W18">
            <v>310.02638522427441</v>
          </cell>
          <cell r="X18">
            <v>190.625</v>
          </cell>
          <cell r="Y18">
            <v>313.98416886543538</v>
          </cell>
          <cell r="Z18">
            <v>370.71240105540898</v>
          </cell>
          <cell r="AA18">
            <v>108.333</v>
          </cell>
          <cell r="AB18">
            <v>108.333</v>
          </cell>
          <cell r="AC18">
            <v>108.333</v>
          </cell>
          <cell r="AD18">
            <v>108.333</v>
          </cell>
          <cell r="AE18">
            <v>156.57894736842104</v>
          </cell>
          <cell r="AF18">
            <v>133.55263157894737</v>
          </cell>
          <cell r="AG18">
            <v>120</v>
          </cell>
          <cell r="AH18">
            <v>72</v>
          </cell>
          <cell r="AI18">
            <v>20.618556701030929</v>
          </cell>
          <cell r="AJ18">
            <v>20.618556701030929</v>
          </cell>
        </row>
        <row r="19">
          <cell r="E19">
            <v>132.97297297297297</v>
          </cell>
          <cell r="F19">
            <v>129.62962962962962</v>
          </cell>
          <cell r="G19">
            <v>129.62962962962962</v>
          </cell>
          <cell r="H19">
            <v>187.60195758564439</v>
          </cell>
          <cell r="I19">
            <v>14.563106796116505</v>
          </cell>
          <cell r="J19">
            <v>134.2281879194631</v>
          </cell>
          <cell r="K19">
            <v>71.653543307086608</v>
          </cell>
          <cell r="L19">
            <v>124.44444444444444</v>
          </cell>
          <cell r="M19">
            <v>124.44444444444444</v>
          </cell>
          <cell r="N19">
            <v>271.92982456140351</v>
          </cell>
          <cell r="O19">
            <v>271.92982456140351</v>
          </cell>
          <cell r="P19">
            <v>28.87624466571835</v>
          </cell>
          <cell r="Q19">
            <v>23.602484472049689</v>
          </cell>
          <cell r="R19">
            <v>151.5151515151515</v>
          </cell>
          <cell r="S19">
            <v>102.9023746701847</v>
          </cell>
          <cell r="T19">
            <v>118.7335092348285</v>
          </cell>
          <cell r="U19">
            <v>151.71503957783642</v>
          </cell>
          <cell r="V19">
            <v>183.377308707124</v>
          </cell>
          <cell r="W19">
            <v>215.03957783641161</v>
          </cell>
          <cell r="X19">
            <v>88.75</v>
          </cell>
          <cell r="Y19">
            <v>233.50923482849603</v>
          </cell>
          <cell r="Z19">
            <v>290.23746701846966</v>
          </cell>
          <cell r="AA19">
            <v>33.332999999999998</v>
          </cell>
          <cell r="AB19">
            <v>50</v>
          </cell>
          <cell r="AC19">
            <v>75</v>
          </cell>
          <cell r="AD19">
            <v>50</v>
          </cell>
          <cell r="AE19">
            <v>62.5</v>
          </cell>
          <cell r="AF19">
            <v>62.5</v>
          </cell>
          <cell r="AG19">
            <v>60</v>
          </cell>
          <cell r="AH19">
            <v>36</v>
          </cell>
          <cell r="AI19">
            <v>8.2474226804123703</v>
          </cell>
          <cell r="AJ19">
            <v>8.2474226804123703</v>
          </cell>
        </row>
        <row r="20">
          <cell r="E20">
            <v>524.32432432432438</v>
          </cell>
          <cell r="F20">
            <v>596.2962962962963</v>
          </cell>
          <cell r="G20">
            <v>512.34567901234561</v>
          </cell>
          <cell r="H20">
            <v>758.56443719412721</v>
          </cell>
          <cell r="I20">
            <v>240.77669902912621</v>
          </cell>
          <cell r="J20">
            <v>624.16107382550331</v>
          </cell>
          <cell r="K20">
            <v>388.97637795275591</v>
          </cell>
          <cell r="L20">
            <v>626.66666666666663</v>
          </cell>
          <cell r="M20">
            <v>626.66666666666663</v>
          </cell>
          <cell r="N20">
            <v>800</v>
          </cell>
          <cell r="O20">
            <v>800</v>
          </cell>
          <cell r="P20">
            <v>290.18492176386911</v>
          </cell>
          <cell r="Q20">
            <v>288.19875776397515</v>
          </cell>
          <cell r="R20">
            <v>643.93939393939399</v>
          </cell>
          <cell r="S20">
            <v>567.28232189973619</v>
          </cell>
          <cell r="T20">
            <v>567.28232189973619</v>
          </cell>
          <cell r="U20">
            <v>567.28232189973619</v>
          </cell>
          <cell r="V20">
            <v>567.28232189973619</v>
          </cell>
          <cell r="W20">
            <v>567.28232189973619</v>
          </cell>
          <cell r="X20">
            <v>537.5</v>
          </cell>
          <cell r="Y20">
            <v>659.63060686015831</v>
          </cell>
          <cell r="Z20">
            <v>659.63060686015831</v>
          </cell>
          <cell r="AA20">
            <v>375</v>
          </cell>
          <cell r="AB20">
            <v>375</v>
          </cell>
          <cell r="AC20">
            <v>375</v>
          </cell>
          <cell r="AD20">
            <v>375</v>
          </cell>
          <cell r="AE20">
            <v>442.10526315789474</v>
          </cell>
          <cell r="AF20">
            <v>442.10526315789474</v>
          </cell>
          <cell r="AG20">
            <v>455</v>
          </cell>
          <cell r="AH20">
            <v>455</v>
          </cell>
          <cell r="AI20">
            <v>127.83505154639175</v>
          </cell>
          <cell r="AJ20">
            <v>127.83505154639175</v>
          </cell>
        </row>
        <row r="21">
          <cell r="E21">
            <v>605.40540540540542</v>
          </cell>
          <cell r="G21">
            <v>592.59259259259261</v>
          </cell>
          <cell r="H21">
            <v>783.03425774877655</v>
          </cell>
          <cell r="I21">
            <v>289.32038834951459</v>
          </cell>
          <cell r="J21">
            <v>644.29530201342277</v>
          </cell>
          <cell r="K21">
            <v>442.51968503937007</v>
          </cell>
          <cell r="L21">
            <v>640</v>
          </cell>
          <cell r="M21">
            <v>640</v>
          </cell>
          <cell r="N21">
            <v>800</v>
          </cell>
          <cell r="O21">
            <v>800</v>
          </cell>
          <cell r="P21">
            <v>331.4366998577525</v>
          </cell>
          <cell r="Q21">
            <v>511.80124223602485</v>
          </cell>
          <cell r="R21">
            <v>369.69696969696969</v>
          </cell>
          <cell r="S21">
            <v>606.86015831134569</v>
          </cell>
          <cell r="T21">
            <v>606.86015831134569</v>
          </cell>
          <cell r="U21">
            <v>606.86015831134569</v>
          </cell>
          <cell r="V21">
            <v>606.86015831134569</v>
          </cell>
          <cell r="W21">
            <v>606.86015831134569</v>
          </cell>
          <cell r="X21">
            <v>575</v>
          </cell>
          <cell r="Y21">
            <v>688.65435356200533</v>
          </cell>
          <cell r="Z21">
            <v>688.65435356200533</v>
          </cell>
          <cell r="AA21">
            <v>133.333</v>
          </cell>
          <cell r="AB21">
            <v>133.333</v>
          </cell>
          <cell r="AC21">
            <v>133.333</v>
          </cell>
          <cell r="AD21">
            <v>133.333</v>
          </cell>
          <cell r="AE21">
            <v>464.4736842105263</v>
          </cell>
          <cell r="AF21">
            <v>464.4736842105263</v>
          </cell>
          <cell r="AG21">
            <v>500</v>
          </cell>
          <cell r="AH21">
            <v>500</v>
          </cell>
          <cell r="AI21">
            <v>167.01030927835052</v>
          </cell>
          <cell r="AJ21">
            <v>167.01030927835052</v>
          </cell>
        </row>
        <row r="22">
          <cell r="E22">
            <v>30</v>
          </cell>
          <cell r="G22">
            <v>30</v>
          </cell>
          <cell r="H22">
            <v>21</v>
          </cell>
          <cell r="I22">
            <v>45</v>
          </cell>
          <cell r="J22">
            <v>27</v>
          </cell>
          <cell r="K22">
            <v>28.5</v>
          </cell>
          <cell r="L22">
            <v>35</v>
          </cell>
          <cell r="M22">
            <v>35</v>
          </cell>
          <cell r="N22">
            <v>20</v>
          </cell>
          <cell r="O22">
            <v>20</v>
          </cell>
          <cell r="P22">
            <v>40</v>
          </cell>
          <cell r="Q22">
            <v>44</v>
          </cell>
          <cell r="R22">
            <v>1E-4</v>
          </cell>
          <cell r="S22">
            <v>20</v>
          </cell>
          <cell r="T22">
            <v>20</v>
          </cell>
          <cell r="U22">
            <v>20</v>
          </cell>
          <cell r="V22">
            <v>20</v>
          </cell>
          <cell r="W22">
            <v>20</v>
          </cell>
          <cell r="X22">
            <v>10</v>
          </cell>
          <cell r="Y22">
            <v>10</v>
          </cell>
          <cell r="Z22">
            <v>10</v>
          </cell>
          <cell r="AA22">
            <v>1E-4</v>
          </cell>
          <cell r="AB22">
            <v>1E-4</v>
          </cell>
          <cell r="AC22">
            <v>1E-4</v>
          </cell>
          <cell r="AD22">
            <v>1E-4</v>
          </cell>
          <cell r="AE22">
            <v>29</v>
          </cell>
          <cell r="AF22">
            <v>29</v>
          </cell>
          <cell r="AG22">
            <v>38.4</v>
          </cell>
          <cell r="AH22">
            <v>38.4</v>
          </cell>
          <cell r="AI22">
            <v>65</v>
          </cell>
          <cell r="AJ22">
            <v>65</v>
          </cell>
        </row>
        <row r="23">
          <cell r="E23">
            <v>30</v>
          </cell>
          <cell r="G23">
            <v>30</v>
          </cell>
          <cell r="H23">
            <v>30</v>
          </cell>
          <cell r="I23">
            <v>40</v>
          </cell>
          <cell r="J23">
            <v>30</v>
          </cell>
          <cell r="K23">
            <v>40</v>
          </cell>
          <cell r="L23">
            <v>58.5</v>
          </cell>
          <cell r="M23">
            <v>58.5</v>
          </cell>
          <cell r="N23">
            <v>25</v>
          </cell>
          <cell r="O23">
            <v>25</v>
          </cell>
          <cell r="P23">
            <v>40</v>
          </cell>
          <cell r="Q23">
            <v>60</v>
          </cell>
          <cell r="R23">
            <v>1E-4</v>
          </cell>
          <cell r="S23">
            <v>30</v>
          </cell>
          <cell r="T23">
            <v>30</v>
          </cell>
          <cell r="U23">
            <v>30</v>
          </cell>
          <cell r="V23">
            <v>30</v>
          </cell>
          <cell r="W23">
            <v>30</v>
          </cell>
          <cell r="X23">
            <v>34.5</v>
          </cell>
          <cell r="Y23">
            <v>30</v>
          </cell>
          <cell r="Z23">
            <v>30</v>
          </cell>
          <cell r="AA23">
            <v>1E-4</v>
          </cell>
          <cell r="AB23">
            <v>1E-4</v>
          </cell>
          <cell r="AC23">
            <v>1E-4</v>
          </cell>
          <cell r="AD23">
            <v>1E-4</v>
          </cell>
          <cell r="AE23">
            <v>40</v>
          </cell>
          <cell r="AF23">
            <v>40</v>
          </cell>
          <cell r="AG23">
            <v>71</v>
          </cell>
          <cell r="AH23">
            <v>71</v>
          </cell>
          <cell r="AI23">
            <v>90</v>
          </cell>
          <cell r="AJ23">
            <v>90</v>
          </cell>
        </row>
        <row r="24"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</row>
        <row r="25">
          <cell r="E25">
            <v>3.83</v>
          </cell>
          <cell r="G25">
            <v>2.8514141019882615</v>
          </cell>
          <cell r="H25">
            <v>6.58</v>
          </cell>
          <cell r="I25">
            <v>0.23</v>
          </cell>
          <cell r="J25">
            <v>4.6399999999999997</v>
          </cell>
          <cell r="K25">
            <v>1.68</v>
          </cell>
          <cell r="L25">
            <v>2.77</v>
          </cell>
          <cell r="M25">
            <v>4.99</v>
          </cell>
          <cell r="N25">
            <v>3.7855555555555553</v>
          </cell>
          <cell r="O25">
            <v>4.2061111111111114</v>
          </cell>
          <cell r="P25">
            <v>0.39</v>
          </cell>
          <cell r="Q25">
            <v>0.7</v>
          </cell>
          <cell r="R25">
            <v>1.93</v>
          </cell>
          <cell r="S25">
            <v>2.0876562174896227</v>
          </cell>
          <cell r="T25">
            <v>2.5515798213762055</v>
          </cell>
          <cell r="U25">
            <v>3.2474652272060798</v>
          </cell>
          <cell r="V25">
            <v>2.3196180194329141</v>
          </cell>
          <cell r="W25">
            <v>3.0155034252627884</v>
          </cell>
          <cell r="X25">
            <v>3.0155034252627884</v>
          </cell>
          <cell r="Y25">
            <v>4.6399999999999997</v>
          </cell>
          <cell r="Z25">
            <v>6.03</v>
          </cell>
          <cell r="AA25">
            <v>0.42</v>
          </cell>
          <cell r="AB25">
            <v>0.47</v>
          </cell>
          <cell r="AC25">
            <v>0.47</v>
          </cell>
          <cell r="AD25">
            <v>0.47</v>
          </cell>
          <cell r="AE25">
            <v>1.61</v>
          </cell>
          <cell r="AF25">
            <v>1.5</v>
          </cell>
          <cell r="AG25">
            <v>1</v>
          </cell>
          <cell r="AH25">
            <v>5.0599999999999999E-2</v>
          </cell>
          <cell r="AI25">
            <v>5.0599999999999999E-2</v>
          </cell>
          <cell r="AJ25">
            <v>5.0576541712728303E-2</v>
          </cell>
        </row>
        <row r="26">
          <cell r="E26">
            <v>4.47</v>
          </cell>
          <cell r="F26">
            <v>0.95047136732942039</v>
          </cell>
          <cell r="G26">
            <v>3.8018854693176816</v>
          </cell>
          <cell r="H26">
            <v>8.33</v>
          </cell>
          <cell r="I26">
            <v>0.46</v>
          </cell>
          <cell r="J26">
            <v>5.86</v>
          </cell>
          <cell r="K26">
            <v>1.97</v>
          </cell>
          <cell r="L26">
            <v>4.43</v>
          </cell>
          <cell r="M26">
            <v>5.54</v>
          </cell>
          <cell r="N26">
            <v>6.309166666666667</v>
          </cell>
          <cell r="O26">
            <v>6.309166666666667</v>
          </cell>
          <cell r="P26">
            <v>0.76</v>
          </cell>
          <cell r="Q26">
            <v>0.8</v>
          </cell>
          <cell r="R26">
            <v>3.16</v>
          </cell>
          <cell r="S26">
            <v>2.7835416233194969</v>
          </cell>
          <cell r="T26">
            <v>3.2474652272060798</v>
          </cell>
          <cell r="U26">
            <v>3.943350633035954</v>
          </cell>
          <cell r="V26">
            <v>3.2474652272060798</v>
          </cell>
          <cell r="W26">
            <v>3.943350633035954</v>
          </cell>
          <cell r="X26">
            <v>3.943350633035954</v>
          </cell>
          <cell r="Y26">
            <v>8.1199999999999992</v>
          </cell>
          <cell r="Z26">
            <v>9.2799999999999994</v>
          </cell>
          <cell r="AA26">
            <v>0.82</v>
          </cell>
          <cell r="AB26">
            <v>0.7</v>
          </cell>
          <cell r="AC26">
            <v>0.7</v>
          </cell>
          <cell r="AD26">
            <v>0.94</v>
          </cell>
          <cell r="AE26">
            <v>2.2999999999999998</v>
          </cell>
          <cell r="AF26">
            <v>2.2999999999999998</v>
          </cell>
          <cell r="AG26">
            <v>2</v>
          </cell>
          <cell r="AH26">
            <v>0.1012</v>
          </cell>
          <cell r="AI26">
            <v>0.1012</v>
          </cell>
          <cell r="AJ26">
            <v>7.5864812569092444E-2</v>
          </cell>
        </row>
        <row r="27">
          <cell r="E27">
            <v>4.82</v>
          </cell>
          <cell r="F27">
            <v>1.9009427346588408</v>
          </cell>
          <cell r="G27">
            <v>4.2771211529823914</v>
          </cell>
          <cell r="H27">
            <v>8.9</v>
          </cell>
          <cell r="I27">
            <v>0.52</v>
          </cell>
          <cell r="J27">
            <v>6.21</v>
          </cell>
          <cell r="K27">
            <v>2.25</v>
          </cell>
          <cell r="L27">
            <v>5.21</v>
          </cell>
          <cell r="M27">
            <v>6.1</v>
          </cell>
          <cell r="N27">
            <v>7.5711111111111107</v>
          </cell>
          <cell r="O27">
            <v>8.4122222222222227</v>
          </cell>
          <cell r="P27">
            <v>0.92</v>
          </cell>
          <cell r="Q27">
            <v>0.85</v>
          </cell>
          <cell r="R27">
            <v>3.58</v>
          </cell>
          <cell r="S27">
            <v>3.4794270291493712</v>
          </cell>
          <cell r="T27">
            <v>3.943350633035954</v>
          </cell>
          <cell r="U27">
            <v>4.6392360388658282</v>
          </cell>
          <cell r="V27">
            <v>4.1753124349792454</v>
          </cell>
          <cell r="W27">
            <v>4.8711978408091197</v>
          </cell>
          <cell r="X27">
            <v>4.8711978408091197</v>
          </cell>
          <cell r="Y27">
            <v>8.7200000000000006</v>
          </cell>
          <cell r="Z27">
            <v>9.9700000000000006</v>
          </cell>
          <cell r="AA27">
            <v>0.94</v>
          </cell>
          <cell r="AB27">
            <v>0.89</v>
          </cell>
          <cell r="AC27">
            <v>0.89</v>
          </cell>
          <cell r="AD27">
            <v>1.08</v>
          </cell>
          <cell r="AE27">
            <v>2.65</v>
          </cell>
          <cell r="AF27">
            <v>2.5499999999999998</v>
          </cell>
          <cell r="AG27">
            <v>3</v>
          </cell>
          <cell r="AH27">
            <v>0.12640000000000001</v>
          </cell>
          <cell r="AI27">
            <v>0.12640000000000001</v>
          </cell>
          <cell r="AJ27">
            <v>0.10115308342545661</v>
          </cell>
        </row>
        <row r="28">
          <cell r="E28">
            <v>5.21</v>
          </cell>
          <cell r="F28">
            <v>2.8514141019882611</v>
          </cell>
          <cell r="G28">
            <v>4.7523568366471025</v>
          </cell>
          <cell r="H28">
            <v>9.52</v>
          </cell>
          <cell r="I28">
            <v>0.59</v>
          </cell>
          <cell r="J28">
            <v>6.57</v>
          </cell>
          <cell r="K28">
            <v>2.54</v>
          </cell>
          <cell r="L28">
            <v>6.04</v>
          </cell>
          <cell r="M28">
            <v>6.71</v>
          </cell>
          <cell r="N28">
            <v>8.4122222222222227</v>
          </cell>
          <cell r="O28">
            <v>9.4638888888888886</v>
          </cell>
          <cell r="P28">
            <v>1.0900000000000001</v>
          </cell>
          <cell r="Q28">
            <v>0.91</v>
          </cell>
          <cell r="R28">
            <v>4.04</v>
          </cell>
          <cell r="S28">
            <v>4.1753124349792454</v>
          </cell>
          <cell r="T28">
            <v>4.6392360388658282</v>
          </cell>
          <cell r="U28">
            <v>5.3351214446957025</v>
          </cell>
          <cell r="V28">
            <v>5.1031596427524111</v>
          </cell>
          <cell r="W28">
            <v>5.7990450485822853</v>
          </cell>
          <cell r="X28">
            <v>5.7990450485822853</v>
          </cell>
          <cell r="Y28">
            <v>9.42</v>
          </cell>
          <cell r="Z28">
            <v>10.72</v>
          </cell>
          <cell r="AA28">
            <v>1.08</v>
          </cell>
          <cell r="AB28">
            <v>1.1000000000000001</v>
          </cell>
          <cell r="AC28">
            <v>1.1000000000000001</v>
          </cell>
          <cell r="AD28">
            <v>1.26</v>
          </cell>
          <cell r="AE28">
            <v>3.01</v>
          </cell>
          <cell r="AF28">
            <v>2.83</v>
          </cell>
          <cell r="AG28">
            <v>4</v>
          </cell>
          <cell r="AH28">
            <v>0.1517</v>
          </cell>
          <cell r="AI28">
            <v>0.1517</v>
          </cell>
          <cell r="AJ28">
            <v>0.12644135428182077</v>
          </cell>
        </row>
        <row r="29">
          <cell r="E29">
            <v>5.59</v>
          </cell>
          <cell r="F29">
            <v>3.8018854693176816</v>
          </cell>
          <cell r="G29">
            <v>5.25</v>
          </cell>
          <cell r="H29">
            <v>10.130000000000001</v>
          </cell>
          <cell r="I29">
            <v>0.65</v>
          </cell>
          <cell r="J29">
            <v>6.94</v>
          </cell>
          <cell r="K29">
            <v>2.84</v>
          </cell>
          <cell r="L29">
            <v>6.87</v>
          </cell>
          <cell r="M29">
            <v>7.32</v>
          </cell>
          <cell r="N29">
            <v>9.6741666666666664</v>
          </cell>
          <cell r="O29">
            <v>10.515277777777778</v>
          </cell>
          <cell r="P29">
            <v>1.27</v>
          </cell>
          <cell r="Q29">
            <v>0.98</v>
          </cell>
          <cell r="R29">
            <v>4.5</v>
          </cell>
          <cell r="S29">
            <v>4.8711978408091197</v>
          </cell>
          <cell r="T29">
            <v>5.3351214446957025</v>
          </cell>
          <cell r="U29">
            <v>6.0310068505255767</v>
          </cell>
          <cell r="V29">
            <v>6.0310068505255767</v>
          </cell>
          <cell r="W29">
            <v>6.726892256355451</v>
          </cell>
          <cell r="X29">
            <v>6.726892256355451</v>
          </cell>
          <cell r="Y29">
            <v>9.9700000000000006</v>
          </cell>
          <cell r="Z29">
            <v>11.46</v>
          </cell>
          <cell r="AA29">
            <v>1.2</v>
          </cell>
          <cell r="AB29">
            <v>1.31</v>
          </cell>
          <cell r="AC29">
            <v>1.31</v>
          </cell>
          <cell r="AD29">
            <v>1.43</v>
          </cell>
          <cell r="AE29">
            <v>3.38</v>
          </cell>
          <cell r="AF29">
            <v>3.08</v>
          </cell>
          <cell r="AG29">
            <v>4.5</v>
          </cell>
          <cell r="AH29">
            <v>0.17699999999999999</v>
          </cell>
          <cell r="AI29">
            <v>0.17699999999999999</v>
          </cell>
          <cell r="AJ29">
            <v>0.15172962513818491</v>
          </cell>
        </row>
        <row r="30">
          <cell r="E30">
            <v>6.05</v>
          </cell>
          <cell r="F30">
            <v>4.7523568366471016</v>
          </cell>
          <cell r="G30">
            <v>5.702828203976523</v>
          </cell>
          <cell r="H30">
            <v>10.75</v>
          </cell>
          <cell r="I30">
            <v>0.72</v>
          </cell>
          <cell r="J30">
            <v>7.33</v>
          </cell>
          <cell r="K30">
            <v>3.16</v>
          </cell>
          <cell r="L30">
            <v>7.76</v>
          </cell>
          <cell r="M30">
            <v>8.0399999999999991</v>
          </cell>
          <cell r="N30">
            <v>10.515277777777778</v>
          </cell>
          <cell r="O30">
            <v>11.566944444444445</v>
          </cell>
          <cell r="P30">
            <v>1.45</v>
          </cell>
          <cell r="Q30">
            <v>1.05</v>
          </cell>
          <cell r="R30">
            <v>4.92</v>
          </cell>
          <cell r="S30">
            <v>5.5670832466389939</v>
          </cell>
          <cell r="T30">
            <v>6.0310068505255767</v>
          </cell>
          <cell r="U30">
            <v>6.726892256355451</v>
          </cell>
          <cell r="V30">
            <v>6.9588540582987424</v>
          </cell>
          <cell r="W30">
            <v>7.6547394641286166</v>
          </cell>
          <cell r="X30">
            <v>7.6547394641286166</v>
          </cell>
          <cell r="Y30">
            <v>10.72</v>
          </cell>
          <cell r="Z30">
            <v>12.2</v>
          </cell>
          <cell r="AA30">
            <v>1.34</v>
          </cell>
          <cell r="AB30">
            <v>1.52</v>
          </cell>
          <cell r="AC30">
            <v>1.52</v>
          </cell>
          <cell r="AD30">
            <v>1.64</v>
          </cell>
          <cell r="AE30">
            <v>3.75</v>
          </cell>
          <cell r="AF30">
            <v>3.34</v>
          </cell>
          <cell r="AG30">
            <v>5</v>
          </cell>
          <cell r="AH30">
            <v>0.20230000000000001</v>
          </cell>
          <cell r="AI30">
            <v>0.20230000000000001</v>
          </cell>
          <cell r="AJ30">
            <v>0.17701789599454906</v>
          </cell>
        </row>
        <row r="31">
          <cell r="E31">
            <v>6.48</v>
          </cell>
          <cell r="F31">
            <v>5.7028282039765221</v>
          </cell>
          <cell r="G31">
            <v>6.25</v>
          </cell>
          <cell r="H31">
            <v>11.4</v>
          </cell>
          <cell r="I31">
            <v>0.8</v>
          </cell>
          <cell r="J31">
            <v>7.67</v>
          </cell>
          <cell r="K31">
            <v>3.47</v>
          </cell>
          <cell r="L31">
            <v>8.5399999999999991</v>
          </cell>
          <cell r="M31">
            <v>8.81</v>
          </cell>
          <cell r="N31">
            <v>12.197777777777778</v>
          </cell>
          <cell r="O31">
            <v>12.618333333333334</v>
          </cell>
          <cell r="P31">
            <v>1.65</v>
          </cell>
          <cell r="Q31">
            <v>1.1100000000000001</v>
          </cell>
          <cell r="R31">
            <v>5.34</v>
          </cell>
          <cell r="S31">
            <v>6.2629686524688681</v>
          </cell>
          <cell r="T31">
            <v>6.726892256355451</v>
          </cell>
          <cell r="U31">
            <v>7.4227776621853252</v>
          </cell>
          <cell r="V31">
            <v>7.886701266071908</v>
          </cell>
          <cell r="W31">
            <v>8.5825866719017831</v>
          </cell>
          <cell r="X31">
            <v>8.5825866719017831</v>
          </cell>
          <cell r="Y31">
            <v>11.64</v>
          </cell>
          <cell r="Z31">
            <v>12.94</v>
          </cell>
          <cell r="AA31">
            <v>1.48</v>
          </cell>
          <cell r="AB31">
            <v>1.94</v>
          </cell>
          <cell r="AC31">
            <v>1.94</v>
          </cell>
          <cell r="AD31">
            <v>1.89</v>
          </cell>
          <cell r="AE31">
            <v>4.1900000000000004</v>
          </cell>
          <cell r="AF31">
            <v>3.77</v>
          </cell>
          <cell r="AG31">
            <v>5.5</v>
          </cell>
          <cell r="AH31">
            <v>0.2276</v>
          </cell>
          <cell r="AI31">
            <v>0.2276</v>
          </cell>
          <cell r="AJ31">
            <v>0.20230616685091321</v>
          </cell>
        </row>
        <row r="32">
          <cell r="E32">
            <v>6.92</v>
          </cell>
          <cell r="F32">
            <v>6.6532995713059426</v>
          </cell>
          <cell r="G32">
            <v>6.6532995713059426</v>
          </cell>
          <cell r="H32">
            <v>12.06</v>
          </cell>
          <cell r="I32">
            <v>0.87</v>
          </cell>
          <cell r="J32">
            <v>8.14</v>
          </cell>
          <cell r="K32">
            <v>3.79</v>
          </cell>
          <cell r="L32">
            <v>9.31</v>
          </cell>
          <cell r="M32">
            <v>9.59</v>
          </cell>
          <cell r="N32">
            <v>12.618333333333334</v>
          </cell>
          <cell r="O32">
            <v>13.67</v>
          </cell>
          <cell r="P32">
            <v>1.86</v>
          </cell>
          <cell r="Q32">
            <v>1.17</v>
          </cell>
          <cell r="R32">
            <v>5.8</v>
          </cell>
          <cell r="S32">
            <v>6.9588540582987424</v>
          </cell>
          <cell r="T32">
            <v>7.4227776621853252</v>
          </cell>
          <cell r="U32">
            <v>8.1186630680152003</v>
          </cell>
          <cell r="V32">
            <v>8.8145484738450737</v>
          </cell>
          <cell r="W32">
            <v>9.510433879674947</v>
          </cell>
          <cell r="X32">
            <v>9.510433879674947</v>
          </cell>
          <cell r="Y32">
            <v>12.34</v>
          </cell>
          <cell r="Z32">
            <v>13.64</v>
          </cell>
          <cell r="AA32">
            <v>1.64</v>
          </cell>
          <cell r="AB32">
            <v>2.2400000000000002</v>
          </cell>
          <cell r="AC32">
            <v>2.2400000000000002</v>
          </cell>
          <cell r="AD32">
            <v>2.15</v>
          </cell>
          <cell r="AE32">
            <v>4.63</v>
          </cell>
          <cell r="AF32">
            <v>4.21</v>
          </cell>
          <cell r="AG32">
            <v>6</v>
          </cell>
          <cell r="AH32">
            <v>0.25290000000000001</v>
          </cell>
          <cell r="AI32">
            <v>0.25290000000000001</v>
          </cell>
          <cell r="AJ32">
            <v>0.22759443770727733</v>
          </cell>
        </row>
        <row r="33">
          <cell r="E33">
            <v>7.33</v>
          </cell>
          <cell r="F33">
            <v>7.6037709386353631</v>
          </cell>
          <cell r="G33">
            <v>7.6037709386353631</v>
          </cell>
          <cell r="H33">
            <v>12.72</v>
          </cell>
          <cell r="I33">
            <v>0.96</v>
          </cell>
          <cell r="J33">
            <v>8.6</v>
          </cell>
          <cell r="K33">
            <v>4.0999999999999996</v>
          </cell>
          <cell r="L33">
            <v>9.92</v>
          </cell>
          <cell r="M33">
            <v>10.37</v>
          </cell>
          <cell r="N33">
            <v>13.880277777777778</v>
          </cell>
          <cell r="O33">
            <v>14.721388888888889</v>
          </cell>
          <cell r="P33">
            <v>2.06</v>
          </cell>
          <cell r="Q33">
            <v>1.23</v>
          </cell>
          <cell r="R33">
            <v>6.22</v>
          </cell>
          <cell r="S33">
            <v>7.6547394641286166</v>
          </cell>
          <cell r="T33">
            <v>8.1186630680152003</v>
          </cell>
          <cell r="U33">
            <v>8.8145484738450737</v>
          </cell>
          <cell r="V33">
            <v>9.7423956816182393</v>
          </cell>
          <cell r="W33">
            <v>10.438281087448114</v>
          </cell>
          <cell r="X33">
            <v>10.438281087448114</v>
          </cell>
          <cell r="Y33">
            <v>13.18</v>
          </cell>
          <cell r="Z33">
            <v>14.38</v>
          </cell>
          <cell r="AA33">
            <v>1.78</v>
          </cell>
          <cell r="AB33">
            <v>2.57</v>
          </cell>
          <cell r="AC33">
            <v>2.57</v>
          </cell>
          <cell r="AD33">
            <v>2.4300000000000002</v>
          </cell>
          <cell r="AE33">
            <v>5.0599999999999996</v>
          </cell>
          <cell r="AF33">
            <v>4.67</v>
          </cell>
          <cell r="AG33">
            <v>6.5</v>
          </cell>
          <cell r="AH33">
            <v>0.2782</v>
          </cell>
          <cell r="AI33">
            <v>0.2782</v>
          </cell>
          <cell r="AJ33">
            <v>0.25288270856364148</v>
          </cell>
        </row>
        <row r="34">
          <cell r="E34">
            <v>7.79</v>
          </cell>
          <cell r="F34">
            <v>8.5542423059647827</v>
          </cell>
          <cell r="G34">
            <v>8.5542423059647827</v>
          </cell>
          <cell r="H34">
            <v>13.38</v>
          </cell>
          <cell r="I34">
            <v>1.04</v>
          </cell>
          <cell r="J34">
            <v>9.0399999999999991</v>
          </cell>
          <cell r="K34">
            <v>4.4400000000000004</v>
          </cell>
          <cell r="L34">
            <v>10.53</v>
          </cell>
          <cell r="M34">
            <v>11.09</v>
          </cell>
          <cell r="N34">
            <v>14.721388888888889</v>
          </cell>
          <cell r="O34">
            <v>15.983333333333333</v>
          </cell>
          <cell r="P34">
            <v>2.27</v>
          </cell>
          <cell r="Q34">
            <v>1.28</v>
          </cell>
          <cell r="R34">
            <v>6.68</v>
          </cell>
          <cell r="S34">
            <v>8.3506248699584908</v>
          </cell>
          <cell r="T34">
            <v>8.8145484738450737</v>
          </cell>
          <cell r="U34">
            <v>9.510433879674947</v>
          </cell>
          <cell r="V34">
            <v>10.670242889391405</v>
          </cell>
          <cell r="W34">
            <v>11.36612829522128</v>
          </cell>
          <cell r="X34">
            <v>11.36612829522128</v>
          </cell>
          <cell r="Y34">
            <v>13.92</v>
          </cell>
          <cell r="Z34">
            <v>15.08</v>
          </cell>
          <cell r="AA34">
            <v>1.96</v>
          </cell>
          <cell r="AB34">
            <v>2.92</v>
          </cell>
          <cell r="AC34">
            <v>2.92</v>
          </cell>
          <cell r="AD34">
            <v>2.69</v>
          </cell>
          <cell r="AE34">
            <v>5.52</v>
          </cell>
          <cell r="AF34">
            <v>5.0599999999999996</v>
          </cell>
          <cell r="AG34">
            <v>7</v>
          </cell>
          <cell r="AH34">
            <v>0.30349999999999999</v>
          </cell>
          <cell r="AI34">
            <v>0.30349999999999999</v>
          </cell>
          <cell r="AJ34">
            <v>0.27817097942000563</v>
          </cell>
        </row>
        <row r="35">
          <cell r="E35">
            <v>8.17</v>
          </cell>
          <cell r="F35">
            <v>9.5047136732942032</v>
          </cell>
          <cell r="G35">
            <v>9.504713673294205</v>
          </cell>
          <cell r="H35">
            <v>15.35</v>
          </cell>
          <cell r="I35">
            <v>1.34</v>
          </cell>
          <cell r="J35">
            <v>10.02</v>
          </cell>
          <cell r="K35">
            <v>4.7300000000000004</v>
          </cell>
          <cell r="L35">
            <v>11.09</v>
          </cell>
          <cell r="M35">
            <v>12.09</v>
          </cell>
          <cell r="N35">
            <v>15.983333333333333</v>
          </cell>
          <cell r="O35">
            <v>17.665833333333332</v>
          </cell>
          <cell r="P35">
            <v>2.62</v>
          </cell>
          <cell r="Q35">
            <v>1.6</v>
          </cell>
          <cell r="R35">
            <v>7.38</v>
          </cell>
          <cell r="S35">
            <v>9.0465102757883642</v>
          </cell>
          <cell r="T35">
            <v>9.510433879674947</v>
          </cell>
          <cell r="U35">
            <v>10.206319285504822</v>
          </cell>
          <cell r="V35">
            <v>11.598090097164571</v>
          </cell>
          <cell r="W35">
            <v>12.293975502994444</v>
          </cell>
          <cell r="X35">
            <v>12.293975502994444</v>
          </cell>
          <cell r="Y35">
            <v>15.08</v>
          </cell>
          <cell r="Z35">
            <v>18.559999999999999</v>
          </cell>
          <cell r="AA35">
            <v>2.57</v>
          </cell>
          <cell r="AB35">
            <v>3.04</v>
          </cell>
          <cell r="AC35">
            <v>3.04</v>
          </cell>
          <cell r="AD35">
            <v>3.27</v>
          </cell>
          <cell r="AE35">
            <v>6.9</v>
          </cell>
          <cell r="AF35">
            <v>5.75</v>
          </cell>
          <cell r="AG35">
            <v>7.5</v>
          </cell>
          <cell r="AH35">
            <v>0.32869999999999999</v>
          </cell>
          <cell r="AI35">
            <v>0.32869999999999999</v>
          </cell>
          <cell r="AJ35">
            <v>0.30345925027636977</v>
          </cell>
        </row>
        <row r="36">
          <cell r="E36">
            <v>3240.3</v>
          </cell>
          <cell r="F36">
            <v>3179.5894912581994</v>
          </cell>
          <cell r="G36">
            <v>3179.5894912581984</v>
          </cell>
          <cell r="H36">
            <v>2325.6999999999998</v>
          </cell>
          <cell r="I36">
            <v>3976.8</v>
          </cell>
          <cell r="J36">
            <v>2850.5</v>
          </cell>
          <cell r="K36">
            <v>3799.1</v>
          </cell>
          <cell r="L36">
            <v>3199.6</v>
          </cell>
          <cell r="M36">
            <v>3125.2</v>
          </cell>
          <cell r="N36">
            <v>2213</v>
          </cell>
          <cell r="O36">
            <v>2345</v>
          </cell>
          <cell r="P36">
            <v>4166.8</v>
          </cell>
          <cell r="Q36">
            <v>3884</v>
          </cell>
          <cell r="R36">
            <v>4450.7</v>
          </cell>
          <cell r="S36">
            <v>3139.1483682629173</v>
          </cell>
          <cell r="T36">
            <v>3156.5880814199336</v>
          </cell>
          <cell r="U36">
            <v>3231.5788479951034</v>
          </cell>
          <cell r="V36">
            <v>3351.9128687785151</v>
          </cell>
          <cell r="W36">
            <v>3435.6234919321928</v>
          </cell>
          <cell r="X36">
            <v>3435.6234919321928</v>
          </cell>
          <cell r="Y36">
            <v>2902.2</v>
          </cell>
          <cell r="Z36">
            <v>2954.7</v>
          </cell>
          <cell r="AA36">
            <v>4325</v>
          </cell>
          <cell r="AB36">
            <v>4429.7</v>
          </cell>
          <cell r="AC36">
            <v>4429.7</v>
          </cell>
          <cell r="AD36">
            <v>4813.3</v>
          </cell>
          <cell r="AE36">
            <v>3930.4</v>
          </cell>
          <cell r="AF36">
            <v>3826.1</v>
          </cell>
          <cell r="AG36">
            <v>5258.16</v>
          </cell>
          <cell r="AH36">
            <v>3953</v>
          </cell>
          <cell r="AI36">
            <v>3953</v>
          </cell>
          <cell r="AJ36">
            <v>3880.7532895647769</v>
          </cell>
        </row>
        <row r="37">
          <cell r="E37">
            <v>3835</v>
          </cell>
          <cell r="G37">
            <v>3509.0409325210967</v>
          </cell>
          <cell r="H37">
            <v>2878.2</v>
          </cell>
          <cell r="I37">
            <v>4256.2</v>
          </cell>
          <cell r="J37">
            <v>3198</v>
          </cell>
          <cell r="K37">
            <v>4520.3</v>
          </cell>
          <cell r="L37">
            <v>3636.5</v>
          </cell>
          <cell r="M37">
            <v>3974.2</v>
          </cell>
          <cell r="N37">
            <v>2638</v>
          </cell>
          <cell r="O37">
            <v>2726</v>
          </cell>
          <cell r="P37">
            <v>4278.8999999999996</v>
          </cell>
          <cell r="Q37">
            <v>4578.3</v>
          </cell>
          <cell r="R37">
            <v>4829.7</v>
          </cell>
          <cell r="S37">
            <v>3339.7050695686039</v>
          </cell>
          <cell r="T37">
            <v>3456.5511477206119</v>
          </cell>
          <cell r="U37">
            <v>3632.6922506064761</v>
          </cell>
          <cell r="V37">
            <v>3613.508566133758</v>
          </cell>
          <cell r="W37">
            <v>3749.5383287584846</v>
          </cell>
          <cell r="X37">
            <v>3749.5383287584846</v>
          </cell>
          <cell r="Y37">
            <v>3346.9</v>
          </cell>
          <cell r="Z37">
            <v>3400</v>
          </cell>
          <cell r="AA37">
            <v>4530.2</v>
          </cell>
          <cell r="AB37">
            <v>4767.6000000000004</v>
          </cell>
          <cell r="AC37">
            <v>4767.6000000000004</v>
          </cell>
          <cell r="AD37">
            <v>4781.5</v>
          </cell>
          <cell r="AE37">
            <v>4312.8</v>
          </cell>
          <cell r="AF37">
            <v>4289.5</v>
          </cell>
          <cell r="AG37">
            <v>5670.18</v>
          </cell>
          <cell r="AH37">
            <v>4089</v>
          </cell>
          <cell r="AI37">
            <v>4089</v>
          </cell>
          <cell r="AJ37">
            <v>3936.2917981810883</v>
          </cell>
        </row>
        <row r="38">
          <cell r="E38">
            <v>3638.5</v>
          </cell>
          <cell r="F38">
            <v>3302.1760740536961</v>
          </cell>
          <cell r="G38">
            <v>3555.0109010694077</v>
          </cell>
          <cell r="H38">
            <v>2670.2</v>
          </cell>
          <cell r="I38">
            <v>4070.9</v>
          </cell>
          <cell r="J38">
            <v>3125.4</v>
          </cell>
          <cell r="K38">
            <v>4401.7</v>
          </cell>
          <cell r="L38">
            <v>3432.3</v>
          </cell>
          <cell r="M38">
            <v>3818.5</v>
          </cell>
          <cell r="N38">
            <v>2711</v>
          </cell>
          <cell r="O38">
            <v>2719</v>
          </cell>
          <cell r="P38">
            <v>4185.1000000000004</v>
          </cell>
          <cell r="Q38">
            <v>4475.3999999999996</v>
          </cell>
          <cell r="R38">
            <v>4654.5</v>
          </cell>
          <cell r="S38">
            <v>3409.4639221966686</v>
          </cell>
          <cell r="T38">
            <v>3487.9426314032416</v>
          </cell>
          <cell r="U38">
            <v>3669.3156482362101</v>
          </cell>
          <cell r="V38">
            <v>3721.634787707259</v>
          </cell>
          <cell r="W38">
            <v>3828.0170379650576</v>
          </cell>
          <cell r="X38">
            <v>3828.0170379650576</v>
          </cell>
          <cell r="Y38">
            <v>3137.5</v>
          </cell>
          <cell r="Z38">
            <v>3017.8</v>
          </cell>
          <cell r="AA38">
            <v>4322.7</v>
          </cell>
          <cell r="AB38">
            <v>4689.5</v>
          </cell>
          <cell r="AC38">
            <v>4689.5</v>
          </cell>
          <cell r="AD38">
            <v>4581.5</v>
          </cell>
          <cell r="AE38">
            <v>4210</v>
          </cell>
          <cell r="AF38">
            <v>4149.1000000000004</v>
          </cell>
          <cell r="AG38">
            <v>6042.96</v>
          </cell>
          <cell r="AH38">
            <v>4058</v>
          </cell>
          <cell r="AI38">
            <v>4058</v>
          </cell>
          <cell r="AJ38">
            <v>3905.0513870844129</v>
          </cell>
        </row>
        <row r="39">
          <cell r="E39">
            <v>3522.6</v>
          </cell>
          <cell r="F39">
            <v>3417.1009954244741</v>
          </cell>
          <cell r="G39">
            <v>3510</v>
          </cell>
          <cell r="H39">
            <v>2591.3000000000002</v>
          </cell>
          <cell r="I39">
            <v>3970.9</v>
          </cell>
          <cell r="J39">
            <v>3072.8</v>
          </cell>
          <cell r="K39">
            <v>4321.2</v>
          </cell>
          <cell r="L39">
            <v>3327.4</v>
          </cell>
          <cell r="M39">
            <v>3765.4</v>
          </cell>
          <cell r="N39">
            <v>2755</v>
          </cell>
          <cell r="O39">
            <v>2689</v>
          </cell>
          <cell r="P39">
            <v>4089.7</v>
          </cell>
          <cell r="Q39">
            <v>4445.8</v>
          </cell>
          <cell r="R39">
            <v>4569.8</v>
          </cell>
          <cell r="S39">
            <v>3453.0632050892091</v>
          </cell>
          <cell r="T39">
            <v>3510.6142585073626</v>
          </cell>
          <cell r="U39">
            <v>3679.7794761304199</v>
          </cell>
          <cell r="V39">
            <v>3787.9056977039199</v>
          </cell>
          <cell r="W39">
            <v>3861.1524929633883</v>
          </cell>
          <cell r="X39">
            <v>3861.1524929633883</v>
          </cell>
          <cell r="Y39">
            <v>3038.7</v>
          </cell>
          <cell r="Z39">
            <v>2954.5</v>
          </cell>
          <cell r="AA39">
            <v>4232.7</v>
          </cell>
          <cell r="AB39">
            <v>4596</v>
          </cell>
          <cell r="AC39">
            <v>4596</v>
          </cell>
          <cell r="AD39">
            <v>4503.5</v>
          </cell>
          <cell r="AE39">
            <v>4151.5</v>
          </cell>
          <cell r="AF39">
            <v>4072.2</v>
          </cell>
          <cell r="AG39">
            <v>6317.64</v>
          </cell>
          <cell r="AH39">
            <v>3978</v>
          </cell>
          <cell r="AI39">
            <v>3978</v>
          </cell>
          <cell r="AJ39">
            <v>3832.1570945255039</v>
          </cell>
        </row>
        <row r="40">
          <cell r="E40">
            <v>3387.7</v>
          </cell>
          <cell r="F40">
            <v>3509.0409325210971</v>
          </cell>
          <cell r="G40">
            <v>3432.4243182739106</v>
          </cell>
          <cell r="H40">
            <v>2494.6999999999998</v>
          </cell>
          <cell r="I40">
            <v>3862.7</v>
          </cell>
          <cell r="J40">
            <v>2993.9</v>
          </cell>
          <cell r="K40">
            <v>4214.3999999999996</v>
          </cell>
          <cell r="L40">
            <v>3192.6</v>
          </cell>
          <cell r="M40">
            <v>3706.8</v>
          </cell>
          <cell r="N40">
            <v>2741</v>
          </cell>
          <cell r="O40">
            <v>2645</v>
          </cell>
          <cell r="P40">
            <v>3973.2</v>
          </cell>
          <cell r="Q40">
            <v>4407.2</v>
          </cell>
          <cell r="R40">
            <v>4480.6000000000004</v>
          </cell>
          <cell r="S40">
            <v>3400.7440656181602</v>
          </cell>
          <cell r="T40">
            <v>3507.1263158759593</v>
          </cell>
          <cell r="U40">
            <v>3641.4121071849845</v>
          </cell>
          <cell r="V40">
            <v>3787.9056977039199</v>
          </cell>
          <cell r="W40">
            <v>3854.1766077005818</v>
          </cell>
          <cell r="X40">
            <v>3854.1766077005818</v>
          </cell>
          <cell r="Y40">
            <v>2901.1</v>
          </cell>
          <cell r="Z40">
            <v>2886.3</v>
          </cell>
          <cell r="AA40">
            <v>4114.3</v>
          </cell>
          <cell r="AB40">
            <v>4444</v>
          </cell>
          <cell r="AC40">
            <v>4444</v>
          </cell>
          <cell r="AD40">
            <v>4384.1000000000004</v>
          </cell>
          <cell r="AE40">
            <v>4034.9</v>
          </cell>
          <cell r="AF40">
            <v>3967.4</v>
          </cell>
          <cell r="AG40">
            <v>6415.74</v>
          </cell>
          <cell r="AH40">
            <v>3863</v>
          </cell>
          <cell r="AI40">
            <v>3863</v>
          </cell>
          <cell r="AJ40">
            <v>3731.4935476584392</v>
          </cell>
        </row>
        <row r="41">
          <cell r="E41">
            <v>3254.5</v>
          </cell>
          <cell r="F41">
            <v>3555.0109010694082</v>
          </cell>
          <cell r="G41">
            <v>3306</v>
          </cell>
          <cell r="H41">
            <v>2376</v>
          </cell>
          <cell r="I41">
            <v>3743.7</v>
          </cell>
          <cell r="J41">
            <v>2892.7</v>
          </cell>
          <cell r="K41">
            <v>4081.3</v>
          </cell>
          <cell r="L41">
            <v>3043.9</v>
          </cell>
          <cell r="M41">
            <v>3622.4</v>
          </cell>
          <cell r="N41">
            <v>2704</v>
          </cell>
          <cell r="O41">
            <v>2580</v>
          </cell>
          <cell r="P41">
            <v>3820.1</v>
          </cell>
          <cell r="Q41">
            <v>4345.3999999999996</v>
          </cell>
          <cell r="R41">
            <v>4382.7</v>
          </cell>
          <cell r="S41">
            <v>3238.5547332579094</v>
          </cell>
          <cell r="T41">
            <v>3400.7440656181602</v>
          </cell>
          <cell r="U41">
            <v>3524.5660290329756</v>
          </cell>
          <cell r="V41">
            <v>3732.0986156014683</v>
          </cell>
          <cell r="W41">
            <v>3798.3695255981302</v>
          </cell>
          <cell r="X41">
            <v>3798.3695255981302</v>
          </cell>
          <cell r="Y41">
            <v>2775.6</v>
          </cell>
          <cell r="Z41">
            <v>2754.1</v>
          </cell>
          <cell r="AA41">
            <v>3996.4</v>
          </cell>
          <cell r="AB41">
            <v>4279.5</v>
          </cell>
          <cell r="AC41">
            <v>4279.5</v>
          </cell>
          <cell r="AD41">
            <v>4272.2</v>
          </cell>
          <cell r="AE41">
            <v>3879.4</v>
          </cell>
          <cell r="AF41">
            <v>3854.1</v>
          </cell>
          <cell r="AG41">
            <v>6327.45</v>
          </cell>
          <cell r="AH41">
            <v>3710</v>
          </cell>
          <cell r="AI41">
            <v>3710</v>
          </cell>
          <cell r="AJ41">
            <v>3596.1184329061794</v>
          </cell>
        </row>
        <row r="42">
          <cell r="E42">
            <v>3068.9</v>
          </cell>
          <cell r="F42">
            <v>3486.0559482469412</v>
          </cell>
          <cell r="G42">
            <v>3148.9428455593243</v>
          </cell>
          <cell r="H42">
            <v>2235.3000000000002</v>
          </cell>
          <cell r="I42">
            <v>3600.1</v>
          </cell>
          <cell r="J42">
            <v>2763.7</v>
          </cell>
          <cell r="K42">
            <v>3906.7</v>
          </cell>
          <cell r="L42">
            <v>2868.5</v>
          </cell>
          <cell r="M42">
            <v>3486.6</v>
          </cell>
          <cell r="N42">
            <v>2660</v>
          </cell>
          <cell r="O42">
            <v>2492</v>
          </cell>
          <cell r="P42">
            <v>3624.7</v>
          </cell>
          <cell r="Q42">
            <v>4272.5</v>
          </cell>
          <cell r="R42">
            <v>4265.3999999999996</v>
          </cell>
          <cell r="S42">
            <v>3008.3505195852958</v>
          </cell>
          <cell r="T42">
            <v>3191.4675077339662</v>
          </cell>
          <cell r="U42">
            <v>3353.6568400942169</v>
          </cell>
          <cell r="V42">
            <v>3592.5809103453389</v>
          </cell>
          <cell r="W42">
            <v>3662.3397629734036</v>
          </cell>
          <cell r="X42">
            <v>3662.3397629734036</v>
          </cell>
          <cell r="Y42">
            <v>2582.1999999999998</v>
          </cell>
          <cell r="Z42">
            <v>2620.8000000000002</v>
          </cell>
          <cell r="AA42">
            <v>3850.6</v>
          </cell>
          <cell r="AB42">
            <v>4084.2</v>
          </cell>
          <cell r="AC42">
            <v>4084.2</v>
          </cell>
          <cell r="AD42">
            <v>4120.3999999999996</v>
          </cell>
          <cell r="AE42">
            <v>3705.7</v>
          </cell>
          <cell r="AF42">
            <v>3719.4</v>
          </cell>
          <cell r="AG42">
            <v>6209.73</v>
          </cell>
          <cell r="AH42">
            <v>3509</v>
          </cell>
          <cell r="AI42">
            <v>3509</v>
          </cell>
          <cell r="AJ42">
            <v>3429.5029070572446</v>
          </cell>
        </row>
        <row r="43">
          <cell r="E43">
            <v>2882.7</v>
          </cell>
          <cell r="F43">
            <v>3256.2061055053846</v>
          </cell>
          <cell r="G43">
            <v>2912</v>
          </cell>
          <cell r="H43">
            <v>2064.21</v>
          </cell>
          <cell r="I43">
            <v>3371.1</v>
          </cell>
          <cell r="J43">
            <v>2634.4</v>
          </cell>
          <cell r="K43">
            <v>3685.7</v>
          </cell>
          <cell r="L43">
            <v>2691.3</v>
          </cell>
          <cell r="M43">
            <v>3289.3</v>
          </cell>
          <cell r="N43">
            <v>2550</v>
          </cell>
          <cell r="O43">
            <v>2374</v>
          </cell>
          <cell r="P43">
            <v>3375.5</v>
          </cell>
          <cell r="Q43">
            <v>4187.5</v>
          </cell>
          <cell r="R43">
            <v>4145.2</v>
          </cell>
          <cell r="S43">
            <v>2741.5229082829478</v>
          </cell>
          <cell r="T43">
            <v>2950.7994661671419</v>
          </cell>
          <cell r="U43">
            <v>3161.8199953670387</v>
          </cell>
          <cell r="V43">
            <v>3400.7440656181602</v>
          </cell>
          <cell r="W43">
            <v>3484.4546887718384</v>
          </cell>
          <cell r="X43">
            <v>3484.4546887718384</v>
          </cell>
          <cell r="Y43">
            <v>2341.6999999999998</v>
          </cell>
          <cell r="Z43">
            <v>2452.6</v>
          </cell>
          <cell r="AA43">
            <v>3696.2</v>
          </cell>
          <cell r="AB43">
            <v>3603.2</v>
          </cell>
          <cell r="AC43">
            <v>3603.2</v>
          </cell>
          <cell r="AD43">
            <v>3901.4</v>
          </cell>
          <cell r="AE43">
            <v>3469.7</v>
          </cell>
          <cell r="AF43">
            <v>3457.3</v>
          </cell>
          <cell r="AG43">
            <v>6042.96</v>
          </cell>
          <cell r="AH43">
            <v>3273</v>
          </cell>
          <cell r="AI43">
            <v>3273</v>
          </cell>
          <cell r="AJ43">
            <v>3217.7623429575565</v>
          </cell>
        </row>
        <row r="44">
          <cell r="E44">
            <v>2661.2</v>
          </cell>
          <cell r="F44">
            <v>2873.1230342694571</v>
          </cell>
          <cell r="G44">
            <v>2704.5664829256489</v>
          </cell>
          <cell r="H44">
            <v>1871.4</v>
          </cell>
          <cell r="I44">
            <v>3101.1</v>
          </cell>
          <cell r="J44">
            <v>2432.4</v>
          </cell>
          <cell r="K44">
            <v>3435.1</v>
          </cell>
          <cell r="L44">
            <v>2500.6</v>
          </cell>
          <cell r="M44">
            <v>3066.1</v>
          </cell>
          <cell r="N44">
            <v>2418</v>
          </cell>
          <cell r="O44">
            <v>2220</v>
          </cell>
          <cell r="P44">
            <v>3089.8</v>
          </cell>
          <cell r="Q44">
            <v>4091</v>
          </cell>
          <cell r="R44">
            <v>3997.3</v>
          </cell>
          <cell r="S44">
            <v>2424.1201288252528</v>
          </cell>
          <cell r="T44">
            <v>2685.7158261804962</v>
          </cell>
          <cell r="U44">
            <v>2935.1037243258279</v>
          </cell>
          <cell r="V44">
            <v>3156.5880814199336</v>
          </cell>
          <cell r="W44">
            <v>3247.2745898364178</v>
          </cell>
          <cell r="X44">
            <v>3247.2745898364178</v>
          </cell>
          <cell r="Y44">
            <v>2137</v>
          </cell>
          <cell r="Z44">
            <v>2273.6</v>
          </cell>
          <cell r="AA44">
            <v>3513.5</v>
          </cell>
          <cell r="AB44">
            <v>3221.4</v>
          </cell>
          <cell r="AC44">
            <v>3221.4</v>
          </cell>
          <cell r="AD44">
            <v>3649.5</v>
          </cell>
          <cell r="AE44">
            <v>3206.9</v>
          </cell>
          <cell r="AF44">
            <v>3164.2</v>
          </cell>
          <cell r="AG44">
            <v>5827.14</v>
          </cell>
          <cell r="AH44">
            <v>2953</v>
          </cell>
          <cell r="AI44">
            <v>2953</v>
          </cell>
          <cell r="AJ44">
            <v>2971.3102109726733</v>
          </cell>
        </row>
        <row r="45">
          <cell r="E45">
            <v>2450.3000000000002</v>
          </cell>
          <cell r="F45">
            <v>2382.7767030874697</v>
          </cell>
          <cell r="G45">
            <v>2175.9118446200682</v>
          </cell>
          <cell r="H45">
            <v>1654</v>
          </cell>
          <cell r="I45">
            <v>2780</v>
          </cell>
          <cell r="J45">
            <v>2207.1999999999998</v>
          </cell>
          <cell r="K45">
            <v>3167.5</v>
          </cell>
          <cell r="L45">
            <v>2344.6999999999998</v>
          </cell>
          <cell r="M45">
            <v>2804.5</v>
          </cell>
          <cell r="N45">
            <v>2191</v>
          </cell>
          <cell r="O45">
            <v>2052</v>
          </cell>
          <cell r="P45">
            <v>2735.7</v>
          </cell>
          <cell r="Q45">
            <v>3974.8</v>
          </cell>
          <cell r="R45">
            <v>3858.3</v>
          </cell>
          <cell r="S45">
            <v>2066.6060091064205</v>
          </cell>
          <cell r="T45">
            <v>2397.9605590897286</v>
          </cell>
          <cell r="U45">
            <v>2682.2278835490929</v>
          </cell>
          <cell r="V45">
            <v>2856.6250151192548</v>
          </cell>
          <cell r="W45">
            <v>2964.7512366927554</v>
          </cell>
          <cell r="X45">
            <v>2964.7512366927554</v>
          </cell>
          <cell r="Y45">
            <v>1864.4</v>
          </cell>
          <cell r="Z45">
            <v>2084.5</v>
          </cell>
          <cell r="AA45">
            <v>3335.8</v>
          </cell>
          <cell r="AB45">
            <v>2725</v>
          </cell>
          <cell r="AC45">
            <v>2725</v>
          </cell>
          <cell r="AD45">
            <v>3339.7</v>
          </cell>
          <cell r="AE45">
            <v>2896.6</v>
          </cell>
          <cell r="AF45">
            <v>2804.5</v>
          </cell>
          <cell r="AG45">
            <v>5562.27</v>
          </cell>
          <cell r="AH45">
            <v>2595</v>
          </cell>
          <cell r="AI45">
            <v>2595</v>
          </cell>
          <cell r="AJ45">
            <v>2690.1465111025955</v>
          </cell>
        </row>
        <row r="46">
          <cell r="E46">
            <v>2208.8000000000002</v>
          </cell>
          <cell r="F46">
            <v>1792.8287733841412</v>
          </cell>
          <cell r="G46">
            <v>1639.5955448897701</v>
          </cell>
          <cell r="H46">
            <v>1422.9</v>
          </cell>
          <cell r="I46">
            <v>2418</v>
          </cell>
          <cell r="J46">
            <v>1972.8</v>
          </cell>
          <cell r="K46">
            <v>2869.2</v>
          </cell>
          <cell r="L46">
            <v>2202.5</v>
          </cell>
          <cell r="M46">
            <v>2525.4</v>
          </cell>
          <cell r="N46">
            <v>1979</v>
          </cell>
          <cell r="O46">
            <v>1810</v>
          </cell>
          <cell r="P46">
            <v>2370</v>
          </cell>
          <cell r="Q46">
            <v>3876.7</v>
          </cell>
          <cell r="R46">
            <v>3688</v>
          </cell>
          <cell r="S46">
            <v>1656.7727499165396</v>
          </cell>
          <cell r="T46">
            <v>2092.7655788419447</v>
          </cell>
          <cell r="U46">
            <v>2413.656300931043</v>
          </cell>
          <cell r="V46">
            <v>2495.6229527690193</v>
          </cell>
          <cell r="W46">
            <v>2631.6527153937459</v>
          </cell>
          <cell r="X46">
            <v>2631.6527153937459</v>
          </cell>
          <cell r="Y46">
            <v>1607</v>
          </cell>
          <cell r="Z46">
            <v>1882.7</v>
          </cell>
          <cell r="AA46">
            <v>3088.9</v>
          </cell>
          <cell r="AB46">
            <v>2041</v>
          </cell>
          <cell r="AC46">
            <v>2041</v>
          </cell>
          <cell r="AD46">
            <v>2999.1</v>
          </cell>
          <cell r="AE46">
            <v>2560.4</v>
          </cell>
          <cell r="AF46">
            <v>2463.6</v>
          </cell>
          <cell r="AG46">
            <v>5267.97</v>
          </cell>
          <cell r="AH46">
            <v>2189</v>
          </cell>
          <cell r="AI46">
            <v>2189</v>
          </cell>
          <cell r="AJ46">
            <v>2349.9731458276869</v>
          </cell>
        </row>
        <row r="47">
          <cell r="E47">
            <v>2310.8000000000002</v>
          </cell>
          <cell r="F47">
            <v>1164.57253655722</v>
          </cell>
          <cell r="G47">
            <v>1072.632599460597</v>
          </cell>
          <cell r="H47">
            <v>1221.3</v>
          </cell>
          <cell r="I47">
            <v>833.5</v>
          </cell>
          <cell r="J47">
            <v>1348.8</v>
          </cell>
          <cell r="K47">
            <v>3089.8</v>
          </cell>
          <cell r="L47">
            <v>2054.1999999999998</v>
          </cell>
          <cell r="M47">
            <v>2195.1</v>
          </cell>
          <cell r="N47">
            <v>1649</v>
          </cell>
          <cell r="O47">
            <v>1363</v>
          </cell>
          <cell r="P47">
            <v>1804.3</v>
          </cell>
          <cell r="Q47">
            <v>3426.9</v>
          </cell>
          <cell r="R47">
            <v>4396.8999999999996</v>
          </cell>
          <cell r="S47">
            <v>1220.7799209911345</v>
          </cell>
          <cell r="T47">
            <v>1749.2032296487255</v>
          </cell>
          <cell r="U47">
            <v>2115.4372059460661</v>
          </cell>
          <cell r="V47">
            <v>2097.9974927890498</v>
          </cell>
          <cell r="W47">
            <v>2249.7229972550908</v>
          </cell>
          <cell r="X47">
            <v>2249.7229972550908</v>
          </cell>
          <cell r="Y47">
            <v>1236.4000000000001</v>
          </cell>
          <cell r="Z47">
            <v>1334.8</v>
          </cell>
          <cell r="AA47">
            <v>3380.7</v>
          </cell>
          <cell r="AB47">
            <v>1522.3</v>
          </cell>
          <cell r="AC47">
            <v>1522.3</v>
          </cell>
          <cell r="AD47">
            <v>2016</v>
          </cell>
          <cell r="AE47">
            <v>2237.6</v>
          </cell>
          <cell r="AF47">
            <v>2308</v>
          </cell>
          <cell r="AG47">
            <v>4905</v>
          </cell>
          <cell r="AH47">
            <v>1727</v>
          </cell>
          <cell r="AI47">
            <v>1727</v>
          </cell>
          <cell r="AJ47">
            <v>1985.5016830331415</v>
          </cell>
        </row>
        <row r="48">
          <cell r="E48">
            <v>3240.3</v>
          </cell>
          <cell r="F48">
            <v>3179.5894912581994</v>
          </cell>
          <cell r="G48">
            <v>3179.5894912581984</v>
          </cell>
          <cell r="H48">
            <v>2325.6999999999998</v>
          </cell>
          <cell r="I48">
            <v>3976.8</v>
          </cell>
          <cell r="J48">
            <v>2850.5</v>
          </cell>
          <cell r="K48">
            <v>3799.1</v>
          </cell>
          <cell r="L48">
            <v>3199.6</v>
          </cell>
          <cell r="M48">
            <v>3125.2</v>
          </cell>
          <cell r="N48">
            <v>2213</v>
          </cell>
          <cell r="O48">
            <v>2345</v>
          </cell>
          <cell r="P48">
            <v>4166.8</v>
          </cell>
          <cell r="Q48">
            <v>3884</v>
          </cell>
          <cell r="R48">
            <v>4450.7</v>
          </cell>
          <cell r="S48">
            <v>3139.1483682629173</v>
          </cell>
          <cell r="T48">
            <v>3156.5880814199336</v>
          </cell>
          <cell r="U48">
            <v>3231.5788479951034</v>
          </cell>
          <cell r="V48">
            <v>3351.9128687785151</v>
          </cell>
          <cell r="W48">
            <v>3435.6234919321928</v>
          </cell>
          <cell r="X48">
            <v>3435.6234919321928</v>
          </cell>
          <cell r="Y48">
            <v>2902.2</v>
          </cell>
          <cell r="Z48">
            <v>2954.7</v>
          </cell>
          <cell r="AA48">
            <v>4325</v>
          </cell>
          <cell r="AB48">
            <v>4429.7</v>
          </cell>
          <cell r="AC48">
            <v>4429.7</v>
          </cell>
          <cell r="AD48">
            <v>4813.3</v>
          </cell>
          <cell r="AE48">
            <v>3930.4</v>
          </cell>
          <cell r="AF48">
            <v>3826.1</v>
          </cell>
          <cell r="AG48">
            <v>5258.16</v>
          </cell>
          <cell r="AH48">
            <v>3953</v>
          </cell>
          <cell r="AI48">
            <v>3953</v>
          </cell>
          <cell r="AJ48">
            <v>3880.7532895647769</v>
          </cell>
        </row>
        <row r="49">
          <cell r="E49">
            <v>3745.1</v>
          </cell>
          <cell r="G49">
            <v>3455.409302548067</v>
          </cell>
          <cell r="H49">
            <v>2766.8</v>
          </cell>
          <cell r="I49">
            <v>4249</v>
          </cell>
          <cell r="J49">
            <v>3094.9</v>
          </cell>
          <cell r="K49">
            <v>4453.1000000000004</v>
          </cell>
          <cell r="L49">
            <v>3596.4</v>
          </cell>
          <cell r="M49">
            <v>3844.5</v>
          </cell>
          <cell r="N49">
            <v>2616</v>
          </cell>
          <cell r="O49">
            <v>2682</v>
          </cell>
          <cell r="P49">
            <v>4268.3999999999996</v>
          </cell>
          <cell r="Q49">
            <v>4507.1000000000004</v>
          </cell>
          <cell r="R49">
            <v>4762</v>
          </cell>
          <cell r="S49">
            <v>3319.6684168767215</v>
          </cell>
          <cell r="T49">
            <v>3426.6198517240964</v>
          </cell>
          <cell r="U49">
            <v>3590.9805410955937</v>
          </cell>
          <cell r="V49">
            <v>3597.2738044866751</v>
          </cell>
          <cell r="W49">
            <v>3722.1015815749147</v>
          </cell>
          <cell r="X49">
            <v>3722.1015815749147</v>
          </cell>
          <cell r="Y49">
            <v>3304.3</v>
          </cell>
          <cell r="Z49">
            <v>3339.3</v>
          </cell>
          <cell r="AA49">
            <v>4499.3999999999996</v>
          </cell>
          <cell r="AB49">
            <v>4729.6000000000004</v>
          </cell>
          <cell r="AC49">
            <v>4729.6000000000004</v>
          </cell>
          <cell r="AD49">
            <v>4743.6000000000004</v>
          </cell>
          <cell r="AE49">
            <v>4269.3999999999996</v>
          </cell>
          <cell r="AF49">
            <v>4252.2</v>
          </cell>
          <cell r="AG49">
            <v>5655.1047178095614</v>
          </cell>
          <cell r="AH49">
            <v>4082</v>
          </cell>
          <cell r="AI49">
            <v>4082</v>
          </cell>
          <cell r="AJ49">
            <v>3918.9360142384908</v>
          </cell>
        </row>
        <row r="50">
          <cell r="E50">
            <v>3516.2</v>
          </cell>
          <cell r="F50">
            <v>3296.046744913921</v>
          </cell>
          <cell r="G50">
            <v>3452.344637978179</v>
          </cell>
          <cell r="H50">
            <v>2491.5</v>
          </cell>
          <cell r="I50">
            <v>4042.1</v>
          </cell>
          <cell r="J50">
            <v>2960.9</v>
          </cell>
          <cell r="K50">
            <v>4308.6000000000004</v>
          </cell>
          <cell r="L50">
            <v>3329.8</v>
          </cell>
          <cell r="M50">
            <v>3658.5</v>
          </cell>
          <cell r="N50">
            <v>2645</v>
          </cell>
          <cell r="O50">
            <v>2638</v>
          </cell>
          <cell r="P50">
            <v>4146.5</v>
          </cell>
          <cell r="Q50">
            <v>4382.5</v>
          </cell>
          <cell r="R50">
            <v>4473.8</v>
          </cell>
          <cell r="S50">
            <v>3373.8432062999887</v>
          </cell>
          <cell r="T50">
            <v>3439.4588792105387</v>
          </cell>
          <cell r="U50">
            <v>3607.8121581921027</v>
          </cell>
          <cell r="V50">
            <v>3689.8146548789759</v>
          </cell>
          <cell r="W50">
            <v>3781.0985768049882</v>
          </cell>
          <cell r="X50">
            <v>3781.0985768049882</v>
          </cell>
          <cell r="Y50">
            <v>3007.1</v>
          </cell>
          <cell r="Z50">
            <v>2874.2</v>
          </cell>
          <cell r="AA50">
            <v>4206.3999999999996</v>
          </cell>
          <cell r="AB50">
            <v>4604.1000000000004</v>
          </cell>
          <cell r="AC50">
            <v>4604.1000000000004</v>
          </cell>
          <cell r="AD50">
            <v>4429.7</v>
          </cell>
          <cell r="AE50">
            <v>4121.7</v>
          </cell>
          <cell r="AF50">
            <v>4060.9</v>
          </cell>
          <cell r="AG50">
            <v>5982.6588712382463</v>
          </cell>
          <cell r="AH50">
            <v>4030</v>
          </cell>
          <cell r="AI50">
            <v>4030</v>
          </cell>
          <cell r="AJ50">
            <v>3880.7532895647769</v>
          </cell>
        </row>
        <row r="51">
          <cell r="E51">
            <v>3380</v>
          </cell>
          <cell r="F51">
            <v>3392.5836788653751</v>
          </cell>
          <cell r="G51">
            <v>3389</v>
          </cell>
          <cell r="H51">
            <v>2387.1999999999998</v>
          </cell>
          <cell r="I51">
            <v>3934.2</v>
          </cell>
          <cell r="J51">
            <v>2888.6</v>
          </cell>
          <cell r="K51">
            <v>4200.2</v>
          </cell>
          <cell r="L51">
            <v>3186</v>
          </cell>
          <cell r="M51">
            <v>3571.6</v>
          </cell>
          <cell r="N51">
            <v>2660</v>
          </cell>
          <cell r="O51">
            <v>2536</v>
          </cell>
          <cell r="P51">
            <v>4032.7</v>
          </cell>
          <cell r="Q51">
            <v>4341</v>
          </cell>
          <cell r="R51">
            <v>4337.7</v>
          </cell>
          <cell r="S51">
            <v>3397.4058365006472</v>
          </cell>
          <cell r="T51">
            <v>3439.1254606313878</v>
          </cell>
          <cell r="U51">
            <v>3594.6535383531086</v>
          </cell>
          <cell r="V51">
            <v>3735.3050699673713</v>
          </cell>
          <cell r="W51">
            <v>3789.5571940997529</v>
          </cell>
          <cell r="X51">
            <v>3789.5571940997529</v>
          </cell>
          <cell r="Y51">
            <v>2888.2</v>
          </cell>
          <cell r="Z51">
            <v>2788.6</v>
          </cell>
          <cell r="AA51">
            <v>4080.9</v>
          </cell>
          <cell r="AB51">
            <v>4459</v>
          </cell>
          <cell r="AC51">
            <v>4459</v>
          </cell>
          <cell r="AD51">
            <v>4302.7</v>
          </cell>
          <cell r="AE51">
            <v>4034.8</v>
          </cell>
          <cell r="AF51">
            <v>3963.5</v>
          </cell>
          <cell r="AG51">
            <v>6181.962460286054</v>
          </cell>
          <cell r="AH51">
            <v>3936</v>
          </cell>
          <cell r="AI51">
            <v>3936</v>
          </cell>
          <cell r="AJ51">
            <v>3793.9743698517896</v>
          </cell>
        </row>
        <row r="52">
          <cell r="E52">
            <v>3221.5</v>
          </cell>
          <cell r="F52">
            <v>3455.409302548067</v>
          </cell>
          <cell r="G52">
            <v>3279.1910897795401</v>
          </cell>
          <cell r="H52">
            <v>2261.6</v>
          </cell>
          <cell r="I52">
            <v>3816.3</v>
          </cell>
          <cell r="J52">
            <v>2787.2</v>
          </cell>
          <cell r="K52">
            <v>4059.4</v>
          </cell>
          <cell r="L52">
            <v>3002.4</v>
          </cell>
          <cell r="M52">
            <v>3472.4</v>
          </cell>
          <cell r="N52">
            <v>2623</v>
          </cell>
          <cell r="O52">
            <v>2470</v>
          </cell>
          <cell r="P52">
            <v>3892.4</v>
          </cell>
          <cell r="Q52">
            <v>4287</v>
          </cell>
          <cell r="R52">
            <v>4185.5</v>
          </cell>
          <cell r="S52">
            <v>3320.5974548506315</v>
          </cell>
          <cell r="T52">
            <v>3408.1798828296269</v>
          </cell>
          <cell r="U52">
            <v>3528.8330544744908</v>
          </cell>
          <cell r="V52">
            <v>3709.3294513320388</v>
          </cell>
          <cell r="W52">
            <v>3752.7093474063136</v>
          </cell>
          <cell r="X52">
            <v>3752.7093474063136</v>
          </cell>
          <cell r="Y52">
            <v>2725.6</v>
          </cell>
          <cell r="Z52">
            <v>2694.8</v>
          </cell>
          <cell r="AA52">
            <v>3913.5</v>
          </cell>
          <cell r="AB52">
            <v>4234.3</v>
          </cell>
          <cell r="AC52">
            <v>4234.3</v>
          </cell>
          <cell r="AD52">
            <v>4107.3999999999996</v>
          </cell>
          <cell r="AE52">
            <v>3883.5</v>
          </cell>
          <cell r="AF52">
            <v>3833.9</v>
          </cell>
          <cell r="AG52">
            <v>6174.5354849529849</v>
          </cell>
          <cell r="AH52">
            <v>3804</v>
          </cell>
          <cell r="AI52">
            <v>3804</v>
          </cell>
          <cell r="AJ52">
            <v>3672.483882253608</v>
          </cell>
        </row>
        <row r="53">
          <cell r="E53">
            <v>3063</v>
          </cell>
          <cell r="F53">
            <v>3460.0062994028985</v>
          </cell>
          <cell r="G53">
            <v>3121.7</v>
          </cell>
          <cell r="H53">
            <v>2111.9</v>
          </cell>
          <cell r="I53">
            <v>3686.6</v>
          </cell>
          <cell r="J53">
            <v>2662.3</v>
          </cell>
          <cell r="K53">
            <v>3888.2</v>
          </cell>
          <cell r="L53">
            <v>2797.8</v>
          </cell>
          <cell r="M53">
            <v>3343.5</v>
          </cell>
          <cell r="N53">
            <v>2550</v>
          </cell>
          <cell r="O53">
            <v>2382</v>
          </cell>
          <cell r="P53">
            <v>3711.5</v>
          </cell>
          <cell r="Q53">
            <v>4206</v>
          </cell>
          <cell r="R53">
            <v>4017.2</v>
          </cell>
          <cell r="S53">
            <v>3129.4662908243281</v>
          </cell>
          <cell r="T53">
            <v>3269.8874079143861</v>
          </cell>
          <cell r="U53">
            <v>3380.7031941893206</v>
          </cell>
          <cell r="V53">
            <v>3622.3516268671883</v>
          </cell>
          <cell r="W53">
            <v>3661.8351801461631</v>
          </cell>
          <cell r="X53">
            <v>3661.8351801461631</v>
          </cell>
          <cell r="Y53">
            <v>2578.8000000000002</v>
          </cell>
          <cell r="Z53">
            <v>2535.6999999999998</v>
          </cell>
          <cell r="AA53">
            <v>3744.6</v>
          </cell>
          <cell r="AB53">
            <v>3981.8</v>
          </cell>
          <cell r="AC53">
            <v>3981.8</v>
          </cell>
          <cell r="AD53">
            <v>3919</v>
          </cell>
          <cell r="AE53">
            <v>3688.7</v>
          </cell>
          <cell r="AF53">
            <v>3695.7</v>
          </cell>
          <cell r="AG53">
            <v>6022.1755356436206</v>
          </cell>
          <cell r="AH53">
            <v>3630</v>
          </cell>
          <cell r="AI53">
            <v>3630</v>
          </cell>
          <cell r="AJ53">
            <v>3519.7529835587511</v>
          </cell>
        </row>
        <row r="54">
          <cell r="E54">
            <v>2844.7</v>
          </cell>
          <cell r="F54">
            <v>3334.3550520375138</v>
          </cell>
          <cell r="G54">
            <v>2934.416325667205</v>
          </cell>
          <cell r="H54">
            <v>1938.1</v>
          </cell>
          <cell r="I54">
            <v>3531.1</v>
          </cell>
          <cell r="J54">
            <v>2506.6999999999998</v>
          </cell>
          <cell r="K54">
            <v>3668.3</v>
          </cell>
          <cell r="L54">
            <v>2554.6999999999998</v>
          </cell>
          <cell r="M54">
            <v>3150</v>
          </cell>
          <cell r="N54">
            <v>2477</v>
          </cell>
          <cell r="O54">
            <v>2250</v>
          </cell>
          <cell r="P54">
            <v>3481.8</v>
          </cell>
          <cell r="Q54">
            <v>4112.5</v>
          </cell>
          <cell r="R54">
            <v>3828.1</v>
          </cell>
          <cell r="S54">
            <v>2865.8676559985774</v>
          </cell>
          <cell r="T54">
            <v>3024.2480358856646</v>
          </cell>
          <cell r="U54">
            <v>3174.6795559174211</v>
          </cell>
          <cell r="V54">
            <v>3446.4680555215928</v>
          </cell>
          <cell r="W54">
            <v>3485.5432086366714</v>
          </cell>
          <cell r="X54">
            <v>3485.5432086366714</v>
          </cell>
          <cell r="Y54">
            <v>2355</v>
          </cell>
          <cell r="Z54">
            <v>2372.5</v>
          </cell>
          <cell r="AA54">
            <v>3536.8</v>
          </cell>
          <cell r="AB54">
            <v>3683.3</v>
          </cell>
          <cell r="AC54">
            <v>3683.3</v>
          </cell>
          <cell r="AD54">
            <v>3655.4</v>
          </cell>
          <cell r="AE54">
            <v>3471.3</v>
          </cell>
          <cell r="AF54">
            <v>3533.9</v>
          </cell>
          <cell r="AG54">
            <v>5832.8479452390375</v>
          </cell>
          <cell r="AH54">
            <v>3405</v>
          </cell>
          <cell r="AI54">
            <v>3405</v>
          </cell>
          <cell r="AJ54">
            <v>3335.7816737672188</v>
          </cell>
        </row>
        <row r="55">
          <cell r="E55">
            <v>2625.1</v>
          </cell>
          <cell r="F55">
            <v>3041.6795856132653</v>
          </cell>
          <cell r="G55">
            <v>2654.5</v>
          </cell>
          <cell r="H55">
            <v>1729.1</v>
          </cell>
          <cell r="I55">
            <v>3286.1</v>
          </cell>
          <cell r="J55">
            <v>2352.8000000000002</v>
          </cell>
          <cell r="K55">
            <v>3397.3</v>
          </cell>
          <cell r="L55">
            <v>2311.6</v>
          </cell>
          <cell r="M55">
            <v>2884.6</v>
          </cell>
          <cell r="N55">
            <v>2323</v>
          </cell>
          <cell r="O55">
            <v>2089</v>
          </cell>
          <cell r="P55">
            <v>3191.2</v>
          </cell>
          <cell r="Q55">
            <v>4008.6</v>
          </cell>
          <cell r="R55">
            <v>3629.8</v>
          </cell>
          <cell r="S55">
            <v>2561.1930340560075</v>
          </cell>
          <cell r="T55">
            <v>2742.764590687229</v>
          </cell>
          <cell r="U55">
            <v>2943.8975946571227</v>
          </cell>
          <cell r="V55">
            <v>3213.0702209778829</v>
          </cell>
          <cell r="W55">
            <v>3262.2008018232741</v>
          </cell>
          <cell r="X55">
            <v>3262.2008018232741</v>
          </cell>
          <cell r="Y55">
            <v>2073.5</v>
          </cell>
          <cell r="Z55">
            <v>2173.1999999999998</v>
          </cell>
          <cell r="AA55">
            <v>3313.5</v>
          </cell>
          <cell r="AB55">
            <v>2949.4</v>
          </cell>
          <cell r="AC55">
            <v>2949.4</v>
          </cell>
          <cell r="AD55">
            <v>3278.7</v>
          </cell>
          <cell r="AE55">
            <v>3177.4</v>
          </cell>
          <cell r="AF55">
            <v>3220</v>
          </cell>
          <cell r="AG55">
            <v>5586.9327137392356</v>
          </cell>
          <cell r="AH55">
            <v>3141</v>
          </cell>
          <cell r="AI55">
            <v>3141</v>
          </cell>
          <cell r="AJ55">
            <v>3096.2718553593745</v>
          </cell>
        </row>
        <row r="56">
          <cell r="E56">
            <v>2368</v>
          </cell>
          <cell r="F56">
            <v>2580.4475678452086</v>
          </cell>
          <cell r="G56">
            <v>2413.4233487863435</v>
          </cell>
          <cell r="H56">
            <v>1497</v>
          </cell>
          <cell r="I56">
            <v>2998.5</v>
          </cell>
          <cell r="J56">
            <v>2115.6999999999998</v>
          </cell>
          <cell r="K56">
            <v>3091.9</v>
          </cell>
          <cell r="L56">
            <v>2048.6999999999998</v>
          </cell>
          <cell r="M56">
            <v>2587</v>
          </cell>
          <cell r="N56">
            <v>2154</v>
          </cell>
          <cell r="O56">
            <v>1891</v>
          </cell>
          <cell r="P56">
            <v>2855.8</v>
          </cell>
          <cell r="Q56">
            <v>3892.3</v>
          </cell>
          <cell r="R56">
            <v>3389.9</v>
          </cell>
          <cell r="S56">
            <v>2201.4906544710057</v>
          </cell>
          <cell r="T56">
            <v>2432.4129575818856</v>
          </cell>
          <cell r="U56">
            <v>2674.4055398828136</v>
          </cell>
          <cell r="V56">
            <v>2922.1581232360568</v>
          </cell>
          <cell r="W56">
            <v>2974.3682465489546</v>
          </cell>
          <cell r="X56">
            <v>2974.3682465489546</v>
          </cell>
          <cell r="Y56">
            <v>1835.7</v>
          </cell>
          <cell r="Z56">
            <v>1963.4</v>
          </cell>
          <cell r="AA56">
            <v>3048.5</v>
          </cell>
          <cell r="AB56">
            <v>2346.6999999999998</v>
          </cell>
          <cell r="AC56">
            <v>2346.6999999999998</v>
          </cell>
          <cell r="AD56">
            <v>2846.2</v>
          </cell>
          <cell r="AE56">
            <v>2805.4</v>
          </cell>
          <cell r="AF56">
            <v>2868.7</v>
          </cell>
          <cell r="AG56">
            <v>5284.4298411442142</v>
          </cell>
          <cell r="AH56">
            <v>2793</v>
          </cell>
          <cell r="AI56">
            <v>2793</v>
          </cell>
          <cell r="AJ56">
            <v>2804.6946851237385</v>
          </cell>
        </row>
        <row r="57">
          <cell r="E57">
            <v>2121.5</v>
          </cell>
          <cell r="F57">
            <v>1999.6936318515422</v>
          </cell>
          <cell r="G57">
            <v>1792.828773384141</v>
          </cell>
          <cell r="H57">
            <v>1237.7</v>
          </cell>
          <cell r="I57">
            <v>2656.9</v>
          </cell>
          <cell r="J57">
            <v>1853.3</v>
          </cell>
          <cell r="K57">
            <v>2764.6</v>
          </cell>
          <cell r="L57">
            <v>1831.7</v>
          </cell>
          <cell r="M57">
            <v>2244.6999999999998</v>
          </cell>
          <cell r="N57">
            <v>1883</v>
          </cell>
          <cell r="O57">
            <v>1744</v>
          </cell>
          <cell r="P57">
            <v>2449.3000000000002</v>
          </cell>
          <cell r="Q57">
            <v>3755.3</v>
          </cell>
          <cell r="R57">
            <v>3159.3</v>
          </cell>
          <cell r="S57">
            <v>1797.2243451377813</v>
          </cell>
          <cell r="T57">
            <v>2094.937107885336</v>
          </cell>
          <cell r="U57">
            <v>2374.923248173001</v>
          </cell>
          <cell r="V57">
            <v>2570.2438196647131</v>
          </cell>
          <cell r="W57">
            <v>2635.9973133393273</v>
          </cell>
          <cell r="X57">
            <v>2635.9973133393273</v>
          </cell>
          <cell r="Y57">
            <v>1521</v>
          </cell>
          <cell r="Z57">
            <v>1739.6</v>
          </cell>
          <cell r="AA57">
            <v>2787.6</v>
          </cell>
          <cell r="AB57">
            <v>1576.5</v>
          </cell>
          <cell r="AC57">
            <v>1576.5</v>
          </cell>
          <cell r="AD57">
            <v>2323.1999999999998</v>
          </cell>
          <cell r="AE57">
            <v>2469.6</v>
          </cell>
          <cell r="AF57">
            <v>2440.9</v>
          </cell>
          <cell r="AG57">
            <v>4925.3393274539731</v>
          </cell>
          <cell r="AH57">
            <v>2414</v>
          </cell>
          <cell r="AI57">
            <v>2414</v>
          </cell>
          <cell r="AJ57">
            <v>2454.1078494832714</v>
          </cell>
        </row>
        <row r="58">
          <cell r="E58">
            <v>1837.3</v>
          </cell>
          <cell r="F58">
            <v>1156.9108751325014</v>
          </cell>
          <cell r="G58">
            <v>1156.9108751325014</v>
          </cell>
          <cell r="H58">
            <v>962.4</v>
          </cell>
          <cell r="I58">
            <v>2272.5</v>
          </cell>
          <cell r="J58">
            <v>1581.8</v>
          </cell>
          <cell r="K58">
            <v>2397.8000000000002</v>
          </cell>
          <cell r="L58">
            <v>1624.6</v>
          </cell>
          <cell r="M58">
            <v>1885</v>
          </cell>
          <cell r="N58">
            <v>1634</v>
          </cell>
          <cell r="O58">
            <v>1363</v>
          </cell>
          <cell r="P58">
            <v>2022.4</v>
          </cell>
          <cell r="Q58">
            <v>3638.9</v>
          </cell>
          <cell r="R58">
            <v>2882.6</v>
          </cell>
          <cell r="S58">
            <v>1336.1863068464233</v>
          </cell>
          <cell r="T58">
            <v>1735.5689555446857</v>
          </cell>
          <cell r="U58">
            <v>2055.9145474218949</v>
          </cell>
          <cell r="V58">
            <v>2152.0953963167458</v>
          </cell>
          <cell r="W58">
            <v>2241.8560882472862</v>
          </cell>
          <cell r="X58">
            <v>2241.8560882472862</v>
          </cell>
          <cell r="Y58">
            <v>1223.8</v>
          </cell>
          <cell r="Z58">
            <v>1503.6</v>
          </cell>
          <cell r="AA58">
            <v>2419.1999999999998</v>
          </cell>
          <cell r="AB58">
            <v>558.1</v>
          </cell>
          <cell r="AC58">
            <v>558.1</v>
          </cell>
          <cell r="AD58">
            <v>1744</v>
          </cell>
          <cell r="AE58">
            <v>2052.1999999999998</v>
          </cell>
          <cell r="AF58">
            <v>2036.5</v>
          </cell>
          <cell r="AG58">
            <v>4529.281172668514</v>
          </cell>
          <cell r="AH58">
            <v>1956</v>
          </cell>
          <cell r="AI58">
            <v>1956</v>
          </cell>
          <cell r="AJ58">
            <v>2020.2132509183364</v>
          </cell>
        </row>
        <row r="59">
          <cell r="E59">
            <v>1901.9</v>
          </cell>
          <cell r="F59">
            <v>566.96294542917292</v>
          </cell>
          <cell r="G59">
            <v>475.02300833255021</v>
          </cell>
          <cell r="H59">
            <v>614.79999999999995</v>
          </cell>
          <cell r="I59">
            <v>591.79999999999995</v>
          </cell>
          <cell r="J59">
            <v>868.7</v>
          </cell>
          <cell r="K59">
            <v>2553.5</v>
          </cell>
          <cell r="L59">
            <v>1413.8</v>
          </cell>
          <cell r="M59">
            <v>1432.1</v>
          </cell>
          <cell r="N59">
            <v>1224</v>
          </cell>
          <cell r="O59">
            <v>865</v>
          </cell>
          <cell r="P59">
            <v>1341.5</v>
          </cell>
          <cell r="Q59">
            <v>3055.3</v>
          </cell>
          <cell r="R59">
            <v>3413</v>
          </cell>
          <cell r="S59">
            <v>844.53610933245636</v>
          </cell>
          <cell r="T59">
            <v>1333.3808447715146</v>
          </cell>
          <cell r="U59">
            <v>1703.4276671038817</v>
          </cell>
          <cell r="V59">
            <v>1692.1284516119781</v>
          </cell>
          <cell r="W59">
            <v>1793.6885425885332</v>
          </cell>
          <cell r="X59">
            <v>1793.6885425885332</v>
          </cell>
          <cell r="Y59">
            <v>786.7</v>
          </cell>
          <cell r="Z59">
            <v>760.5</v>
          </cell>
          <cell r="AA59">
            <v>2232.3000000000002</v>
          </cell>
          <cell r="AB59">
            <v>0</v>
          </cell>
          <cell r="AC59">
            <v>0</v>
          </cell>
          <cell r="AD59">
            <v>154.77000000000001</v>
          </cell>
          <cell r="AE59">
            <v>1443.5</v>
          </cell>
          <cell r="AF59">
            <v>1756.5</v>
          </cell>
          <cell r="AG59">
            <v>4057.0153767878346</v>
          </cell>
          <cell r="AH59">
            <v>1452</v>
          </cell>
          <cell r="AI59">
            <v>1452</v>
          </cell>
          <cell r="AJ59">
            <v>1600.2032795074795</v>
          </cell>
        </row>
        <row r="60">
          <cell r="E60">
            <v>6.1</v>
          </cell>
          <cell r="F60">
            <v>6.9837759159975246</v>
          </cell>
          <cell r="G60">
            <v>6.9837759159975246</v>
          </cell>
          <cell r="H60">
            <v>10.3</v>
          </cell>
          <cell r="I60">
            <v>1.1000000000000001</v>
          </cell>
          <cell r="J60">
            <v>5.8</v>
          </cell>
          <cell r="K60">
            <v>2.2999999999999998</v>
          </cell>
          <cell r="L60">
            <v>6.2</v>
          </cell>
          <cell r="M60">
            <v>5.2</v>
          </cell>
          <cell r="N60">
            <v>11.81</v>
          </cell>
          <cell r="O60">
            <v>17.55</v>
          </cell>
          <cell r="P60">
            <v>1.7</v>
          </cell>
          <cell r="Q60">
            <v>1.3</v>
          </cell>
          <cell r="R60">
            <v>11.6</v>
          </cell>
          <cell r="S60">
            <v>6.304308803103515</v>
          </cell>
          <cell r="T60">
            <v>6.8195648110494753</v>
          </cell>
          <cell r="U60">
            <v>7.9410043577553893</v>
          </cell>
          <cell r="V60">
            <v>8.5168787195773437</v>
          </cell>
          <cell r="W60">
            <v>10.002028389539229</v>
          </cell>
          <cell r="X60">
            <v>10.002028389539229</v>
          </cell>
          <cell r="Y60">
            <v>10.6</v>
          </cell>
          <cell r="Z60">
            <v>12.2</v>
          </cell>
          <cell r="AA60">
            <v>3.4</v>
          </cell>
          <cell r="AB60">
            <v>3.4</v>
          </cell>
          <cell r="AC60">
            <v>3.4</v>
          </cell>
          <cell r="AD60">
            <v>5</v>
          </cell>
          <cell r="AE60">
            <v>3</v>
          </cell>
          <cell r="AF60">
            <v>3</v>
          </cell>
          <cell r="AG60">
            <v>8.5259999999999998</v>
          </cell>
          <cell r="AH60">
            <v>0.44</v>
          </cell>
          <cell r="AI60">
            <v>0.44</v>
          </cell>
          <cell r="AJ60">
            <v>0.44064261876599181</v>
          </cell>
        </row>
        <row r="61">
          <cell r="E61">
            <v>18.899999999999999</v>
          </cell>
          <cell r="G61">
            <v>16.804710797869046</v>
          </cell>
          <cell r="H61">
            <v>26.4</v>
          </cell>
          <cell r="I61">
            <v>2</v>
          </cell>
          <cell r="J61">
            <v>20.9</v>
          </cell>
          <cell r="K61">
            <v>10.199999999999999</v>
          </cell>
          <cell r="L61">
            <v>17</v>
          </cell>
          <cell r="M61">
            <v>27.8</v>
          </cell>
          <cell r="N61">
            <v>20.55</v>
          </cell>
          <cell r="O61">
            <v>27.48</v>
          </cell>
          <cell r="P61">
            <v>3.3</v>
          </cell>
          <cell r="Q61">
            <v>4.5</v>
          </cell>
          <cell r="R61">
            <v>18.2</v>
          </cell>
          <cell r="S61">
            <v>12.972327729463002</v>
          </cell>
          <cell r="T61">
            <v>15.397061884502815</v>
          </cell>
          <cell r="U61">
            <v>18.670452993806563</v>
          </cell>
          <cell r="V61">
            <v>17.033757439154687</v>
          </cell>
          <cell r="W61">
            <v>20.216221017644443</v>
          </cell>
          <cell r="X61">
            <v>20.216221017644443</v>
          </cell>
          <cell r="Y61">
            <v>24.3</v>
          </cell>
          <cell r="Z61">
            <v>28.6</v>
          </cell>
          <cell r="AA61">
            <v>5</v>
          </cell>
          <cell r="AB61">
            <v>5.6</v>
          </cell>
          <cell r="AC61">
            <v>5.6</v>
          </cell>
          <cell r="AD61">
            <v>7.1</v>
          </cell>
          <cell r="AE61">
            <v>9.6</v>
          </cell>
          <cell r="AF61">
            <v>9</v>
          </cell>
          <cell r="AG61">
            <v>15.288</v>
          </cell>
          <cell r="AH61">
            <v>0.74</v>
          </cell>
          <cell r="AI61">
            <v>0.74</v>
          </cell>
          <cell r="AJ61">
            <v>0.65767555039700265</v>
          </cell>
        </row>
        <row r="62">
          <cell r="E62">
            <v>20.3</v>
          </cell>
          <cell r="F62">
            <v>10.257420876621365</v>
          </cell>
          <cell r="G62">
            <v>19.423626766368116</v>
          </cell>
          <cell r="H62">
            <v>28.7</v>
          </cell>
          <cell r="I62">
            <v>2.9</v>
          </cell>
          <cell r="J62">
            <v>23.1</v>
          </cell>
          <cell r="K62">
            <v>11.4</v>
          </cell>
          <cell r="L62">
            <v>22.7</v>
          </cell>
          <cell r="M62">
            <v>30.2</v>
          </cell>
          <cell r="N62">
            <v>28.59</v>
          </cell>
          <cell r="O62">
            <v>33.72</v>
          </cell>
          <cell r="P62">
            <v>4.5999999999999996</v>
          </cell>
          <cell r="Q62">
            <v>4.9000000000000004</v>
          </cell>
          <cell r="R62">
            <v>24.5</v>
          </cell>
          <cell r="S62">
            <v>15.003042584308846</v>
          </cell>
          <cell r="T62">
            <v>17.154994146906681</v>
          </cell>
          <cell r="U62">
            <v>20.579931140900417</v>
          </cell>
          <cell r="V62">
            <v>20.155602663768448</v>
          </cell>
          <cell r="W62">
            <v>23.125902003692218</v>
          </cell>
          <cell r="X62">
            <v>23.125902003692218</v>
          </cell>
          <cell r="Y62">
            <v>29.9</v>
          </cell>
          <cell r="Z62">
            <v>33.799999999999997</v>
          </cell>
          <cell r="AA62">
            <v>6.7</v>
          </cell>
          <cell r="AB62">
            <v>6.6</v>
          </cell>
          <cell r="AC62">
            <v>6.6</v>
          </cell>
          <cell r="AD62">
            <v>9.3000000000000007</v>
          </cell>
          <cell r="AE62">
            <v>12</v>
          </cell>
          <cell r="AF62">
            <v>11.9</v>
          </cell>
          <cell r="AG62">
            <v>22.1235</v>
          </cell>
          <cell r="AH62">
            <v>1.02</v>
          </cell>
          <cell r="AI62">
            <v>1.02</v>
          </cell>
          <cell r="AJ62">
            <v>0.762903638460523</v>
          </cell>
        </row>
        <row r="63">
          <cell r="E63">
            <v>20.9</v>
          </cell>
          <cell r="F63">
            <v>13.640187335932666</v>
          </cell>
          <cell r="G63">
            <v>20.7</v>
          </cell>
          <cell r="H63">
            <v>29.1</v>
          </cell>
          <cell r="I63">
            <v>3.1</v>
          </cell>
          <cell r="J63">
            <v>23.5</v>
          </cell>
          <cell r="K63">
            <v>12.5</v>
          </cell>
          <cell r="L63">
            <v>24.7</v>
          </cell>
          <cell r="M63">
            <v>32.200000000000003</v>
          </cell>
          <cell r="N63">
            <v>32.799999999999997</v>
          </cell>
          <cell r="O63">
            <v>38.340000000000003</v>
          </cell>
          <cell r="P63">
            <v>5.2</v>
          </cell>
          <cell r="Q63">
            <v>5.2</v>
          </cell>
          <cell r="R63">
            <v>26.2</v>
          </cell>
          <cell r="S63">
            <v>16.899999999999999</v>
          </cell>
          <cell r="T63">
            <v>18.943235586248541</v>
          </cell>
          <cell r="U63">
            <v>22.368172580242277</v>
          </cell>
          <cell r="V63">
            <v>23.034974472878226</v>
          </cell>
          <cell r="W63">
            <v>25.944655458926004</v>
          </cell>
          <cell r="X63">
            <v>25.944655458926004</v>
          </cell>
          <cell r="Y63">
            <v>30.4</v>
          </cell>
          <cell r="Z63">
            <v>34.700000000000003</v>
          </cell>
          <cell r="AA63">
            <v>7.2</v>
          </cell>
          <cell r="AB63">
            <v>7.5</v>
          </cell>
          <cell r="AC63">
            <v>7.5</v>
          </cell>
          <cell r="AD63">
            <v>9.9</v>
          </cell>
          <cell r="AE63">
            <v>13.1</v>
          </cell>
          <cell r="AF63">
            <v>12.7</v>
          </cell>
          <cell r="AG63">
            <v>29.106000000000002</v>
          </cell>
          <cell r="AH63">
            <v>1.1499999999999999</v>
          </cell>
          <cell r="AI63">
            <v>1.1499999999999999</v>
          </cell>
          <cell r="AJ63">
            <v>0.8615549710200735</v>
          </cell>
        </row>
        <row r="64">
          <cell r="E64">
            <v>21.4</v>
          </cell>
          <cell r="F64">
            <v>16.804710797869046</v>
          </cell>
          <cell r="G64">
            <v>21.496935241429881</v>
          </cell>
          <cell r="H64">
            <v>29.4</v>
          </cell>
          <cell r="I64">
            <v>3.3</v>
          </cell>
          <cell r="J64">
            <v>23.9</v>
          </cell>
          <cell r="K64">
            <v>13.5</v>
          </cell>
          <cell r="L64">
            <v>26.8</v>
          </cell>
          <cell r="M64">
            <v>34.1</v>
          </cell>
          <cell r="N64">
            <v>35.5</v>
          </cell>
          <cell r="O64">
            <v>39.49</v>
          </cell>
          <cell r="P64">
            <v>5.7</v>
          </cell>
          <cell r="Q64">
            <v>5.4</v>
          </cell>
          <cell r="R64">
            <v>28.2</v>
          </cell>
          <cell r="S64">
            <v>18.337052047488587</v>
          </cell>
          <cell r="T64">
            <v>20.428385256210429</v>
          </cell>
          <cell r="U64">
            <v>23.823013073266168</v>
          </cell>
          <cell r="V64">
            <v>25.45970862791804</v>
          </cell>
          <cell r="W64">
            <v>28.339080437027818</v>
          </cell>
          <cell r="X64">
            <v>28.339080437027818</v>
          </cell>
          <cell r="Y64">
            <v>30.9</v>
          </cell>
          <cell r="Z64">
            <v>35.200000000000003</v>
          </cell>
          <cell r="AA64">
            <v>7.9</v>
          </cell>
          <cell r="AB64">
            <v>8.5</v>
          </cell>
          <cell r="AC64">
            <v>8.5</v>
          </cell>
          <cell r="AD64">
            <v>10.9</v>
          </cell>
          <cell r="AE64">
            <v>14.1</v>
          </cell>
          <cell r="AF64">
            <v>13.5</v>
          </cell>
          <cell r="AG64">
            <v>35.794499999999999</v>
          </cell>
          <cell r="AH64">
            <v>1.26</v>
          </cell>
          <cell r="AI64">
            <v>1.26</v>
          </cell>
          <cell r="AJ64">
            <v>0.96020630357962389</v>
          </cell>
        </row>
        <row r="65">
          <cell r="E65">
            <v>21.8</v>
          </cell>
          <cell r="F65">
            <v>19.532748265055577</v>
          </cell>
          <cell r="G65">
            <v>22.3</v>
          </cell>
          <cell r="H65">
            <v>29.3</v>
          </cell>
          <cell r="I65">
            <v>3.5</v>
          </cell>
          <cell r="J65">
            <v>24.2</v>
          </cell>
          <cell r="K65">
            <v>14.6</v>
          </cell>
          <cell r="L65">
            <v>28.6</v>
          </cell>
          <cell r="M65">
            <v>35.9</v>
          </cell>
          <cell r="N65">
            <v>37.64</v>
          </cell>
          <cell r="O65">
            <v>40.409999999999997</v>
          </cell>
          <cell r="P65">
            <v>6.3</v>
          </cell>
          <cell r="Q65">
            <v>5.7</v>
          </cell>
          <cell r="R65">
            <v>30.3</v>
          </cell>
          <cell r="S65">
            <v>19.276636532566517</v>
          </cell>
          <cell r="T65">
            <v>21.640752333730333</v>
          </cell>
          <cell r="U65">
            <v>24.944452619972079</v>
          </cell>
          <cell r="V65">
            <v>27.520732659701881</v>
          </cell>
          <cell r="W65">
            <v>30.551650353501646</v>
          </cell>
          <cell r="X65">
            <v>30.551650353501646</v>
          </cell>
          <cell r="Y65">
            <v>31.2</v>
          </cell>
          <cell r="Z65">
            <v>35.700000000000003</v>
          </cell>
          <cell r="AA65">
            <v>8.4</v>
          </cell>
          <cell r="AB65">
            <v>9.5</v>
          </cell>
          <cell r="AC65">
            <v>9.5</v>
          </cell>
          <cell r="AD65">
            <v>11.7</v>
          </cell>
          <cell r="AE65">
            <v>15</v>
          </cell>
          <cell r="AF65">
            <v>14.1</v>
          </cell>
          <cell r="AG65">
            <v>38.808</v>
          </cell>
          <cell r="AH65">
            <v>1.38</v>
          </cell>
          <cell r="AI65">
            <v>1.38</v>
          </cell>
          <cell r="AJ65">
            <v>1.0654343916431444</v>
          </cell>
        </row>
        <row r="66">
          <cell r="E66">
            <v>22.2</v>
          </cell>
          <cell r="F66">
            <v>21.606056740117346</v>
          </cell>
          <cell r="G66">
            <v>22.915514724366876</v>
          </cell>
          <cell r="H66">
            <v>29.2</v>
          </cell>
          <cell r="I66">
            <v>3.7</v>
          </cell>
          <cell r="J66">
            <v>24.4</v>
          </cell>
          <cell r="K66">
            <v>15.6</v>
          </cell>
          <cell r="L66">
            <v>30.4</v>
          </cell>
          <cell r="M66">
            <v>37.200000000000003</v>
          </cell>
          <cell r="N66">
            <v>39.9</v>
          </cell>
          <cell r="O66">
            <v>40.97</v>
          </cell>
          <cell r="P66">
            <v>6.8</v>
          </cell>
          <cell r="Q66">
            <v>6</v>
          </cell>
          <cell r="R66">
            <v>32.200000000000003</v>
          </cell>
          <cell r="S66">
            <v>19.85251089438847</v>
          </cell>
          <cell r="T66">
            <v>22.368172580242277</v>
          </cell>
          <cell r="U66">
            <v>25.884037105050005</v>
          </cell>
          <cell r="V66">
            <v>29.157428214353754</v>
          </cell>
          <cell r="W66">
            <v>32.70360191609948</v>
          </cell>
          <cell r="X66">
            <v>32.70360191609948</v>
          </cell>
          <cell r="Y66">
            <v>31.4</v>
          </cell>
          <cell r="Z66">
            <v>35.9</v>
          </cell>
          <cell r="AA66">
            <v>9.1</v>
          </cell>
          <cell r="AB66">
            <v>10.5</v>
          </cell>
          <cell r="AC66">
            <v>10.5</v>
          </cell>
          <cell r="AD66">
            <v>12.8</v>
          </cell>
          <cell r="AE66">
            <v>15.9</v>
          </cell>
          <cell r="AF66">
            <v>14.8</v>
          </cell>
          <cell r="AG66">
            <v>41.968499999999999</v>
          </cell>
          <cell r="AH66">
            <v>1.49</v>
          </cell>
          <cell r="AI66">
            <v>1.49</v>
          </cell>
          <cell r="AJ66">
            <v>1.1575089686987248</v>
          </cell>
        </row>
        <row r="67">
          <cell r="E67">
            <v>22.5</v>
          </cell>
          <cell r="F67">
            <v>23.133757721741802</v>
          </cell>
          <cell r="G67">
            <v>23.2</v>
          </cell>
          <cell r="H67">
            <v>28.8</v>
          </cell>
          <cell r="I67">
            <v>3.9</v>
          </cell>
          <cell r="J67">
            <v>24.3</v>
          </cell>
          <cell r="K67">
            <v>16.399999999999999</v>
          </cell>
          <cell r="L67">
            <v>31.7</v>
          </cell>
          <cell r="M67">
            <v>38.799999999999997</v>
          </cell>
          <cell r="N67">
            <v>41.35</v>
          </cell>
          <cell r="O67">
            <v>41.11</v>
          </cell>
          <cell r="P67">
            <v>7.3</v>
          </cell>
          <cell r="Q67">
            <v>6.3</v>
          </cell>
          <cell r="R67">
            <v>33.9</v>
          </cell>
          <cell r="S67">
            <v>20.064675132954456</v>
          </cell>
          <cell r="T67">
            <v>22.883428588188238</v>
          </cell>
          <cell r="U67">
            <v>26.732694059313943</v>
          </cell>
          <cell r="V67">
            <v>30.551650353501646</v>
          </cell>
          <cell r="W67">
            <v>34.552461709317342</v>
          </cell>
          <cell r="X67">
            <v>34.552461709317342</v>
          </cell>
          <cell r="Y67">
            <v>31</v>
          </cell>
          <cell r="Z67">
            <v>35.9</v>
          </cell>
          <cell r="AA67">
            <v>9.6999999999999993</v>
          </cell>
          <cell r="AB67">
            <v>12.5</v>
          </cell>
          <cell r="AC67">
            <v>12.5</v>
          </cell>
          <cell r="AD67">
            <v>14.2</v>
          </cell>
          <cell r="AE67">
            <v>16.8</v>
          </cell>
          <cell r="AF67">
            <v>15.6</v>
          </cell>
          <cell r="AG67">
            <v>45.055499999999995</v>
          </cell>
          <cell r="AH67">
            <v>1.6</v>
          </cell>
          <cell r="AI67">
            <v>1.6</v>
          </cell>
          <cell r="AJ67">
            <v>1.249583545754305</v>
          </cell>
        </row>
        <row r="68">
          <cell r="E68">
            <v>22.6</v>
          </cell>
          <cell r="F68">
            <v>23.788486713866568</v>
          </cell>
          <cell r="G68">
            <v>23.133757721741798</v>
          </cell>
          <cell r="H68">
            <v>28.1</v>
          </cell>
          <cell r="I68">
            <v>4</v>
          </cell>
          <cell r="J68">
            <v>24.1</v>
          </cell>
          <cell r="K68">
            <v>17.100000000000001</v>
          </cell>
          <cell r="L68">
            <v>32.799999999999997</v>
          </cell>
          <cell r="M68">
            <v>40</v>
          </cell>
          <cell r="N68">
            <v>42.29</v>
          </cell>
          <cell r="O68">
            <v>41.06</v>
          </cell>
          <cell r="P68">
            <v>7.7</v>
          </cell>
          <cell r="Q68">
            <v>6.5</v>
          </cell>
          <cell r="R68">
            <v>36</v>
          </cell>
          <cell r="S68">
            <v>20.004056779078457</v>
          </cell>
          <cell r="T68">
            <v>23.034974472878226</v>
          </cell>
          <cell r="U68">
            <v>27.36918677501189</v>
          </cell>
          <cell r="V68">
            <v>31.612471546331566</v>
          </cell>
          <cell r="W68">
            <v>35.946683848465227</v>
          </cell>
          <cell r="X68">
            <v>35.946683848465227</v>
          </cell>
          <cell r="Y68">
            <v>30.4</v>
          </cell>
          <cell r="Z68">
            <v>35.4</v>
          </cell>
          <cell r="AA68">
            <v>10.4</v>
          </cell>
          <cell r="AB68">
            <v>14</v>
          </cell>
          <cell r="AC68">
            <v>14</v>
          </cell>
          <cell r="AD68">
            <v>15.6</v>
          </cell>
          <cell r="AE68">
            <v>17.399999999999999</v>
          </cell>
          <cell r="AF68">
            <v>16.399999999999999</v>
          </cell>
          <cell r="AG68">
            <v>48.436500000000002</v>
          </cell>
          <cell r="AH68">
            <v>1.7</v>
          </cell>
          <cell r="AI68">
            <v>1.7</v>
          </cell>
          <cell r="AJ68">
            <v>1.3350813673059152</v>
          </cell>
        </row>
        <row r="69">
          <cell r="E69">
            <v>22.6</v>
          </cell>
          <cell r="F69">
            <v>23.526595117016662</v>
          </cell>
          <cell r="G69">
            <v>22.326258631454589</v>
          </cell>
          <cell r="H69">
            <v>27.4</v>
          </cell>
          <cell r="I69">
            <v>4.0999999999999996</v>
          </cell>
          <cell r="J69">
            <v>23.7</v>
          </cell>
          <cell r="K69">
            <v>17.7</v>
          </cell>
          <cell r="L69">
            <v>33.4</v>
          </cell>
          <cell r="M69">
            <v>41.4</v>
          </cell>
          <cell r="N69">
            <v>42.54</v>
          </cell>
          <cell r="O69">
            <v>40.18</v>
          </cell>
          <cell r="P69">
            <v>8</v>
          </cell>
          <cell r="Q69">
            <v>6.7</v>
          </cell>
          <cell r="R69">
            <v>37.9</v>
          </cell>
          <cell r="S69">
            <v>19.61003747888449</v>
          </cell>
          <cell r="T69">
            <v>23.034974472878226</v>
          </cell>
          <cell r="U69">
            <v>27.854133606019854</v>
          </cell>
          <cell r="V69">
            <v>32.430819323657502</v>
          </cell>
          <cell r="W69">
            <v>36.855959156605159</v>
          </cell>
          <cell r="X69">
            <v>36.855959156605159</v>
          </cell>
          <cell r="Y69">
            <v>29.5</v>
          </cell>
          <cell r="Z69">
            <v>34.700000000000003</v>
          </cell>
          <cell r="AA69">
            <v>11</v>
          </cell>
          <cell r="AB69">
            <v>15.7</v>
          </cell>
          <cell r="AC69">
            <v>15.7</v>
          </cell>
          <cell r="AD69">
            <v>17.2</v>
          </cell>
          <cell r="AE69">
            <v>17.8</v>
          </cell>
          <cell r="AF69">
            <v>16.899999999999999</v>
          </cell>
          <cell r="AG69">
            <v>51.523499999999991</v>
          </cell>
          <cell r="AH69">
            <v>1.81</v>
          </cell>
          <cell r="AI69">
            <v>1.81</v>
          </cell>
          <cell r="AJ69">
            <v>1.4205791888575259</v>
          </cell>
        </row>
        <row r="70">
          <cell r="E70">
            <v>22.5</v>
          </cell>
          <cell r="F70">
            <v>22.260785732242109</v>
          </cell>
          <cell r="G70">
            <v>21.169570745367494</v>
          </cell>
          <cell r="H70">
            <v>26.6</v>
          </cell>
          <cell r="I70">
            <v>4.0999999999999996</v>
          </cell>
          <cell r="J70">
            <v>23.1</v>
          </cell>
          <cell r="K70">
            <v>18.100000000000001</v>
          </cell>
          <cell r="L70">
            <v>34</v>
          </cell>
          <cell r="M70">
            <v>42.3</v>
          </cell>
          <cell r="N70">
            <v>42.04</v>
          </cell>
          <cell r="O70">
            <v>38.659999999999997</v>
          </cell>
          <cell r="P70">
            <v>8.1999999999999993</v>
          </cell>
          <cell r="Q70">
            <v>6.9</v>
          </cell>
          <cell r="R70">
            <v>40.1</v>
          </cell>
          <cell r="S70">
            <v>18.821998878496551</v>
          </cell>
          <cell r="T70">
            <v>22.640955172684254</v>
          </cell>
          <cell r="U70">
            <v>27.854133606019854</v>
          </cell>
          <cell r="V70">
            <v>32.612674385285487</v>
          </cell>
          <cell r="W70">
            <v>37.280287633737132</v>
          </cell>
          <cell r="X70">
            <v>37.280287633737132</v>
          </cell>
          <cell r="Y70">
            <v>28.2</v>
          </cell>
          <cell r="Z70">
            <v>33.9</v>
          </cell>
          <cell r="AA70">
            <v>11.8</v>
          </cell>
          <cell r="AB70">
            <v>17.5</v>
          </cell>
          <cell r="AC70">
            <v>17.5</v>
          </cell>
          <cell r="AD70">
            <v>18.7</v>
          </cell>
          <cell r="AE70">
            <v>18.600000000000001</v>
          </cell>
          <cell r="AF70">
            <v>17.100000000000001</v>
          </cell>
          <cell r="AG70">
            <v>54.536999999999999</v>
          </cell>
          <cell r="AH70">
            <v>1.91</v>
          </cell>
          <cell r="AI70">
            <v>1.91</v>
          </cell>
          <cell r="AJ70">
            <v>1.4995002549051659</v>
          </cell>
        </row>
        <row r="71">
          <cell r="E71">
            <v>22.3</v>
          </cell>
          <cell r="F71">
            <v>20.514841753242731</v>
          </cell>
          <cell r="G71">
            <v>19.423626766368116</v>
          </cell>
          <cell r="H71">
            <v>22.9</v>
          </cell>
          <cell r="I71">
            <v>4</v>
          </cell>
          <cell r="J71">
            <v>21.12</v>
          </cell>
          <cell r="K71">
            <v>18.3</v>
          </cell>
          <cell r="L71">
            <v>34.6</v>
          </cell>
          <cell r="M71">
            <v>41.3</v>
          </cell>
          <cell r="N71">
            <v>40.659999999999997</v>
          </cell>
          <cell r="O71">
            <v>35.56</v>
          </cell>
          <cell r="P71">
            <v>7.9</v>
          </cell>
          <cell r="Q71">
            <v>7.6</v>
          </cell>
          <cell r="R71">
            <v>43.2</v>
          </cell>
          <cell r="S71">
            <v>17.609631800976643</v>
          </cell>
          <cell r="T71">
            <v>22.186317518614292</v>
          </cell>
          <cell r="U71">
            <v>27.490423482763884</v>
          </cell>
          <cell r="V71">
            <v>32.279273438967515</v>
          </cell>
          <cell r="W71">
            <v>37.037814218233152</v>
          </cell>
          <cell r="X71">
            <v>37.037814218233152</v>
          </cell>
          <cell r="Y71">
            <v>26.2</v>
          </cell>
          <cell r="Z71">
            <v>26.6</v>
          </cell>
          <cell r="AA71">
            <v>14.6</v>
          </cell>
          <cell r="AB71">
            <v>18.2</v>
          </cell>
          <cell r="AC71">
            <v>18.2</v>
          </cell>
          <cell r="AD71">
            <v>22.4</v>
          </cell>
          <cell r="AE71">
            <v>17.600000000000001</v>
          </cell>
          <cell r="AF71">
            <v>17.100000000000001</v>
          </cell>
          <cell r="AG71">
            <v>56.889000000000003</v>
          </cell>
          <cell r="AH71">
            <v>2.0099999999999998</v>
          </cell>
          <cell r="AI71">
            <v>2.0099999999999998</v>
          </cell>
          <cell r="AJ71">
            <v>1.5718445654488364</v>
          </cell>
        </row>
        <row r="72"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</row>
        <row r="73">
          <cell r="E73">
            <v>76.5</v>
          </cell>
          <cell r="G73">
            <v>59.5</v>
          </cell>
          <cell r="H73">
            <v>69</v>
          </cell>
          <cell r="I73">
            <v>48</v>
          </cell>
          <cell r="J73">
            <v>72</v>
          </cell>
          <cell r="K73">
            <v>73.5</v>
          </cell>
          <cell r="L73">
            <v>58</v>
          </cell>
          <cell r="M73">
            <v>69</v>
          </cell>
          <cell r="N73">
            <v>48.6</v>
          </cell>
          <cell r="O73">
            <v>41.7</v>
          </cell>
          <cell r="P73">
            <v>50</v>
          </cell>
          <cell r="Q73">
            <v>71</v>
          </cell>
          <cell r="R73">
            <v>49</v>
          </cell>
          <cell r="S73">
            <v>53.024948253151855</v>
          </cell>
          <cell r="T73">
            <v>56.512608994345506</v>
          </cell>
          <cell r="U73">
            <v>62.337492373398412</v>
          </cell>
          <cell r="V73">
            <v>48.547421720127062</v>
          </cell>
          <cell r="W73">
            <v>55.178350422104387</v>
          </cell>
          <cell r="X73">
            <v>55.178350422104387</v>
          </cell>
          <cell r="Y73">
            <v>64</v>
          </cell>
          <cell r="Z73">
            <v>69</v>
          </cell>
          <cell r="AA73">
            <v>41</v>
          </cell>
          <cell r="AB73">
            <v>40</v>
          </cell>
          <cell r="AC73">
            <v>40</v>
          </cell>
          <cell r="AD73">
            <v>30</v>
          </cell>
          <cell r="AE73">
            <v>71.5</v>
          </cell>
          <cell r="AF73">
            <v>71</v>
          </cell>
          <cell r="AG73">
            <v>33.1</v>
          </cell>
          <cell r="AH73">
            <v>27.8</v>
          </cell>
          <cell r="AI73">
            <v>27.8</v>
          </cell>
          <cell r="AJ73">
            <v>30.270857142857142</v>
          </cell>
        </row>
        <row r="74">
          <cell r="E74">
            <v>79.5</v>
          </cell>
          <cell r="F74">
            <v>30.6</v>
          </cell>
          <cell r="G74">
            <v>69</v>
          </cell>
          <cell r="H74">
            <v>77.5</v>
          </cell>
          <cell r="I74">
            <v>64.2</v>
          </cell>
          <cell r="J74">
            <v>79.45</v>
          </cell>
          <cell r="K74">
            <v>76.02</v>
          </cell>
          <cell r="L74">
            <v>67.3</v>
          </cell>
          <cell r="M74">
            <v>70.2</v>
          </cell>
          <cell r="N74">
            <v>59.8</v>
          </cell>
          <cell r="O74">
            <v>50.9</v>
          </cell>
          <cell r="P74">
            <v>68.400000000000006</v>
          </cell>
          <cell r="Q74">
            <v>73.180000000000007</v>
          </cell>
          <cell r="R74">
            <v>60</v>
          </cell>
          <cell r="S74">
            <v>62.407321537522876</v>
          </cell>
          <cell r="T74">
            <v>65.140987027770535</v>
          </cell>
          <cell r="U74">
            <v>69.364557037095608</v>
          </cell>
          <cell r="V74">
            <v>59.158007771105616</v>
          </cell>
          <cell r="W74">
            <v>64.397890699904124</v>
          </cell>
          <cell r="X74">
            <v>64.397890699904124</v>
          </cell>
          <cell r="Y74">
            <v>85.1</v>
          </cell>
          <cell r="Z74">
            <v>83.2</v>
          </cell>
          <cell r="AA74">
            <v>53</v>
          </cell>
          <cell r="AB74">
            <v>50</v>
          </cell>
          <cell r="AC74">
            <v>50</v>
          </cell>
          <cell r="AD74">
            <v>45.5</v>
          </cell>
          <cell r="AE74">
            <v>80.5</v>
          </cell>
          <cell r="AF74">
            <v>80.5</v>
          </cell>
          <cell r="AG74">
            <v>52.7</v>
          </cell>
          <cell r="AH74">
            <v>40.200000000000003</v>
          </cell>
          <cell r="AI74">
            <v>40.200000000000003</v>
          </cell>
          <cell r="AJ74">
            <v>38.832688247712873</v>
          </cell>
        </row>
        <row r="75">
          <cell r="E75">
            <v>80.900000000000006</v>
          </cell>
          <cell r="F75">
            <v>47</v>
          </cell>
          <cell r="G75">
            <v>72.5</v>
          </cell>
          <cell r="H75">
            <v>79.64</v>
          </cell>
          <cell r="I75">
            <v>66.040000000000006</v>
          </cell>
          <cell r="J75">
            <v>81.16</v>
          </cell>
          <cell r="K75">
            <v>78.069999999999993</v>
          </cell>
          <cell r="L75">
            <v>70.260000000000005</v>
          </cell>
          <cell r="M75">
            <v>71.2</v>
          </cell>
          <cell r="N75">
            <v>63.6</v>
          </cell>
          <cell r="O75">
            <v>59</v>
          </cell>
          <cell r="P75">
            <v>72.739999999999995</v>
          </cell>
          <cell r="Q75">
            <v>73.97</v>
          </cell>
          <cell r="R75">
            <v>62.36</v>
          </cell>
          <cell r="S75">
            <v>77.136730074262346</v>
          </cell>
          <cell r="T75">
            <v>72.098364563758395</v>
          </cell>
          <cell r="U75">
            <v>75.295465706334923</v>
          </cell>
          <cell r="V75">
            <v>67.737859413634766</v>
          </cell>
          <cell r="W75">
            <v>71.521379288716062</v>
          </cell>
          <cell r="X75">
            <v>71.521379288716062</v>
          </cell>
          <cell r="Y75">
            <v>86.98</v>
          </cell>
          <cell r="Z75">
            <v>85.2</v>
          </cell>
          <cell r="AA75">
            <v>54.89</v>
          </cell>
          <cell r="AB75">
            <v>55.06</v>
          </cell>
          <cell r="AC75">
            <v>55.06</v>
          </cell>
          <cell r="AD75">
            <v>47.98</v>
          </cell>
          <cell r="AE75">
            <v>83.5</v>
          </cell>
          <cell r="AF75">
            <v>82.1</v>
          </cell>
          <cell r="AG75">
            <v>66.2</v>
          </cell>
          <cell r="AH75">
            <v>43.9</v>
          </cell>
          <cell r="AI75">
            <v>43.9</v>
          </cell>
          <cell r="AJ75">
            <v>44.99242872721608</v>
          </cell>
        </row>
        <row r="76">
          <cell r="E76">
            <v>82.52</v>
          </cell>
          <cell r="F76">
            <v>59.5</v>
          </cell>
          <cell r="G76">
            <v>75.5</v>
          </cell>
          <cell r="H76">
            <v>81.22</v>
          </cell>
          <cell r="I76">
            <v>67.819999999999993</v>
          </cell>
          <cell r="J76">
            <v>82.3</v>
          </cell>
          <cell r="K76">
            <v>79.489999999999995</v>
          </cell>
          <cell r="L76">
            <v>72.459999999999994</v>
          </cell>
          <cell r="M76">
            <v>72.8</v>
          </cell>
          <cell r="N76">
            <v>64.900000000000006</v>
          </cell>
          <cell r="O76">
            <v>63.4</v>
          </cell>
          <cell r="P76">
            <v>75.38</v>
          </cell>
          <cell r="Q76">
            <v>74.37</v>
          </cell>
          <cell r="R76">
            <v>64</v>
          </cell>
          <cell r="S76">
            <v>76.39491929668867</v>
          </cell>
          <cell r="T76">
            <v>78.576902395793923</v>
          </cell>
          <cell r="U76">
            <v>80.454162610789481</v>
          </cell>
          <cell r="V76">
            <v>74.905886864813041</v>
          </cell>
          <cell r="W76">
            <v>77.809640024405127</v>
          </cell>
          <cell r="X76">
            <v>77.809640024405127</v>
          </cell>
          <cell r="Y76">
            <v>88.16</v>
          </cell>
          <cell r="Z76">
            <v>87</v>
          </cell>
          <cell r="AA76">
            <v>56.02</v>
          </cell>
          <cell r="AB76">
            <v>57.72</v>
          </cell>
          <cell r="AC76">
            <v>57.72</v>
          </cell>
          <cell r="AD76">
            <v>50.7</v>
          </cell>
          <cell r="AE76">
            <v>86.52</v>
          </cell>
          <cell r="AF76">
            <v>83.3</v>
          </cell>
          <cell r="AG76">
            <v>72.2</v>
          </cell>
          <cell r="AH76">
            <v>46.4</v>
          </cell>
          <cell r="AI76">
            <v>46.4</v>
          </cell>
          <cell r="AJ76">
            <v>49.136846519429696</v>
          </cell>
        </row>
        <row r="77">
          <cell r="E77">
            <v>83.26</v>
          </cell>
          <cell r="F77">
            <v>69</v>
          </cell>
          <cell r="G77">
            <v>77.2</v>
          </cell>
          <cell r="H77">
            <v>82.08</v>
          </cell>
          <cell r="I77">
            <v>69.06</v>
          </cell>
          <cell r="J77">
            <v>82.91</v>
          </cell>
          <cell r="K77">
            <v>79.95</v>
          </cell>
          <cell r="L77">
            <v>73.28</v>
          </cell>
          <cell r="M77">
            <v>73.86</v>
          </cell>
          <cell r="N77">
            <v>69.5</v>
          </cell>
          <cell r="O77">
            <v>67.099999999999994</v>
          </cell>
          <cell r="P77">
            <v>76.819999999999993</v>
          </cell>
          <cell r="Q77">
            <v>74.930000000000007</v>
          </cell>
          <cell r="R77">
            <v>64.86</v>
          </cell>
          <cell r="S77">
            <v>80.73964163606432</v>
          </cell>
          <cell r="T77">
            <v>82.713608933506293</v>
          </cell>
          <cell r="U77">
            <v>84.072228791375466</v>
          </cell>
          <cell r="V77">
            <v>80.688939479052721</v>
          </cell>
          <cell r="W77">
            <v>82.510282837967409</v>
          </cell>
          <cell r="X77">
            <v>82.510282837967409</v>
          </cell>
          <cell r="Y77">
            <v>89</v>
          </cell>
          <cell r="Z77">
            <v>88.22</v>
          </cell>
          <cell r="AA77">
            <v>56.56</v>
          </cell>
          <cell r="AB77">
            <v>59.1</v>
          </cell>
          <cell r="AC77">
            <v>59.1</v>
          </cell>
          <cell r="AD77">
            <v>51.92</v>
          </cell>
          <cell r="AE77">
            <v>87.58</v>
          </cell>
          <cell r="AF77">
            <v>84.24</v>
          </cell>
          <cell r="AG77">
            <v>74.099999999999994</v>
          </cell>
          <cell r="AH77">
            <v>47.5</v>
          </cell>
          <cell r="AI77">
            <v>47.5</v>
          </cell>
          <cell r="AJ77">
            <v>51.212698412698408</v>
          </cell>
        </row>
        <row r="78">
          <cell r="E78">
            <v>83.7</v>
          </cell>
          <cell r="F78">
            <v>77</v>
          </cell>
          <cell r="G78">
            <v>78</v>
          </cell>
          <cell r="H78">
            <v>83</v>
          </cell>
          <cell r="I78">
            <v>69.900000000000006</v>
          </cell>
          <cell r="J78">
            <v>83</v>
          </cell>
          <cell r="K78">
            <v>80</v>
          </cell>
          <cell r="L78">
            <v>73.5</v>
          </cell>
          <cell r="M78">
            <v>75.3</v>
          </cell>
          <cell r="N78">
            <v>70.099999999999994</v>
          </cell>
          <cell r="O78">
            <v>70.3</v>
          </cell>
          <cell r="P78">
            <v>77.5</v>
          </cell>
          <cell r="Q78">
            <v>75.010000000000005</v>
          </cell>
          <cell r="R78">
            <v>65</v>
          </cell>
          <cell r="S78">
            <v>83.228444080127062</v>
          </cell>
          <cell r="T78">
            <v>84.894745457521694</v>
          </cell>
          <cell r="U78">
            <v>85.986871100073884</v>
          </cell>
          <cell r="V78">
            <v>84.591385396754532</v>
          </cell>
          <cell r="W78">
            <v>84.571595623588834</v>
          </cell>
          <cell r="X78">
            <v>84.571595623588834</v>
          </cell>
          <cell r="Y78">
            <v>89.28</v>
          </cell>
          <cell r="Z78">
            <v>88.9</v>
          </cell>
          <cell r="AA78">
            <v>56.9</v>
          </cell>
          <cell r="AB78">
            <v>59.6</v>
          </cell>
          <cell r="AC78">
            <v>59.6</v>
          </cell>
          <cell r="AD78">
            <v>52.1</v>
          </cell>
          <cell r="AE78">
            <v>88</v>
          </cell>
          <cell r="AF78">
            <v>84.6</v>
          </cell>
          <cell r="AG78">
            <v>75</v>
          </cell>
          <cell r="AH78">
            <v>47.5</v>
          </cell>
          <cell r="AI78">
            <v>47.5</v>
          </cell>
          <cell r="AJ78">
            <v>52.447402597402593</v>
          </cell>
        </row>
        <row r="79">
          <cell r="E79">
            <v>83.42</v>
          </cell>
          <cell r="F79">
            <v>81</v>
          </cell>
          <cell r="G79">
            <v>78.5</v>
          </cell>
          <cell r="H79">
            <v>82</v>
          </cell>
          <cell r="I79">
            <v>69.239999999999995</v>
          </cell>
          <cell r="J79">
            <v>82.82</v>
          </cell>
          <cell r="K79">
            <v>78.77</v>
          </cell>
          <cell r="L79">
            <v>72.819999999999993</v>
          </cell>
          <cell r="M79">
            <v>75.02</v>
          </cell>
          <cell r="N79">
            <v>75.2</v>
          </cell>
          <cell r="O79">
            <v>72.900000000000006</v>
          </cell>
          <cell r="P79">
            <v>76.819999999999993</v>
          </cell>
          <cell r="Q79">
            <v>74.8</v>
          </cell>
          <cell r="R79">
            <v>64.680000000000007</v>
          </cell>
          <cell r="S79">
            <v>84.424996451671774</v>
          </cell>
          <cell r="T79">
            <v>85.578395484243742</v>
          </cell>
          <cell r="U79">
            <v>86.61476510067115</v>
          </cell>
          <cell r="V79">
            <v>86.609539789069999</v>
          </cell>
          <cell r="W79">
            <v>85.389622041681392</v>
          </cell>
          <cell r="X79">
            <v>85.389622041681392</v>
          </cell>
          <cell r="Y79">
            <v>88.52</v>
          </cell>
          <cell r="Z79">
            <v>88.3</v>
          </cell>
          <cell r="AA79">
            <v>56.44</v>
          </cell>
          <cell r="AB79">
            <v>56.6</v>
          </cell>
          <cell r="AC79">
            <v>56.6</v>
          </cell>
          <cell r="AD79">
            <v>51.68</v>
          </cell>
          <cell r="AE79">
            <v>87.68</v>
          </cell>
          <cell r="AF79">
            <v>84.04</v>
          </cell>
          <cell r="AG79">
            <v>75.099999999999994</v>
          </cell>
          <cell r="AH79">
            <v>46.6</v>
          </cell>
          <cell r="AI79">
            <v>46.6</v>
          </cell>
          <cell r="AJ79">
            <v>52.095209452201928</v>
          </cell>
        </row>
        <row r="80">
          <cell r="E80">
            <v>82.3</v>
          </cell>
          <cell r="F80">
            <v>80.5</v>
          </cell>
          <cell r="G80">
            <v>77.5</v>
          </cell>
          <cell r="H80">
            <v>79.900000000000006</v>
          </cell>
          <cell r="I80">
            <v>67.86</v>
          </cell>
          <cell r="J80">
            <v>81.98</v>
          </cell>
          <cell r="K80">
            <v>76.709999999999994</v>
          </cell>
          <cell r="L80">
            <v>71.56</v>
          </cell>
          <cell r="M80">
            <v>73.7</v>
          </cell>
          <cell r="N80">
            <v>72.2</v>
          </cell>
          <cell r="O80">
            <v>73.900000000000006</v>
          </cell>
          <cell r="P80">
            <v>74.8</v>
          </cell>
          <cell r="Q80">
            <v>74.040000000000006</v>
          </cell>
          <cell r="R80">
            <v>64</v>
          </cell>
          <cell r="S80">
            <v>83.196461256863955</v>
          </cell>
          <cell r="T80">
            <v>85.382691628399868</v>
          </cell>
          <cell r="U80">
            <v>85.89683159044796</v>
          </cell>
          <cell r="V80">
            <v>86.834158049508716</v>
          </cell>
          <cell r="W80">
            <v>84.760123136819942</v>
          </cell>
          <cell r="X80">
            <v>84.760123136819942</v>
          </cell>
          <cell r="Y80">
            <v>87.1</v>
          </cell>
          <cell r="Z80">
            <v>87.12</v>
          </cell>
          <cell r="AA80">
            <v>55.9</v>
          </cell>
          <cell r="AB80">
            <v>52</v>
          </cell>
          <cell r="AC80">
            <v>52</v>
          </cell>
          <cell r="AD80">
            <v>50.14</v>
          </cell>
          <cell r="AE80">
            <v>86.2</v>
          </cell>
          <cell r="AF80">
            <v>81.459999999999994</v>
          </cell>
          <cell r="AG80">
            <v>74.3</v>
          </cell>
          <cell r="AH80">
            <v>43.8</v>
          </cell>
          <cell r="AI80">
            <v>43.8</v>
          </cell>
          <cell r="AJ80">
            <v>50.652618880064345</v>
          </cell>
        </row>
        <row r="81">
          <cell r="E81">
            <v>79.92</v>
          </cell>
          <cell r="F81">
            <v>77</v>
          </cell>
          <cell r="G81">
            <v>74</v>
          </cell>
          <cell r="H81">
            <v>76</v>
          </cell>
          <cell r="I81">
            <v>65.260000000000005</v>
          </cell>
          <cell r="J81">
            <v>80.34</v>
          </cell>
          <cell r="K81">
            <v>74.069999999999993</v>
          </cell>
          <cell r="L81">
            <v>70.16</v>
          </cell>
          <cell r="M81">
            <v>70.66</v>
          </cell>
          <cell r="N81">
            <v>71.5</v>
          </cell>
          <cell r="O81">
            <v>75.2</v>
          </cell>
          <cell r="P81">
            <v>70.98</v>
          </cell>
          <cell r="Q81">
            <v>73.319999999999993</v>
          </cell>
          <cell r="R81">
            <v>62.88</v>
          </cell>
          <cell r="S81">
            <v>79.586745225770983</v>
          </cell>
          <cell r="T81">
            <v>83.381534793359251</v>
          </cell>
          <cell r="U81">
            <v>83.74080960483748</v>
          </cell>
          <cell r="V81">
            <v>84.662705889732194</v>
          </cell>
          <cell r="W81">
            <v>82.840096255740022</v>
          </cell>
          <cell r="X81">
            <v>82.840096255740022</v>
          </cell>
          <cell r="Y81">
            <v>84.2</v>
          </cell>
          <cell r="Z81">
            <v>85.1</v>
          </cell>
          <cell r="AA81">
            <v>54.8</v>
          </cell>
          <cell r="AB81">
            <v>45</v>
          </cell>
          <cell r="AC81">
            <v>45</v>
          </cell>
          <cell r="AD81">
            <v>47.48</v>
          </cell>
          <cell r="AE81">
            <v>83.4</v>
          </cell>
          <cell r="AF81">
            <v>77.16</v>
          </cell>
          <cell r="AG81">
            <v>72.900000000000006</v>
          </cell>
          <cell r="AH81">
            <v>39.9</v>
          </cell>
          <cell r="AI81">
            <v>39.9</v>
          </cell>
          <cell r="AJ81">
            <v>47.888321995464835</v>
          </cell>
        </row>
        <row r="82">
          <cell r="E82">
            <v>76.2</v>
          </cell>
          <cell r="F82">
            <v>69</v>
          </cell>
          <cell r="G82">
            <v>66</v>
          </cell>
          <cell r="H82">
            <v>70.5</v>
          </cell>
          <cell r="I82">
            <v>60.4</v>
          </cell>
          <cell r="J82">
            <v>77.319999999999993</v>
          </cell>
          <cell r="K82">
            <v>70.239999999999995</v>
          </cell>
          <cell r="L82">
            <v>68.2</v>
          </cell>
          <cell r="M82">
            <v>66.7</v>
          </cell>
          <cell r="N82">
            <v>69.3</v>
          </cell>
          <cell r="O82">
            <v>74.8</v>
          </cell>
          <cell r="P82">
            <v>65.5</v>
          </cell>
          <cell r="Q82">
            <v>72.430000000000007</v>
          </cell>
          <cell r="R82">
            <v>60.91</v>
          </cell>
          <cell r="S82">
            <v>72.518237525532541</v>
          </cell>
          <cell r="T82">
            <v>80.381660871674626</v>
          </cell>
          <cell r="U82">
            <v>81.304984262146633</v>
          </cell>
          <cell r="V82">
            <v>80.556006586662008</v>
          </cell>
          <cell r="W82">
            <v>79.157659191357027</v>
          </cell>
          <cell r="X82">
            <v>79.157659191357027</v>
          </cell>
          <cell r="Y82">
            <v>80.5</v>
          </cell>
          <cell r="Z82">
            <v>82.6</v>
          </cell>
          <cell r="AA82">
            <v>52.56</v>
          </cell>
          <cell r="AB82">
            <v>35</v>
          </cell>
          <cell r="AC82">
            <v>35</v>
          </cell>
          <cell r="AD82">
            <v>44</v>
          </cell>
          <cell r="AE82">
            <v>79</v>
          </cell>
          <cell r="AF82">
            <v>72</v>
          </cell>
          <cell r="AG82">
            <v>70.5</v>
          </cell>
          <cell r="AH82">
            <v>34.799999999999997</v>
          </cell>
          <cell r="AI82">
            <v>34.799999999999997</v>
          </cell>
          <cell r="AJ82">
            <v>43.594146079484425</v>
          </cell>
        </row>
        <row r="83">
          <cell r="E83">
            <v>71</v>
          </cell>
          <cell r="F83">
            <v>55</v>
          </cell>
          <cell r="G83">
            <v>50</v>
          </cell>
          <cell r="H83">
            <v>40</v>
          </cell>
          <cell r="I83">
            <v>20</v>
          </cell>
          <cell r="J83">
            <v>63</v>
          </cell>
          <cell r="K83">
            <v>66</v>
          </cell>
          <cell r="L83">
            <v>66</v>
          </cell>
          <cell r="M83">
            <v>67</v>
          </cell>
          <cell r="N83">
            <v>64.8</v>
          </cell>
          <cell r="O83">
            <v>67.7</v>
          </cell>
          <cell r="P83">
            <v>44.5</v>
          </cell>
          <cell r="Q83">
            <v>65</v>
          </cell>
          <cell r="R83">
            <v>58</v>
          </cell>
          <cell r="S83">
            <v>61.872725802539023</v>
          </cell>
          <cell r="T83">
            <v>73.975250302563538</v>
          </cell>
          <cell r="U83">
            <v>77.485229719630325</v>
          </cell>
          <cell r="V83">
            <v>74.370167312600429</v>
          </cell>
          <cell r="W83">
            <v>73.672788585111874</v>
          </cell>
          <cell r="X83">
            <v>73.672788585111874</v>
          </cell>
          <cell r="Y83">
            <v>74</v>
          </cell>
          <cell r="Z83">
            <v>52</v>
          </cell>
          <cell r="AA83">
            <v>36.5</v>
          </cell>
          <cell r="AB83">
            <v>31</v>
          </cell>
          <cell r="AC83">
            <v>31</v>
          </cell>
          <cell r="AD83">
            <v>30</v>
          </cell>
          <cell r="AE83">
            <v>57</v>
          </cell>
          <cell r="AF83">
            <v>60</v>
          </cell>
          <cell r="AG83">
            <v>63.4</v>
          </cell>
          <cell r="AH83">
            <v>28.3</v>
          </cell>
          <cell r="AI83">
            <v>28.3</v>
          </cell>
          <cell r="AJ83">
            <v>38.331961403808371</v>
          </cell>
        </row>
      </sheetData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X99"/>
  <sheetViews>
    <sheetView tabSelected="1" zoomScale="115" zoomScaleNormal="115" workbookViewId="0">
      <selection activeCell="L9" sqref="L9"/>
    </sheetView>
  </sheetViews>
  <sheetFormatPr defaultRowHeight="12.75" x14ac:dyDescent="0.2"/>
  <cols>
    <col min="2" max="2" width="10" bestFit="1" customWidth="1"/>
    <col min="9" max="9" width="9" customWidth="1"/>
    <col min="15" max="16" width="0" hidden="1" customWidth="1"/>
    <col min="17" max="17" width="16.85546875" bestFit="1" customWidth="1"/>
    <col min="18" max="18" width="2" bestFit="1" customWidth="1"/>
    <col min="19" max="20" width="12.5703125" bestFit="1" customWidth="1"/>
    <col min="21" max="21" width="8.42578125" bestFit="1" customWidth="1"/>
    <col min="22" max="22" width="9" bestFit="1" customWidth="1"/>
    <col min="23" max="23" width="0" hidden="1" customWidth="1"/>
    <col min="24" max="24" width="53" customWidth="1"/>
  </cols>
  <sheetData>
    <row r="1" spans="1:21" x14ac:dyDescent="0.2">
      <c r="A1" s="19" t="s">
        <v>13</v>
      </c>
      <c r="B1" s="20"/>
      <c r="C1" s="20"/>
      <c r="D1" s="20"/>
      <c r="E1" s="20"/>
      <c r="F1" s="20"/>
      <c r="G1" s="20"/>
      <c r="H1" s="20"/>
      <c r="I1" s="20"/>
      <c r="J1" s="21"/>
      <c r="K1" t="s">
        <v>164</v>
      </c>
      <c r="Q1" s="87" t="s">
        <v>4</v>
      </c>
      <c r="R1" s="88"/>
      <c r="S1" s="89" t="s">
        <v>48</v>
      </c>
    </row>
    <row r="2" spans="1:21" ht="15.95" customHeight="1" x14ac:dyDescent="0.2">
      <c r="A2" s="22" t="s">
        <v>10</v>
      </c>
      <c r="B2" s="23"/>
      <c r="C2" s="23"/>
      <c r="D2" s="23"/>
      <c r="E2" s="23"/>
      <c r="F2" s="24" t="s">
        <v>29</v>
      </c>
      <c r="G2" s="304" t="s">
        <v>266</v>
      </c>
      <c r="H2" s="305"/>
      <c r="I2" s="306"/>
      <c r="J2" s="27"/>
      <c r="K2" t="s">
        <v>226</v>
      </c>
      <c r="Q2" s="90" t="s">
        <v>11</v>
      </c>
      <c r="R2" s="91">
        <v>2</v>
      </c>
      <c r="S2" s="92">
        <f>IF(R2=1,C4*101325,IF(R2=2,101325+100*C4,IF(R2=3,101325+9.81*C4,101325+C4)))</f>
        <v>98325</v>
      </c>
      <c r="T2" t="str">
        <f>IF(R2=1,"[bar(abs)]",IF(R2=2,"[mbar(g)]",IF(R2=3,"[mm wk(g)]","[Pa (g)]")))</f>
        <v>[mbar(g)]</v>
      </c>
    </row>
    <row r="3" spans="1:21" ht="15.95" customHeight="1" x14ac:dyDescent="0.2">
      <c r="A3" s="28" t="s">
        <v>7</v>
      </c>
      <c r="B3" s="23"/>
      <c r="C3" s="112">
        <v>45</v>
      </c>
      <c r="D3" s="23" t="s">
        <v>2</v>
      </c>
      <c r="E3" s="23"/>
      <c r="F3" s="29" t="s">
        <v>28</v>
      </c>
      <c r="G3" s="304"/>
      <c r="H3" s="305"/>
      <c r="I3" s="306"/>
      <c r="J3" s="27"/>
      <c r="Q3" s="90" t="s">
        <v>12</v>
      </c>
      <c r="R3" s="91"/>
      <c r="S3" s="93"/>
    </row>
    <row r="4" spans="1:21" ht="15.95" customHeight="1" x14ac:dyDescent="0.2">
      <c r="A4" s="28" t="s">
        <v>6</v>
      </c>
      <c r="B4" s="23"/>
      <c r="C4" s="112">
        <v>-30</v>
      </c>
      <c r="D4" s="23"/>
      <c r="E4" s="23"/>
      <c r="F4" s="24" t="s">
        <v>27</v>
      </c>
      <c r="G4" s="309"/>
      <c r="H4" s="305"/>
      <c r="I4" s="306"/>
      <c r="J4" s="27"/>
      <c r="Q4" s="90" t="s">
        <v>65</v>
      </c>
      <c r="R4" s="91"/>
      <c r="S4" s="93"/>
    </row>
    <row r="5" spans="1:21" ht="15.95" customHeight="1" thickBot="1" x14ac:dyDescent="0.25">
      <c r="A5" s="28" t="s">
        <v>108</v>
      </c>
      <c r="B5" s="23"/>
      <c r="C5" s="112">
        <v>58900</v>
      </c>
      <c r="D5" s="30"/>
      <c r="E5" s="30"/>
      <c r="F5" s="24" t="s">
        <v>26</v>
      </c>
      <c r="G5" s="308"/>
      <c r="H5" s="305"/>
      <c r="I5" s="306"/>
      <c r="J5" s="31"/>
      <c r="P5" s="2"/>
      <c r="Q5" s="94" t="s">
        <v>64</v>
      </c>
      <c r="R5" s="95"/>
      <c r="S5" s="96"/>
      <c r="T5" s="1"/>
    </row>
    <row r="6" spans="1:21" ht="15.95" customHeight="1" thickBot="1" x14ac:dyDescent="0.25">
      <c r="A6" s="28" t="s">
        <v>14</v>
      </c>
      <c r="B6" s="23"/>
      <c r="C6" s="276">
        <v>1073</v>
      </c>
      <c r="D6" s="30"/>
      <c r="E6" s="30"/>
      <c r="F6" s="24" t="s">
        <v>187</v>
      </c>
      <c r="G6" s="307"/>
      <c r="H6" s="305"/>
      <c r="I6" s="306"/>
      <c r="J6" s="31"/>
      <c r="P6" s="4"/>
      <c r="Q6" s="97" t="s">
        <v>52</v>
      </c>
      <c r="R6" s="98"/>
      <c r="S6" s="13">
        <f>S2/101325*273/(273+C3)</f>
        <v>0.83307263662137065</v>
      </c>
      <c r="T6" s="1"/>
    </row>
    <row r="7" spans="1:21" ht="15.95" customHeight="1" x14ac:dyDescent="0.2">
      <c r="A7" s="28" t="s">
        <v>156</v>
      </c>
      <c r="B7" s="23"/>
      <c r="C7" s="112">
        <v>0.02</v>
      </c>
      <c r="D7" s="30" t="s">
        <v>163</v>
      </c>
      <c r="E7" s="30"/>
      <c r="F7" s="23"/>
      <c r="G7" s="32"/>
      <c r="H7" s="23"/>
      <c r="I7" s="23"/>
      <c r="J7" s="27"/>
      <c r="P7" s="1"/>
      <c r="Q7" s="87" t="s">
        <v>1</v>
      </c>
      <c r="R7" s="88"/>
      <c r="S7" s="14" t="s">
        <v>55</v>
      </c>
      <c r="T7" s="1" t="s">
        <v>61</v>
      </c>
      <c r="U7" t="s">
        <v>8</v>
      </c>
    </row>
    <row r="8" spans="1:21" ht="15.95" customHeight="1" x14ac:dyDescent="0.2">
      <c r="A8" s="28" t="s">
        <v>18</v>
      </c>
      <c r="B8" s="23"/>
      <c r="C8" s="112">
        <v>1500</v>
      </c>
      <c r="D8" s="30" t="s">
        <v>19</v>
      </c>
      <c r="E8" s="30"/>
      <c r="F8" s="30"/>
      <c r="G8" s="32"/>
      <c r="H8" s="23"/>
      <c r="I8" s="23"/>
      <c r="J8" s="27"/>
      <c r="Q8" s="90" t="s">
        <v>49</v>
      </c>
      <c r="R8" s="91">
        <v>2</v>
      </c>
      <c r="S8" s="10">
        <f>IF(R8=1,1,IF(R8=2,3600,IF(R8=3,S6,S6*3600)))</f>
        <v>3600</v>
      </c>
      <c r="T8" s="4">
        <f>C5/S8</f>
        <v>16.361111111111111</v>
      </c>
      <c r="U8" s="65">
        <f>S6*T8</f>
        <v>13.629993971388537</v>
      </c>
    </row>
    <row r="9" spans="1:21" ht="15.95" customHeight="1" x14ac:dyDescent="0.2">
      <c r="A9" s="28" t="s">
        <v>20</v>
      </c>
      <c r="B9" s="23"/>
      <c r="C9" s="112">
        <v>77</v>
      </c>
      <c r="D9" s="30"/>
      <c r="E9" s="30"/>
      <c r="F9" s="30"/>
      <c r="G9" s="32"/>
      <c r="H9" s="23"/>
      <c r="I9" s="23"/>
      <c r="J9" s="27"/>
      <c r="Q9" s="90" t="s">
        <v>50</v>
      </c>
      <c r="R9" s="91"/>
      <c r="S9" s="15"/>
      <c r="T9" s="4"/>
    </row>
    <row r="10" spans="1:21" ht="15.95" customHeight="1" x14ac:dyDescent="0.2">
      <c r="A10" s="28" t="s">
        <v>24</v>
      </c>
      <c r="B10" s="23"/>
      <c r="C10" s="33" t="s">
        <v>25</v>
      </c>
      <c r="D10" s="30"/>
      <c r="E10" s="30"/>
      <c r="F10" s="30"/>
      <c r="G10" s="30"/>
      <c r="H10" s="23"/>
      <c r="I10" s="23"/>
      <c r="J10" s="27"/>
      <c r="Q10" s="90" t="s">
        <v>8</v>
      </c>
      <c r="R10" s="91"/>
      <c r="S10" s="15"/>
      <c r="T10" s="4"/>
    </row>
    <row r="11" spans="1:21" ht="15.95" customHeight="1" thickBot="1" x14ac:dyDescent="0.25">
      <c r="A11" s="28" t="s">
        <v>30</v>
      </c>
      <c r="B11" s="23"/>
      <c r="C11" s="112">
        <v>6</v>
      </c>
      <c r="D11" s="32" t="s">
        <v>31</v>
      </c>
      <c r="E11" s="34"/>
      <c r="F11" s="35"/>
      <c r="G11" s="32"/>
      <c r="H11" s="23"/>
      <c r="I11" s="23"/>
      <c r="J11" s="27"/>
      <c r="Q11" s="94" t="s">
        <v>9</v>
      </c>
      <c r="R11" s="95"/>
      <c r="S11" s="16"/>
      <c r="T11" s="4"/>
    </row>
    <row r="12" spans="1:21" ht="15.95" customHeight="1" x14ac:dyDescent="0.2">
      <c r="A12" s="28" t="s">
        <v>32</v>
      </c>
      <c r="B12" s="23"/>
      <c r="C12" s="112">
        <v>20</v>
      </c>
      <c r="D12" s="30" t="s">
        <v>3</v>
      </c>
      <c r="E12" s="30"/>
      <c r="F12" s="35"/>
      <c r="G12" s="32"/>
      <c r="H12" s="23"/>
      <c r="I12" s="23"/>
      <c r="J12" s="27"/>
      <c r="P12" s="2"/>
      <c r="Q12" s="99"/>
      <c r="R12" s="88"/>
      <c r="S12" s="14"/>
      <c r="T12" s="4"/>
    </row>
    <row r="13" spans="1:21" ht="15.95" customHeight="1" x14ac:dyDescent="0.2">
      <c r="A13" s="28" t="s">
        <v>33</v>
      </c>
      <c r="B13" s="23"/>
      <c r="C13" s="48">
        <f>SQRT(T8/Berekening!K24/Berekening!K25/C12/C11)*1000</f>
        <v>1212.2987433916385</v>
      </c>
      <c r="D13" s="30" t="s">
        <v>0</v>
      </c>
      <c r="E13" s="30"/>
      <c r="F13" s="30"/>
      <c r="G13" s="30"/>
      <c r="H13" s="23"/>
      <c r="I13" s="23"/>
      <c r="J13" s="27"/>
      <c r="P13" s="4"/>
      <c r="Q13" s="100" t="s">
        <v>15</v>
      </c>
      <c r="R13" s="101"/>
      <c r="S13" s="50" t="s">
        <v>17</v>
      </c>
      <c r="T13" s="4" t="s">
        <v>16</v>
      </c>
    </row>
    <row r="14" spans="1:21" ht="15.95" customHeight="1" x14ac:dyDescent="0.2">
      <c r="A14" s="28" t="s">
        <v>34</v>
      </c>
      <c r="B14" s="23"/>
      <c r="C14" s="112">
        <v>1250</v>
      </c>
      <c r="D14" s="30" t="s">
        <v>0</v>
      </c>
      <c r="E14" s="30"/>
      <c r="F14" s="30"/>
      <c r="G14" s="30"/>
      <c r="H14" s="23"/>
      <c r="I14" s="23"/>
      <c r="J14" s="27"/>
      <c r="P14" s="3"/>
      <c r="Q14" s="90" t="s">
        <v>16</v>
      </c>
      <c r="R14" s="91">
        <v>2</v>
      </c>
      <c r="S14" s="69">
        <f>IF(R14=1,C6*S6,C6)</f>
        <v>1073</v>
      </c>
      <c r="T14" s="4">
        <f>S14/S6</f>
        <v>1288.0029337557942</v>
      </c>
    </row>
    <row r="15" spans="1:21" ht="15.95" customHeight="1" thickBot="1" x14ac:dyDescent="0.25">
      <c r="A15" s="28"/>
      <c r="B15" s="23"/>
      <c r="C15" s="23"/>
      <c r="D15" s="23"/>
      <c r="E15" s="30"/>
      <c r="F15" s="30"/>
      <c r="G15" s="32"/>
      <c r="H15" s="23"/>
      <c r="I15" s="23"/>
      <c r="J15" s="27"/>
      <c r="Q15" s="102" t="s">
        <v>17</v>
      </c>
      <c r="R15" s="103"/>
      <c r="S15" s="16"/>
      <c r="T15" s="1"/>
    </row>
    <row r="16" spans="1:21" ht="15.95" customHeight="1" x14ac:dyDescent="0.2">
      <c r="A16" s="28" t="s">
        <v>35</v>
      </c>
      <c r="B16" s="23"/>
      <c r="C16" s="23"/>
      <c r="D16" s="30"/>
      <c r="E16" s="30"/>
      <c r="F16" s="30"/>
      <c r="G16" s="30"/>
      <c r="H16" s="23"/>
      <c r="I16" s="23"/>
      <c r="J16" s="27"/>
      <c r="Q16" s="104"/>
      <c r="R16" s="91"/>
      <c r="S16" s="4"/>
      <c r="T16" s="1"/>
    </row>
    <row r="17" spans="1:22" ht="15.95" customHeight="1" x14ac:dyDescent="0.3">
      <c r="A17" s="28" t="s">
        <v>159</v>
      </c>
      <c r="B17" s="23"/>
      <c r="C17" s="112">
        <v>1</v>
      </c>
      <c r="D17" s="79" t="s">
        <v>162</v>
      </c>
      <c r="E17" s="30"/>
      <c r="F17" s="30"/>
      <c r="G17" s="30"/>
      <c r="H17" s="23"/>
      <c r="I17" s="23"/>
      <c r="J17" s="27"/>
      <c r="Q17" s="105" t="s">
        <v>21</v>
      </c>
      <c r="R17" s="91"/>
      <c r="S17" s="1" t="s">
        <v>107</v>
      </c>
      <c r="T17" t="s">
        <v>161</v>
      </c>
      <c r="U17" s="1" t="s">
        <v>17</v>
      </c>
      <c r="V17" t="s">
        <v>16</v>
      </c>
    </row>
    <row r="18" spans="1:22" ht="15.95" customHeight="1" x14ac:dyDescent="0.2">
      <c r="A18" s="28" t="s">
        <v>254</v>
      </c>
      <c r="B18" s="23"/>
      <c r="C18" s="23"/>
      <c r="D18" s="36"/>
      <c r="E18" s="30"/>
      <c r="F18" s="30" t="s">
        <v>152</v>
      </c>
      <c r="G18" s="77"/>
      <c r="H18" s="23"/>
      <c r="I18" s="23"/>
      <c r="J18" s="27"/>
      <c r="Q18" s="104" t="s">
        <v>22</v>
      </c>
      <c r="R18" s="91">
        <v>1</v>
      </c>
      <c r="S18" s="80">
        <f>IF(R18=1,1/1000*T8,IF(R18=2,U8/1000,IF(R18=3,T8,IF(R18=4,U8,1/3600))))</f>
        <v>1.6361111111111111E-2</v>
      </c>
      <c r="T18" s="82">
        <f>C9*S18</f>
        <v>1.2598055555555556</v>
      </c>
      <c r="U18" s="81">
        <f>T18/T8</f>
        <v>7.7000000000000013E-2</v>
      </c>
      <c r="V18" s="82">
        <f>T18/U8</f>
        <v>9.2428915097107323E-2</v>
      </c>
    </row>
    <row r="19" spans="1:22" ht="15.95" customHeight="1" x14ac:dyDescent="0.2">
      <c r="A19" s="28"/>
      <c r="B19" s="23"/>
      <c r="C19" s="23"/>
      <c r="D19" s="30"/>
      <c r="E19" s="76"/>
      <c r="F19" s="30"/>
      <c r="G19" s="77"/>
      <c r="H19" s="23"/>
      <c r="I19" s="23"/>
      <c r="J19" s="27"/>
      <c r="P19" s="2"/>
      <c r="Q19" s="104" t="s">
        <v>23</v>
      </c>
      <c r="R19" s="91"/>
      <c r="S19" s="1"/>
      <c r="T19" s="3"/>
    </row>
    <row r="20" spans="1:22" ht="15.95" customHeight="1" x14ac:dyDescent="0.2">
      <c r="A20" s="28" t="s">
        <v>87</v>
      </c>
      <c r="B20" s="23"/>
      <c r="C20" s="23"/>
      <c r="D20" s="30"/>
      <c r="E20" s="30"/>
      <c r="F20" s="77"/>
      <c r="G20" s="30"/>
      <c r="H20" s="30"/>
      <c r="I20" s="23"/>
      <c r="J20" s="27"/>
      <c r="P20" s="4"/>
      <c r="Q20" s="104" t="s">
        <v>17</v>
      </c>
      <c r="R20" s="91"/>
      <c r="S20" s="1"/>
      <c r="T20" s="3"/>
    </row>
    <row r="21" spans="1:22" ht="15.95" customHeight="1" x14ac:dyDescent="0.2">
      <c r="A21" s="28" t="s">
        <v>42</v>
      </c>
      <c r="B21" s="47">
        <f>Berekening!R24</f>
        <v>18.811753513330512</v>
      </c>
      <c r="C21" s="23" t="s">
        <v>3</v>
      </c>
      <c r="D21" s="30"/>
      <c r="E21" s="30" t="s">
        <v>44</v>
      </c>
      <c r="F21" s="30">
        <f>OUTPUT!D16</f>
        <v>99.195440413818801</v>
      </c>
      <c r="G21" s="30" t="s">
        <v>5</v>
      </c>
      <c r="H21" s="23"/>
      <c r="I21" s="23"/>
      <c r="J21" s="27"/>
      <c r="P21" s="4"/>
      <c r="Q21" s="91" t="s">
        <v>16</v>
      </c>
      <c r="R21" s="106"/>
      <c r="S21" s="1"/>
      <c r="T21" s="3"/>
    </row>
    <row r="22" spans="1:22" ht="15.95" customHeight="1" x14ac:dyDescent="0.2">
      <c r="A22" s="28" t="s">
        <v>43</v>
      </c>
      <c r="B22" s="47">
        <f>Berekening!R25</f>
        <v>23.576258534984305</v>
      </c>
      <c r="C22" s="23" t="s">
        <v>3</v>
      </c>
      <c r="D22" s="30"/>
      <c r="E22" s="30" t="s">
        <v>45</v>
      </c>
      <c r="F22" s="36">
        <f>OUTPUT!D20</f>
        <v>1803648.4415278442</v>
      </c>
      <c r="G22" s="30" t="s">
        <v>88</v>
      </c>
      <c r="H22" s="23"/>
      <c r="I22" s="23"/>
      <c r="J22" s="27"/>
      <c r="Q22" s="107" t="s">
        <v>60</v>
      </c>
      <c r="R22" s="108"/>
      <c r="S22" s="1"/>
      <c r="T22" s="3"/>
    </row>
    <row r="23" spans="1:22" ht="15.95" customHeight="1" x14ac:dyDescent="0.2">
      <c r="A23" s="28" t="s">
        <v>228</v>
      </c>
      <c r="B23" s="23">
        <f>Berekening!B51</f>
        <v>1.2515420236609607</v>
      </c>
      <c r="C23" s="23"/>
      <c r="D23" s="30"/>
      <c r="E23" s="49" t="s">
        <v>45</v>
      </c>
      <c r="F23" s="36">
        <f>OUTPUT!D21</f>
        <v>1171801.9138010372</v>
      </c>
      <c r="G23" s="49" t="s">
        <v>89</v>
      </c>
      <c r="H23" s="23"/>
      <c r="I23" s="23"/>
      <c r="J23" s="27"/>
      <c r="Q23" s="105" t="s">
        <v>24</v>
      </c>
      <c r="R23" s="91"/>
      <c r="S23" s="40"/>
      <c r="T23" s="3"/>
    </row>
    <row r="24" spans="1:22" ht="15.95" customHeight="1" x14ac:dyDescent="0.2">
      <c r="A24" s="28"/>
      <c r="B24" s="23"/>
      <c r="C24" s="23"/>
      <c r="D24" s="23"/>
      <c r="E24" s="30" t="s">
        <v>46</v>
      </c>
      <c r="F24" s="263">
        <f>OUTPUT!D17</f>
        <v>0.61951088135952415</v>
      </c>
      <c r="G24" s="30" t="s">
        <v>121</v>
      </c>
      <c r="H24" s="263">
        <f>OUTPUT!D18</f>
        <v>0.7436456968170595</v>
      </c>
      <c r="I24" s="23" t="s">
        <v>47</v>
      </c>
      <c r="J24" s="27" t="s">
        <v>59</v>
      </c>
      <c r="Q24" s="104">
        <v>300</v>
      </c>
      <c r="R24" s="91">
        <v>6</v>
      </c>
      <c r="S24" s="40"/>
      <c r="T24" s="3"/>
    </row>
    <row r="25" spans="1:22" ht="15.95" customHeight="1" x14ac:dyDescent="0.2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53"/>
      <c r="Q25" s="104">
        <v>350</v>
      </c>
      <c r="R25" s="91"/>
      <c r="S25" s="6"/>
    </row>
    <row r="26" spans="1:22" ht="15.95" customHeight="1" x14ac:dyDescent="0.2">
      <c r="A26" s="28"/>
      <c r="B26" s="23"/>
      <c r="C26" s="23"/>
      <c r="D26" s="23"/>
      <c r="E26" s="23"/>
      <c r="F26" s="23"/>
      <c r="G26" s="23"/>
      <c r="H26" s="264"/>
      <c r="I26" s="262"/>
      <c r="J26" s="31"/>
      <c r="P26" s="2"/>
      <c r="Q26" s="104">
        <v>435</v>
      </c>
      <c r="R26" s="91"/>
      <c r="S26" s="6"/>
    </row>
    <row r="27" spans="1:22" ht="15.95" customHeight="1" x14ac:dyDescent="0.2">
      <c r="A27" s="25" t="s">
        <v>39</v>
      </c>
      <c r="B27" s="254"/>
      <c r="C27" s="26"/>
      <c r="D27" s="78" t="s">
        <v>255</v>
      </c>
      <c r="E27" s="23"/>
      <c r="F27" s="30"/>
      <c r="G27" s="23"/>
      <c r="H27" s="30"/>
      <c r="I27" s="30"/>
      <c r="J27" s="31"/>
      <c r="P27" s="4"/>
      <c r="Q27" s="91">
        <v>550</v>
      </c>
      <c r="R27" s="106"/>
      <c r="S27" s="6"/>
    </row>
    <row r="28" spans="1:22" ht="15.95" customHeight="1" x14ac:dyDescent="0.2">
      <c r="A28" s="251" t="s">
        <v>40</v>
      </c>
      <c r="B28" s="252" t="s">
        <v>41</v>
      </c>
      <c r="C28" s="251" t="s">
        <v>101</v>
      </c>
      <c r="D28" s="78" t="s">
        <v>53</v>
      </c>
      <c r="E28" s="23"/>
      <c r="F28" s="23"/>
      <c r="G28" s="23"/>
      <c r="H28" s="23"/>
      <c r="I28" s="23"/>
      <c r="J28" s="27"/>
      <c r="Q28" s="91">
        <v>750</v>
      </c>
      <c r="R28" s="109"/>
      <c r="S28" s="6"/>
    </row>
    <row r="29" spans="1:22" ht="15.95" customHeight="1" x14ac:dyDescent="0.2">
      <c r="A29" s="240">
        <v>10</v>
      </c>
      <c r="B29" s="257">
        <v>99.2</v>
      </c>
      <c r="C29" s="260">
        <v>1</v>
      </c>
      <c r="D29" s="78" t="s">
        <v>265</v>
      </c>
      <c r="E29" s="261"/>
      <c r="F29" s="23"/>
      <c r="G29" s="23"/>
      <c r="H29" s="23"/>
      <c r="I29" s="30"/>
      <c r="J29" s="31"/>
      <c r="P29" s="4"/>
      <c r="Q29" s="91">
        <v>850</v>
      </c>
      <c r="R29" s="91"/>
      <c r="S29" s="6"/>
    </row>
    <row r="30" spans="1:22" ht="15.95" customHeight="1" x14ac:dyDescent="0.2">
      <c r="A30" s="241">
        <v>15</v>
      </c>
      <c r="B30" s="242">
        <v>85.2</v>
      </c>
      <c r="C30" s="27">
        <f>C29+1</f>
        <v>2</v>
      </c>
      <c r="D30" s="23"/>
      <c r="E30" s="23"/>
      <c r="F30" s="23"/>
      <c r="G30" s="23"/>
      <c r="H30" s="23"/>
      <c r="I30" s="23"/>
      <c r="J30" s="27"/>
      <c r="Q30" s="110" t="s">
        <v>62</v>
      </c>
      <c r="R30" s="108"/>
      <c r="S30" s="6"/>
    </row>
    <row r="31" spans="1:22" ht="15.95" customHeight="1" x14ac:dyDescent="0.2">
      <c r="A31" s="241">
        <v>20</v>
      </c>
      <c r="B31" s="242">
        <v>57.5</v>
      </c>
      <c r="C31" s="27">
        <f t="shared" ref="C31:C94" si="0">C30+1</f>
        <v>3</v>
      </c>
      <c r="D31" s="23"/>
      <c r="E31" s="23"/>
      <c r="F31" s="23"/>
      <c r="G31" s="23"/>
      <c r="H31" s="23"/>
      <c r="I31" s="23"/>
      <c r="J31" s="27"/>
      <c r="Q31" s="110">
        <v>1850</v>
      </c>
      <c r="R31" s="110"/>
    </row>
    <row r="32" spans="1:22" ht="15.95" customHeight="1" x14ac:dyDescent="0.2">
      <c r="A32" s="241">
        <v>30</v>
      </c>
      <c r="B32" s="242">
        <v>15.4</v>
      </c>
      <c r="C32" s="27">
        <f t="shared" si="0"/>
        <v>4</v>
      </c>
      <c r="D32" s="23"/>
      <c r="E32" s="23"/>
      <c r="F32" s="23"/>
      <c r="G32" s="23"/>
      <c r="H32" s="23"/>
      <c r="I32" s="23"/>
      <c r="J32" s="27"/>
      <c r="Q32" s="108" t="s">
        <v>63</v>
      </c>
      <c r="R32" s="110"/>
    </row>
    <row r="33" spans="1:24" ht="15.95" customHeight="1" thickBot="1" x14ac:dyDescent="0.25">
      <c r="A33" s="241">
        <v>40</v>
      </c>
      <c r="B33" s="242">
        <v>10</v>
      </c>
      <c r="C33" s="27">
        <f t="shared" si="0"/>
        <v>5</v>
      </c>
      <c r="D33" s="23"/>
      <c r="E33" s="23"/>
      <c r="F33" s="23"/>
      <c r="G33" s="23"/>
      <c r="H33" s="23"/>
      <c r="I33" s="23"/>
      <c r="J33" s="27"/>
      <c r="Q33" s="110"/>
      <c r="R33" s="110"/>
      <c r="X33" s="42"/>
    </row>
    <row r="34" spans="1:24" ht="15.95" customHeight="1" x14ac:dyDescent="0.2">
      <c r="A34" s="241">
        <v>50</v>
      </c>
      <c r="B34" s="242">
        <v>6.7</v>
      </c>
      <c r="C34" s="27">
        <f t="shared" si="0"/>
        <v>6</v>
      </c>
      <c r="D34" s="23"/>
      <c r="E34" s="23"/>
      <c r="F34" s="23"/>
      <c r="G34" s="23"/>
      <c r="H34" s="23"/>
      <c r="I34" s="262"/>
      <c r="J34" s="31"/>
      <c r="P34" s="2"/>
      <c r="Q34" s="87" t="s">
        <v>36</v>
      </c>
      <c r="R34" s="88"/>
      <c r="S34" s="11"/>
      <c r="U34" s="42"/>
    </row>
    <row r="35" spans="1:24" ht="15.95" customHeight="1" x14ac:dyDescent="0.2">
      <c r="A35" s="241">
        <v>60</v>
      </c>
      <c r="B35" s="242">
        <v>4.5</v>
      </c>
      <c r="C35" s="27">
        <f t="shared" si="0"/>
        <v>7</v>
      </c>
      <c r="D35" s="23"/>
      <c r="E35" s="23"/>
      <c r="F35" s="23"/>
      <c r="G35" s="23"/>
      <c r="H35" s="23"/>
      <c r="I35" s="30"/>
      <c r="J35" s="31"/>
      <c r="P35" s="4"/>
      <c r="Q35" s="90" t="s">
        <v>37</v>
      </c>
      <c r="R35" s="91">
        <v>2</v>
      </c>
      <c r="S35" s="12"/>
      <c r="T35" t="str">
        <f>IF(R35=1,"NA","Y")</f>
        <v>Y</v>
      </c>
      <c r="U35" s="42"/>
      <c r="X35" s="41"/>
    </row>
    <row r="36" spans="1:24" ht="15.95" customHeight="1" thickBot="1" x14ac:dyDescent="0.25">
      <c r="A36" s="241">
        <v>80</v>
      </c>
      <c r="B36" s="242">
        <v>2</v>
      </c>
      <c r="C36" s="27">
        <f t="shared" si="0"/>
        <v>8</v>
      </c>
      <c r="D36" s="23"/>
      <c r="E36" s="23"/>
      <c r="F36" s="23"/>
      <c r="G36" s="23"/>
      <c r="H36" s="23"/>
      <c r="I36" s="23"/>
      <c r="J36" s="27"/>
      <c r="Q36" s="111" t="s">
        <v>38</v>
      </c>
      <c r="R36" s="103"/>
      <c r="S36" s="17"/>
      <c r="U36" s="42"/>
      <c r="X36" s="42"/>
    </row>
    <row r="37" spans="1:24" ht="15.95" customHeight="1" x14ac:dyDescent="0.2">
      <c r="A37" s="241"/>
      <c r="B37" s="242"/>
      <c r="C37" s="27">
        <f t="shared" si="0"/>
        <v>9</v>
      </c>
      <c r="D37" s="23"/>
      <c r="E37" s="23"/>
      <c r="F37" s="23"/>
      <c r="G37" s="23"/>
      <c r="H37" s="23"/>
      <c r="I37" s="30"/>
      <c r="J37" s="31"/>
      <c r="P37" s="4"/>
      <c r="Q37" s="7"/>
      <c r="R37" s="6"/>
      <c r="U37" s="42"/>
      <c r="X37" s="42"/>
    </row>
    <row r="38" spans="1:24" ht="15.95" customHeight="1" x14ac:dyDescent="0.2">
      <c r="A38" s="241"/>
      <c r="B38" s="242"/>
      <c r="C38" s="27">
        <f t="shared" si="0"/>
        <v>10</v>
      </c>
      <c r="D38" s="23"/>
      <c r="E38" s="23"/>
      <c r="F38" s="23"/>
      <c r="G38" s="23"/>
      <c r="H38" s="23"/>
      <c r="I38" s="23"/>
      <c r="J38" s="27"/>
      <c r="Q38" s="18"/>
      <c r="R38" s="6"/>
      <c r="S38" s="6"/>
      <c r="T38" s="6"/>
      <c r="U38" s="42"/>
      <c r="X38" s="42"/>
    </row>
    <row r="39" spans="1:24" ht="15.95" customHeight="1" x14ac:dyDescent="0.2">
      <c r="A39" s="241"/>
      <c r="B39" s="242"/>
      <c r="C39" s="27">
        <f t="shared" si="0"/>
        <v>11</v>
      </c>
      <c r="D39" s="23"/>
      <c r="E39" s="23"/>
      <c r="F39" s="23"/>
      <c r="G39" s="23"/>
      <c r="H39" s="23"/>
      <c r="I39" s="23"/>
      <c r="J39" s="27"/>
      <c r="Q39" s="7"/>
      <c r="R39" s="6"/>
      <c r="S39" s="6"/>
      <c r="T39" s="6"/>
      <c r="U39" s="57"/>
      <c r="X39" s="57"/>
    </row>
    <row r="40" spans="1:24" ht="15.95" customHeight="1" x14ac:dyDescent="0.2">
      <c r="A40" s="241"/>
      <c r="B40" s="242"/>
      <c r="C40" s="27">
        <f t="shared" si="0"/>
        <v>12</v>
      </c>
      <c r="D40" s="23"/>
      <c r="E40" s="23"/>
      <c r="F40" s="23"/>
      <c r="G40" s="23"/>
      <c r="H40" s="23"/>
      <c r="I40" s="23"/>
      <c r="J40" s="27"/>
      <c r="Q40" s="7"/>
      <c r="R40" s="6"/>
      <c r="S40" s="6"/>
      <c r="T40" s="6"/>
    </row>
    <row r="41" spans="1:24" ht="15.95" customHeight="1" x14ac:dyDescent="0.2">
      <c r="A41" s="241"/>
      <c r="B41" s="242"/>
      <c r="C41" s="27">
        <f t="shared" si="0"/>
        <v>13</v>
      </c>
      <c r="D41" s="23"/>
      <c r="E41" s="23"/>
      <c r="F41" s="23"/>
      <c r="G41" s="23"/>
      <c r="H41" s="23"/>
      <c r="I41" s="23"/>
      <c r="J41" s="27"/>
    </row>
    <row r="42" spans="1:24" ht="15.95" customHeight="1" x14ac:dyDescent="0.2">
      <c r="A42" s="241"/>
      <c r="B42" s="242"/>
      <c r="C42" s="27">
        <f t="shared" si="0"/>
        <v>14</v>
      </c>
      <c r="D42" s="23"/>
      <c r="E42" s="23"/>
      <c r="F42" s="23"/>
      <c r="G42" s="23"/>
      <c r="H42" s="23"/>
      <c r="I42" s="262"/>
      <c r="J42" s="31"/>
    </row>
    <row r="43" spans="1:24" ht="15.95" customHeight="1" x14ac:dyDescent="0.2">
      <c r="A43" s="241"/>
      <c r="B43" s="242"/>
      <c r="C43" s="27">
        <f t="shared" si="0"/>
        <v>15</v>
      </c>
      <c r="D43" s="23"/>
      <c r="E43" s="23"/>
      <c r="F43" s="23"/>
      <c r="G43" s="23"/>
      <c r="H43" s="23"/>
      <c r="I43" s="30"/>
      <c r="J43" s="31"/>
      <c r="M43" s="1"/>
      <c r="Q43" s="6"/>
      <c r="R43" s="6"/>
      <c r="S43" s="6"/>
    </row>
    <row r="44" spans="1:24" ht="15.95" customHeight="1" x14ac:dyDescent="0.2">
      <c r="A44" s="241"/>
      <c r="B44" s="242"/>
      <c r="C44" s="27">
        <f t="shared" si="0"/>
        <v>16</v>
      </c>
      <c r="D44" s="23"/>
      <c r="E44" s="23"/>
      <c r="F44" s="23"/>
      <c r="G44" s="23"/>
      <c r="H44" s="23"/>
      <c r="I44" s="23"/>
      <c r="J44" s="27"/>
      <c r="Q44" s="6"/>
      <c r="R44" s="6"/>
      <c r="S44" s="6"/>
    </row>
    <row r="45" spans="1:24" ht="15.95" customHeight="1" x14ac:dyDescent="0.2">
      <c r="A45" s="241"/>
      <c r="B45" s="242"/>
      <c r="C45" s="27">
        <f t="shared" si="0"/>
        <v>17</v>
      </c>
      <c r="D45" s="23"/>
      <c r="E45" s="23"/>
      <c r="F45" s="23"/>
      <c r="G45" s="23"/>
      <c r="H45" s="23"/>
      <c r="I45" s="23"/>
      <c r="J45" s="27"/>
      <c r="Q45" s="6"/>
      <c r="R45" s="6"/>
      <c r="S45" s="6"/>
    </row>
    <row r="46" spans="1:24" ht="15.95" customHeight="1" x14ac:dyDescent="0.2">
      <c r="A46" s="241"/>
      <c r="B46" s="242"/>
      <c r="C46" s="27">
        <f t="shared" si="0"/>
        <v>18</v>
      </c>
      <c r="D46" s="23"/>
      <c r="E46" s="23"/>
      <c r="F46" s="23"/>
      <c r="G46" s="23"/>
      <c r="H46" s="23"/>
      <c r="I46" s="23"/>
      <c r="J46" s="27"/>
    </row>
    <row r="47" spans="1:24" x14ac:dyDescent="0.2">
      <c r="A47" s="241"/>
      <c r="B47" s="242"/>
      <c r="C47" s="27">
        <f t="shared" si="0"/>
        <v>19</v>
      </c>
      <c r="D47" s="23"/>
      <c r="E47" s="23"/>
      <c r="F47" s="23"/>
      <c r="G47" s="23"/>
      <c r="H47" s="23"/>
      <c r="I47" s="23"/>
      <c r="J47" s="27"/>
    </row>
    <row r="48" spans="1:24" x14ac:dyDescent="0.2">
      <c r="A48" s="241"/>
      <c r="B48" s="242"/>
      <c r="C48" s="27">
        <f t="shared" si="0"/>
        <v>20</v>
      </c>
      <c r="D48" s="23"/>
      <c r="E48" s="23"/>
      <c r="F48" s="23"/>
      <c r="G48" s="23"/>
      <c r="H48" s="23"/>
      <c r="I48" s="262"/>
      <c r="J48" s="31"/>
    </row>
    <row r="49" spans="1:10" x14ac:dyDescent="0.2">
      <c r="A49" s="241"/>
      <c r="B49" s="242"/>
      <c r="C49" s="27">
        <f t="shared" si="0"/>
        <v>21</v>
      </c>
      <c r="D49" s="23"/>
      <c r="E49" s="23"/>
      <c r="F49" s="23"/>
      <c r="G49" s="23"/>
      <c r="H49" s="23"/>
      <c r="I49" s="30"/>
      <c r="J49" s="31"/>
    </row>
    <row r="50" spans="1:10" x14ac:dyDescent="0.2">
      <c r="A50" s="241"/>
      <c r="B50" s="242"/>
      <c r="C50" s="27">
        <f t="shared" si="0"/>
        <v>22</v>
      </c>
      <c r="D50" s="23"/>
      <c r="E50" s="23"/>
      <c r="F50" s="23"/>
      <c r="G50" s="23"/>
      <c r="H50" s="23"/>
      <c r="I50" s="23"/>
      <c r="J50" s="27"/>
    </row>
    <row r="51" spans="1:10" x14ac:dyDescent="0.2">
      <c r="A51" s="241"/>
      <c r="B51" s="242"/>
      <c r="C51" s="27">
        <f t="shared" si="0"/>
        <v>23</v>
      </c>
      <c r="D51" s="23"/>
      <c r="E51" s="23"/>
      <c r="F51" s="23"/>
      <c r="G51" s="23"/>
      <c r="H51" s="23"/>
      <c r="I51" s="23"/>
      <c r="J51" s="27"/>
    </row>
    <row r="52" spans="1:10" x14ac:dyDescent="0.2">
      <c r="A52" s="241"/>
      <c r="B52" s="242"/>
      <c r="C52" s="27">
        <f t="shared" si="0"/>
        <v>24</v>
      </c>
      <c r="D52" s="23"/>
      <c r="E52" s="23"/>
      <c r="F52" s="23"/>
      <c r="G52" s="23"/>
      <c r="H52" s="23"/>
      <c r="I52" s="23"/>
      <c r="J52" s="27"/>
    </row>
    <row r="53" spans="1:10" x14ac:dyDescent="0.2">
      <c r="A53" s="241"/>
      <c r="B53" s="242"/>
      <c r="C53" s="27">
        <f t="shared" si="0"/>
        <v>25</v>
      </c>
      <c r="D53" s="23"/>
      <c r="E53" s="23"/>
      <c r="F53" s="23"/>
      <c r="G53" s="23"/>
      <c r="H53" s="23"/>
      <c r="I53" s="23"/>
      <c r="J53" s="27"/>
    </row>
    <row r="54" spans="1:10" x14ac:dyDescent="0.2">
      <c r="A54" s="241"/>
      <c r="B54" s="242"/>
      <c r="C54" s="27">
        <f t="shared" si="0"/>
        <v>26</v>
      </c>
      <c r="D54" s="23"/>
      <c r="E54" s="23"/>
      <c r="F54" s="23"/>
      <c r="G54" s="23"/>
      <c r="H54" s="23"/>
      <c r="I54" s="23"/>
      <c r="J54" s="27"/>
    </row>
    <row r="55" spans="1:10" x14ac:dyDescent="0.2">
      <c r="A55" s="241"/>
      <c r="B55" s="242"/>
      <c r="C55" s="27">
        <f t="shared" si="0"/>
        <v>27</v>
      </c>
      <c r="D55" s="23"/>
      <c r="E55" s="23"/>
      <c r="F55" s="23"/>
      <c r="G55" s="23"/>
      <c r="H55" s="23"/>
      <c r="I55" s="23"/>
      <c r="J55" s="27"/>
    </row>
    <row r="56" spans="1:10" x14ac:dyDescent="0.2">
      <c r="A56" s="241"/>
      <c r="B56" s="242"/>
      <c r="C56" s="27">
        <f t="shared" si="0"/>
        <v>28</v>
      </c>
      <c r="D56" s="23"/>
      <c r="E56" s="23"/>
      <c r="F56" s="23"/>
      <c r="G56" s="23"/>
      <c r="H56" s="23"/>
      <c r="I56" s="23"/>
      <c r="J56" s="27"/>
    </row>
    <row r="57" spans="1:10" x14ac:dyDescent="0.2">
      <c r="A57" s="241"/>
      <c r="B57" s="242"/>
      <c r="C57" s="27">
        <f t="shared" si="0"/>
        <v>29</v>
      </c>
      <c r="D57" s="23"/>
      <c r="E57" s="23"/>
      <c r="F57" s="23"/>
      <c r="G57" s="23"/>
      <c r="H57" s="23"/>
      <c r="I57" s="23"/>
      <c r="J57" s="27"/>
    </row>
    <row r="58" spans="1:10" x14ac:dyDescent="0.2">
      <c r="A58" s="241"/>
      <c r="B58" s="242"/>
      <c r="C58" s="27">
        <f t="shared" si="0"/>
        <v>30</v>
      </c>
      <c r="D58" s="23"/>
      <c r="E58" s="23"/>
      <c r="F58" s="23"/>
      <c r="G58" s="23"/>
      <c r="H58" s="23"/>
      <c r="I58" s="23"/>
      <c r="J58" s="27"/>
    </row>
    <row r="59" spans="1:10" x14ac:dyDescent="0.2">
      <c r="A59" s="241"/>
      <c r="B59" s="242"/>
      <c r="C59" s="27">
        <f t="shared" si="0"/>
        <v>31</v>
      </c>
      <c r="D59" s="23"/>
      <c r="E59" s="23"/>
      <c r="F59" s="23"/>
      <c r="G59" s="23"/>
      <c r="H59" s="23"/>
      <c r="I59" s="23"/>
      <c r="J59" s="27"/>
    </row>
    <row r="60" spans="1:10" x14ac:dyDescent="0.2">
      <c r="A60" s="241"/>
      <c r="B60" s="242"/>
      <c r="C60" s="27">
        <f t="shared" si="0"/>
        <v>32</v>
      </c>
      <c r="D60" s="23"/>
      <c r="E60" s="23"/>
      <c r="F60" s="23"/>
      <c r="G60" s="23"/>
      <c r="H60" s="23"/>
      <c r="I60" s="23"/>
      <c r="J60" s="27"/>
    </row>
    <row r="61" spans="1:10" x14ac:dyDescent="0.2">
      <c r="A61" s="241"/>
      <c r="B61" s="242"/>
      <c r="C61" s="27">
        <f t="shared" si="0"/>
        <v>33</v>
      </c>
      <c r="D61" s="23"/>
      <c r="E61" s="23"/>
      <c r="F61" s="23"/>
      <c r="G61" s="23"/>
      <c r="H61" s="23"/>
      <c r="I61" s="23"/>
      <c r="J61" s="27"/>
    </row>
    <row r="62" spans="1:10" x14ac:dyDescent="0.2">
      <c r="A62" s="241"/>
      <c r="B62" s="242"/>
      <c r="C62" s="27">
        <f t="shared" si="0"/>
        <v>34</v>
      </c>
      <c r="D62" s="23"/>
      <c r="E62" s="23"/>
      <c r="F62" s="23"/>
      <c r="G62" s="23"/>
      <c r="H62" s="23"/>
      <c r="I62" s="23"/>
      <c r="J62" s="27"/>
    </row>
    <row r="63" spans="1:10" x14ac:dyDescent="0.2">
      <c r="A63" s="241"/>
      <c r="B63" s="242"/>
      <c r="C63" s="27">
        <f t="shared" si="0"/>
        <v>35</v>
      </c>
      <c r="D63" s="23"/>
      <c r="E63" s="23"/>
      <c r="F63" s="23"/>
      <c r="G63" s="23"/>
      <c r="H63" s="23"/>
      <c r="I63" s="23"/>
      <c r="J63" s="27"/>
    </row>
    <row r="64" spans="1:10" x14ac:dyDescent="0.2">
      <c r="A64" s="241"/>
      <c r="B64" s="242"/>
      <c r="C64" s="27">
        <f t="shared" si="0"/>
        <v>36</v>
      </c>
      <c r="D64" s="23"/>
      <c r="E64" s="23"/>
      <c r="F64" s="23"/>
      <c r="G64" s="23"/>
      <c r="H64" s="23"/>
      <c r="I64" s="23"/>
      <c r="J64" s="27"/>
    </row>
    <row r="65" spans="1:10" x14ac:dyDescent="0.2">
      <c r="A65" s="241"/>
      <c r="B65" s="242"/>
      <c r="C65" s="27">
        <f t="shared" si="0"/>
        <v>37</v>
      </c>
      <c r="D65" s="23"/>
      <c r="E65" s="23"/>
      <c r="F65" s="23"/>
      <c r="G65" s="23"/>
      <c r="H65" s="23"/>
      <c r="I65" s="23"/>
      <c r="J65" s="27"/>
    </row>
    <row r="66" spans="1:10" x14ac:dyDescent="0.2">
      <c r="A66" s="241"/>
      <c r="B66" s="242"/>
      <c r="C66" s="27">
        <f t="shared" si="0"/>
        <v>38</v>
      </c>
      <c r="D66" s="23"/>
      <c r="E66" s="23"/>
      <c r="F66" s="23"/>
      <c r="G66" s="23"/>
      <c r="H66" s="23"/>
      <c r="I66" s="23"/>
      <c r="J66" s="27"/>
    </row>
    <row r="67" spans="1:10" x14ac:dyDescent="0.2">
      <c r="A67" s="241"/>
      <c r="B67" s="242"/>
      <c r="C67" s="27">
        <f t="shared" si="0"/>
        <v>39</v>
      </c>
      <c r="D67" s="23"/>
      <c r="E67" s="23"/>
      <c r="F67" s="23"/>
      <c r="G67" s="23"/>
      <c r="H67" s="23"/>
      <c r="I67" s="23"/>
      <c r="J67" s="27"/>
    </row>
    <row r="68" spans="1:10" x14ac:dyDescent="0.2">
      <c r="A68" s="241"/>
      <c r="B68" s="242"/>
      <c r="C68" s="27">
        <f t="shared" si="0"/>
        <v>40</v>
      </c>
      <c r="D68" s="23"/>
      <c r="E68" s="23"/>
      <c r="F68" s="23"/>
      <c r="G68" s="23"/>
      <c r="H68" s="23"/>
      <c r="I68" s="23"/>
      <c r="J68" s="27"/>
    </row>
    <row r="69" spans="1:10" x14ac:dyDescent="0.2">
      <c r="A69" s="241"/>
      <c r="B69" s="242"/>
      <c r="C69" s="27">
        <f t="shared" si="0"/>
        <v>41</v>
      </c>
      <c r="D69" s="23"/>
      <c r="E69" s="23"/>
      <c r="F69" s="23"/>
      <c r="G69" s="23"/>
      <c r="H69" s="23"/>
      <c r="I69" s="23"/>
      <c r="J69" s="27"/>
    </row>
    <row r="70" spans="1:10" x14ac:dyDescent="0.2">
      <c r="A70" s="241"/>
      <c r="B70" s="242"/>
      <c r="C70" s="27">
        <f t="shared" si="0"/>
        <v>42</v>
      </c>
      <c r="D70" s="23"/>
      <c r="E70" s="23"/>
      <c r="F70" s="23"/>
      <c r="G70" s="23"/>
      <c r="H70" s="23"/>
      <c r="I70" s="23"/>
      <c r="J70" s="27"/>
    </row>
    <row r="71" spans="1:10" x14ac:dyDescent="0.2">
      <c r="A71" s="241"/>
      <c r="B71" s="242"/>
      <c r="C71" s="27">
        <f t="shared" si="0"/>
        <v>43</v>
      </c>
      <c r="D71" s="23"/>
      <c r="E71" s="23"/>
      <c r="F71" s="23"/>
      <c r="G71" s="23"/>
      <c r="H71" s="23"/>
      <c r="I71" s="23"/>
      <c r="J71" s="27"/>
    </row>
    <row r="72" spans="1:10" x14ac:dyDescent="0.2">
      <c r="A72" s="241"/>
      <c r="B72" s="242"/>
      <c r="C72" s="27">
        <f t="shared" si="0"/>
        <v>44</v>
      </c>
      <c r="D72" s="23"/>
      <c r="E72" s="23"/>
      <c r="F72" s="23"/>
      <c r="G72" s="23"/>
      <c r="H72" s="23"/>
      <c r="I72" s="23"/>
      <c r="J72" s="27"/>
    </row>
    <row r="73" spans="1:10" x14ac:dyDescent="0.2">
      <c r="A73" s="241"/>
      <c r="B73" s="242"/>
      <c r="C73" s="27">
        <f t="shared" si="0"/>
        <v>45</v>
      </c>
      <c r="D73" s="23"/>
      <c r="E73" s="23"/>
      <c r="F73" s="23"/>
      <c r="G73" s="23"/>
      <c r="H73" s="23"/>
      <c r="I73" s="23"/>
      <c r="J73" s="27"/>
    </row>
    <row r="74" spans="1:10" x14ac:dyDescent="0.2">
      <c r="A74" s="241"/>
      <c r="B74" s="242"/>
      <c r="C74" s="27">
        <f t="shared" si="0"/>
        <v>46</v>
      </c>
      <c r="D74" s="23"/>
      <c r="E74" s="23"/>
      <c r="F74" s="23"/>
      <c r="G74" s="23"/>
      <c r="H74" s="23"/>
      <c r="I74" s="23"/>
      <c r="J74" s="27"/>
    </row>
    <row r="75" spans="1:10" x14ac:dyDescent="0.2">
      <c r="A75" s="241"/>
      <c r="B75" s="242"/>
      <c r="C75" s="27">
        <f t="shared" si="0"/>
        <v>47</v>
      </c>
      <c r="D75" s="23"/>
      <c r="E75" s="23"/>
      <c r="F75" s="23"/>
      <c r="G75" s="23"/>
      <c r="H75" s="23"/>
      <c r="I75" s="23"/>
      <c r="J75" s="27"/>
    </row>
    <row r="76" spans="1:10" x14ac:dyDescent="0.2">
      <c r="A76" s="241"/>
      <c r="B76" s="242"/>
      <c r="C76" s="27">
        <f t="shared" si="0"/>
        <v>48</v>
      </c>
      <c r="D76" s="23"/>
      <c r="E76" s="23"/>
      <c r="F76" s="23"/>
      <c r="G76" s="23"/>
      <c r="H76" s="23"/>
      <c r="I76" s="23"/>
      <c r="J76" s="27"/>
    </row>
    <row r="77" spans="1:10" x14ac:dyDescent="0.2">
      <c r="A77" s="241"/>
      <c r="B77" s="242"/>
      <c r="C77" s="27">
        <f t="shared" si="0"/>
        <v>49</v>
      </c>
      <c r="D77" s="23"/>
      <c r="E77" s="23"/>
      <c r="F77" s="23"/>
      <c r="G77" s="23"/>
      <c r="H77" s="23"/>
      <c r="I77" s="23"/>
      <c r="J77" s="27"/>
    </row>
    <row r="78" spans="1:10" x14ac:dyDescent="0.2">
      <c r="A78" s="241"/>
      <c r="B78" s="242"/>
      <c r="C78" s="27">
        <f t="shared" si="0"/>
        <v>50</v>
      </c>
      <c r="D78" s="23"/>
      <c r="E78" s="23"/>
      <c r="F78" s="23"/>
      <c r="G78" s="23"/>
      <c r="H78" s="23"/>
      <c r="I78" s="23"/>
      <c r="J78" s="27"/>
    </row>
    <row r="79" spans="1:10" x14ac:dyDescent="0.2">
      <c r="A79" s="255"/>
      <c r="B79" s="242"/>
      <c r="C79" s="27">
        <f t="shared" si="0"/>
        <v>51</v>
      </c>
      <c r="D79" s="23"/>
      <c r="E79" s="23"/>
      <c r="F79" s="23"/>
      <c r="G79" s="23"/>
      <c r="H79" s="23"/>
      <c r="I79" s="23"/>
      <c r="J79" s="27"/>
    </row>
    <row r="80" spans="1:10" x14ac:dyDescent="0.2">
      <c r="A80" s="255"/>
      <c r="B80" s="242"/>
      <c r="C80" s="27">
        <f t="shared" si="0"/>
        <v>52</v>
      </c>
      <c r="D80" s="23"/>
      <c r="E80" s="23"/>
      <c r="F80" s="23"/>
      <c r="G80" s="23"/>
      <c r="H80" s="23"/>
      <c r="I80" s="23"/>
      <c r="J80" s="27"/>
    </row>
    <row r="81" spans="1:10" x14ac:dyDescent="0.2">
      <c r="A81" s="255"/>
      <c r="B81" s="242"/>
      <c r="C81" s="27">
        <f t="shared" si="0"/>
        <v>53</v>
      </c>
      <c r="D81" s="23"/>
      <c r="E81" s="23"/>
      <c r="F81" s="23"/>
      <c r="G81" s="23"/>
      <c r="H81" s="23"/>
      <c r="I81" s="23"/>
      <c r="J81" s="27"/>
    </row>
    <row r="82" spans="1:10" x14ac:dyDescent="0.2">
      <c r="A82" s="255"/>
      <c r="B82" s="242"/>
      <c r="C82" s="27">
        <f t="shared" si="0"/>
        <v>54</v>
      </c>
      <c r="D82" s="23"/>
      <c r="E82" s="23"/>
      <c r="F82" s="23"/>
      <c r="G82" s="23"/>
      <c r="H82" s="23"/>
      <c r="I82" s="23"/>
      <c r="J82" s="27"/>
    </row>
    <row r="83" spans="1:10" x14ac:dyDescent="0.2">
      <c r="A83" s="255"/>
      <c r="B83" s="242"/>
      <c r="C83" s="27">
        <f t="shared" si="0"/>
        <v>55</v>
      </c>
      <c r="D83" s="23"/>
      <c r="E83" s="23"/>
      <c r="F83" s="23"/>
      <c r="G83" s="23"/>
      <c r="H83" s="23"/>
      <c r="I83" s="23"/>
      <c r="J83" s="27"/>
    </row>
    <row r="84" spans="1:10" x14ac:dyDescent="0.2">
      <c r="A84" s="255"/>
      <c r="B84" s="242"/>
      <c r="C84" s="27">
        <f t="shared" si="0"/>
        <v>56</v>
      </c>
      <c r="D84" s="23"/>
      <c r="E84" s="23"/>
      <c r="F84" s="23"/>
      <c r="G84" s="23"/>
      <c r="H84" s="23"/>
      <c r="I84" s="23"/>
      <c r="J84" s="27"/>
    </row>
    <row r="85" spans="1:10" x14ac:dyDescent="0.2">
      <c r="A85" s="255"/>
      <c r="B85" s="242"/>
      <c r="C85" s="27">
        <f t="shared" si="0"/>
        <v>57</v>
      </c>
      <c r="D85" s="23"/>
      <c r="E85" s="23"/>
      <c r="F85" s="23"/>
      <c r="G85" s="23"/>
      <c r="H85" s="23"/>
      <c r="I85" s="23"/>
      <c r="J85" s="27"/>
    </row>
    <row r="86" spans="1:10" x14ac:dyDescent="0.2">
      <c r="A86" s="255"/>
      <c r="B86" s="242"/>
      <c r="C86" s="27">
        <f t="shared" si="0"/>
        <v>58</v>
      </c>
      <c r="D86" s="23"/>
      <c r="E86" s="23"/>
      <c r="F86" s="23"/>
      <c r="G86" s="23"/>
      <c r="H86" s="23"/>
      <c r="I86" s="23"/>
      <c r="J86" s="27"/>
    </row>
    <row r="87" spans="1:10" x14ac:dyDescent="0.2">
      <c r="A87" s="255"/>
      <c r="B87" s="242"/>
      <c r="C87" s="27">
        <f t="shared" si="0"/>
        <v>59</v>
      </c>
      <c r="D87" s="23"/>
      <c r="E87" s="23"/>
      <c r="F87" s="23"/>
      <c r="G87" s="23"/>
      <c r="H87" s="23"/>
      <c r="I87" s="23"/>
      <c r="J87" s="27"/>
    </row>
    <row r="88" spans="1:10" x14ac:dyDescent="0.2">
      <c r="A88" s="255"/>
      <c r="B88" s="242"/>
      <c r="C88" s="27">
        <f t="shared" si="0"/>
        <v>60</v>
      </c>
      <c r="D88" s="23"/>
      <c r="E88" s="23"/>
      <c r="F88" s="23"/>
      <c r="G88" s="23"/>
      <c r="H88" s="23"/>
      <c r="I88" s="23"/>
      <c r="J88" s="27"/>
    </row>
    <row r="89" spans="1:10" x14ac:dyDescent="0.2">
      <c r="A89" s="255"/>
      <c r="B89" s="242"/>
      <c r="C89" s="27">
        <f t="shared" si="0"/>
        <v>61</v>
      </c>
      <c r="D89" s="23"/>
      <c r="E89" s="23"/>
      <c r="F89" s="23"/>
      <c r="G89" s="23"/>
      <c r="H89" s="23"/>
      <c r="I89" s="23"/>
      <c r="J89" s="27"/>
    </row>
    <row r="90" spans="1:10" x14ac:dyDescent="0.2">
      <c r="A90" s="255"/>
      <c r="B90" s="242"/>
      <c r="C90" s="27">
        <f t="shared" si="0"/>
        <v>62</v>
      </c>
      <c r="D90" s="23"/>
      <c r="E90" s="23"/>
      <c r="F90" s="23"/>
      <c r="G90" s="23"/>
      <c r="H90" s="23"/>
      <c r="I90" s="23"/>
      <c r="J90" s="27"/>
    </row>
    <row r="91" spans="1:10" x14ac:dyDescent="0.2">
      <c r="A91" s="255"/>
      <c r="B91" s="242"/>
      <c r="C91" s="27">
        <f t="shared" si="0"/>
        <v>63</v>
      </c>
      <c r="D91" s="23"/>
      <c r="E91" s="23"/>
      <c r="F91" s="23"/>
      <c r="G91" s="23"/>
      <c r="H91" s="23"/>
      <c r="I91" s="23"/>
      <c r="J91" s="27"/>
    </row>
    <row r="92" spans="1:10" x14ac:dyDescent="0.2">
      <c r="A92" s="255"/>
      <c r="B92" s="242"/>
      <c r="C92" s="27">
        <f t="shared" si="0"/>
        <v>64</v>
      </c>
      <c r="D92" s="23"/>
      <c r="E92" s="23"/>
      <c r="F92" s="23"/>
      <c r="G92" s="23"/>
      <c r="H92" s="23"/>
      <c r="I92" s="23"/>
      <c r="J92" s="27"/>
    </row>
    <row r="93" spans="1:10" x14ac:dyDescent="0.2">
      <c r="A93" s="255"/>
      <c r="B93" s="242"/>
      <c r="C93" s="27">
        <f t="shared" si="0"/>
        <v>65</v>
      </c>
      <c r="D93" s="23"/>
      <c r="E93" s="23"/>
      <c r="F93" s="23"/>
      <c r="G93" s="23"/>
      <c r="H93" s="23"/>
      <c r="I93" s="23"/>
      <c r="J93" s="27"/>
    </row>
    <row r="94" spans="1:10" x14ac:dyDescent="0.2">
      <c r="A94" s="255"/>
      <c r="B94" s="242"/>
      <c r="C94" s="27">
        <f t="shared" si="0"/>
        <v>66</v>
      </c>
      <c r="D94" s="23"/>
      <c r="E94" s="23"/>
      <c r="F94" s="23"/>
      <c r="G94" s="23"/>
      <c r="H94" s="23"/>
      <c r="I94" s="23"/>
      <c r="J94" s="27"/>
    </row>
    <row r="95" spans="1:10" x14ac:dyDescent="0.2">
      <c r="A95" s="255"/>
      <c r="B95" s="242"/>
      <c r="C95" s="27">
        <f>C94+1</f>
        <v>67</v>
      </c>
      <c r="D95" s="23"/>
      <c r="E95" s="23"/>
      <c r="F95" s="23"/>
      <c r="G95" s="23"/>
      <c r="H95" s="23"/>
      <c r="I95" s="23"/>
      <c r="J95" s="27"/>
    </row>
    <row r="96" spans="1:10" x14ac:dyDescent="0.2">
      <c r="A96" s="255"/>
      <c r="B96" s="242"/>
      <c r="C96" s="27">
        <f>C95+1</f>
        <v>68</v>
      </c>
      <c r="D96" s="23"/>
      <c r="E96" s="23"/>
      <c r="F96" s="23"/>
      <c r="G96" s="23"/>
      <c r="H96" s="23"/>
      <c r="I96" s="23"/>
      <c r="J96" s="27"/>
    </row>
    <row r="97" spans="1:10" x14ac:dyDescent="0.2">
      <c r="A97" s="255"/>
      <c r="B97" s="242"/>
      <c r="C97" s="27">
        <f>C96+1</f>
        <v>69</v>
      </c>
      <c r="D97" s="23"/>
      <c r="E97" s="23"/>
      <c r="F97" s="23"/>
      <c r="G97" s="23"/>
      <c r="H97" s="23"/>
      <c r="I97" s="23"/>
      <c r="J97" s="27"/>
    </row>
    <row r="98" spans="1:10" x14ac:dyDescent="0.2">
      <c r="A98" s="256"/>
      <c r="B98" s="243"/>
      <c r="C98" s="38">
        <f>C97+1</f>
        <v>70</v>
      </c>
      <c r="D98" s="23"/>
      <c r="E98" s="23"/>
      <c r="F98" s="23"/>
      <c r="G98" s="23"/>
      <c r="H98" s="23"/>
      <c r="I98" s="23"/>
      <c r="J98" s="27"/>
    </row>
    <row r="99" spans="1:10" x14ac:dyDescent="0.2">
      <c r="A99" s="37"/>
      <c r="B99" s="39"/>
      <c r="C99" s="39"/>
      <c r="D99" s="39"/>
      <c r="E99" s="39"/>
      <c r="F99" s="39"/>
      <c r="G99" s="39"/>
      <c r="H99" s="39"/>
      <c r="I99" s="39"/>
      <c r="J99" s="38"/>
    </row>
  </sheetData>
  <mergeCells count="5">
    <mergeCell ref="G2:I2"/>
    <mergeCell ref="G6:I6"/>
    <mergeCell ref="G5:I5"/>
    <mergeCell ref="G4:I4"/>
    <mergeCell ref="G3:I3"/>
  </mergeCells>
  <phoneticPr fontId="0" type="noConversion"/>
  <pageMargins left="0.75" right="0.75" top="1" bottom="1" header="0.5" footer="0.5"/>
  <pageSetup paperSize="9" scale="9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locked="0" defaultSize="0" autoLine="0" autoPict="0">
                <anchor moveWithCells="1">
                  <from>
                    <xdr:col>3</xdr:col>
                    <xdr:colOff>9525</xdr:colOff>
                    <xdr:row>3</xdr:row>
                    <xdr:rowOff>0</xdr:rowOff>
                  </from>
                  <to>
                    <xdr:col>4</xdr:col>
                    <xdr:colOff>85725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Drop Down 14">
              <controlPr locked="0" defaultSize="0" autoLine="0" autoPict="0">
                <anchor moveWithCells="1">
                  <from>
                    <xdr:col>3</xdr:col>
                    <xdr:colOff>19050</xdr:colOff>
                    <xdr:row>4</xdr:row>
                    <xdr:rowOff>9525</xdr:rowOff>
                  </from>
                  <to>
                    <xdr:col>4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Drop Down 15">
              <controlPr locked="0" defaultSize="0" autoLine="0" autoPict="0">
                <anchor moveWithCells="1">
                  <from>
                    <xdr:col>3</xdr:col>
                    <xdr:colOff>19050</xdr:colOff>
                    <xdr:row>5</xdr:row>
                    <xdr:rowOff>9525</xdr:rowOff>
                  </from>
                  <to>
                    <xdr:col>4</xdr:col>
                    <xdr:colOff>95250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Drop Down 16">
              <controlPr locked="0" defaultSize="0" autoLine="0" autoPict="0">
                <anchor moveWithCells="1">
                  <from>
                    <xdr:col>3</xdr:col>
                    <xdr:colOff>9525</xdr:colOff>
                    <xdr:row>8</xdr:row>
                    <xdr:rowOff>9525</xdr:rowOff>
                  </from>
                  <to>
                    <xdr:col>4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Drop Down 17">
              <controlPr locked="0" defaultSize="0" autoLine="0" autoPict="0">
                <anchor moveWithCells="1">
                  <from>
                    <xdr:col>3</xdr:col>
                    <xdr:colOff>9525</xdr:colOff>
                    <xdr:row>9</xdr:row>
                    <xdr:rowOff>0</xdr:rowOff>
                  </from>
                  <to>
                    <xdr:col>4</xdr:col>
                    <xdr:colOff>209550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Drop Down 18">
              <controlPr locked="0" defaultSize="0" autoLine="0" autoPict="0">
                <anchor mov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4</xdr:col>
                    <xdr:colOff>85725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afdrukken">
                <anchor moveWithCells="1">
                  <from>
                    <xdr:col>5</xdr:col>
                    <xdr:colOff>142875</xdr:colOff>
                    <xdr:row>9</xdr:row>
                    <xdr:rowOff>57150</xdr:rowOff>
                  </from>
                  <to>
                    <xdr:col>7</xdr:col>
                    <xdr:colOff>85725</xdr:colOff>
                    <xdr:row>12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>
    <pageSetUpPr fitToPage="1"/>
  </sheetPr>
  <dimension ref="A1:AD196"/>
  <sheetViews>
    <sheetView topLeftCell="H18" zoomScale="130" zoomScaleNormal="130" workbookViewId="0">
      <selection activeCell="R27" sqref="R27"/>
    </sheetView>
  </sheetViews>
  <sheetFormatPr defaultRowHeight="12.75" x14ac:dyDescent="0.2"/>
  <cols>
    <col min="1" max="10" width="10.7109375" customWidth="1"/>
    <col min="11" max="11" width="9.5703125" style="267" customWidth="1"/>
    <col min="12" max="15" width="10.7109375" style="267" customWidth="1"/>
    <col min="16" max="18" width="10.7109375" customWidth="1"/>
    <col min="19" max="19" width="10.7109375" style="267" customWidth="1"/>
    <col min="20" max="20" width="12.140625" bestFit="1" customWidth="1"/>
    <col min="21" max="22" width="15" style="267" customWidth="1"/>
    <col min="23" max="30" width="10.7109375" customWidth="1"/>
  </cols>
  <sheetData>
    <row r="1" spans="1:24" x14ac:dyDescent="0.2">
      <c r="A1" s="9" t="s">
        <v>58</v>
      </c>
      <c r="B1" s="9"/>
    </row>
    <row r="4" spans="1:24" x14ac:dyDescent="0.2">
      <c r="A4" t="s">
        <v>194</v>
      </c>
    </row>
    <row r="5" spans="1:24" x14ac:dyDescent="0.2">
      <c r="X5" s="42"/>
    </row>
    <row r="6" spans="1:24" x14ac:dyDescent="0.2">
      <c r="A6" s="51" t="str">
        <f>INVOER!A5</f>
        <v>Gasdebiet/batterij</v>
      </c>
      <c r="B6" s="5"/>
      <c r="C6" s="5">
        <f>INVOER!T8</f>
        <v>16.361111111111111</v>
      </c>
      <c r="D6" s="5" t="s">
        <v>51</v>
      </c>
      <c r="E6" s="5" t="s">
        <v>90</v>
      </c>
      <c r="F6" s="5"/>
      <c r="G6" s="5"/>
      <c r="H6" s="52"/>
      <c r="X6" s="42"/>
    </row>
    <row r="7" spans="1:24" x14ac:dyDescent="0.2">
      <c r="A7" s="53" t="str">
        <f>INVOER!A6</f>
        <v>S.M. gas</v>
      </c>
      <c r="B7" s="6"/>
      <c r="C7" s="6">
        <f>INVOER!S14</f>
        <v>1073</v>
      </c>
      <c r="D7" s="6" t="s">
        <v>17</v>
      </c>
      <c r="E7" s="6"/>
      <c r="F7" s="6"/>
      <c r="G7" s="6"/>
      <c r="H7" s="54"/>
      <c r="X7" s="42"/>
    </row>
    <row r="8" spans="1:24" x14ac:dyDescent="0.2">
      <c r="A8" s="53" t="str">
        <f>INVOER!A7</f>
        <v>Dyn. viscositeit gas</v>
      </c>
      <c r="B8" s="6"/>
      <c r="C8" s="6">
        <f>INVOER!C7</f>
        <v>0.02</v>
      </c>
      <c r="D8" s="6" t="str">
        <f>INVOER!D7</f>
        <v>mPas of cP; [let op: lucht bij 20° waarde:0.0181]</v>
      </c>
      <c r="E8" s="6"/>
      <c r="F8" s="6"/>
      <c r="G8" s="6"/>
      <c r="H8" s="54"/>
      <c r="X8" s="42"/>
    </row>
    <row r="9" spans="1:24" x14ac:dyDescent="0.2">
      <c r="A9" s="53" t="str">
        <f>INVOER!A8</f>
        <v>S.M. stof</v>
      </c>
      <c r="B9" s="6"/>
      <c r="C9" s="6">
        <f>INVOER!C8</f>
        <v>1500</v>
      </c>
      <c r="D9" s="6" t="str">
        <f>INVOER!D8</f>
        <v>kg/m³</v>
      </c>
      <c r="E9" s="6"/>
      <c r="F9" s="6"/>
      <c r="G9" s="6"/>
      <c r="H9" s="54"/>
      <c r="X9" s="42"/>
    </row>
    <row r="10" spans="1:24" x14ac:dyDescent="0.2">
      <c r="A10" s="53"/>
      <c r="B10" s="6"/>
      <c r="C10" s="6"/>
      <c r="D10" s="6"/>
      <c r="E10" s="6"/>
      <c r="F10" s="6"/>
      <c r="G10" s="6"/>
      <c r="H10" s="54"/>
      <c r="X10" s="42"/>
    </row>
    <row r="11" spans="1:24" x14ac:dyDescent="0.2">
      <c r="A11" s="53" t="str">
        <f>INVOER!A10</f>
        <v>Cycloontype</v>
      </c>
      <c r="B11" s="6"/>
      <c r="C11" s="6">
        <f>INVOER!R24</f>
        <v>6</v>
      </c>
      <c r="D11" s="6"/>
      <c r="E11" s="6"/>
      <c r="F11" s="6"/>
      <c r="G11" s="6"/>
      <c r="H11" s="54"/>
      <c r="X11" s="42"/>
    </row>
    <row r="12" spans="1:24" x14ac:dyDescent="0.2">
      <c r="A12" s="53" t="str">
        <f>INVOER!A11</f>
        <v xml:space="preserve">Aantal cyclonen </v>
      </c>
      <c r="B12" s="6"/>
      <c r="C12" s="6">
        <f>INVOER!C11</f>
        <v>6</v>
      </c>
      <c r="D12" s="6" t="str">
        <f>INVOER!D11</f>
        <v>(parallel)</v>
      </c>
      <c r="E12" s="6"/>
      <c r="F12" s="6"/>
      <c r="G12" s="6"/>
      <c r="H12" s="54"/>
    </row>
    <row r="13" spans="1:24" x14ac:dyDescent="0.2">
      <c r="A13" s="53" t="s">
        <v>54</v>
      </c>
      <c r="B13" s="6"/>
      <c r="C13" s="6">
        <f>INVOER!C14</f>
        <v>1250</v>
      </c>
      <c r="D13" s="6" t="str">
        <f>INVOER!D14</f>
        <v>mm</v>
      </c>
      <c r="E13" s="6"/>
      <c r="F13" s="6"/>
      <c r="G13" s="6"/>
      <c r="H13" s="54"/>
    </row>
    <row r="14" spans="1:24" x14ac:dyDescent="0.2">
      <c r="A14" s="53" t="s">
        <v>56</v>
      </c>
      <c r="B14" s="6"/>
      <c r="C14" s="6">
        <f>INVOER!C17</f>
        <v>1</v>
      </c>
      <c r="D14" s="6" t="s">
        <v>57</v>
      </c>
      <c r="E14" s="6"/>
      <c r="F14" s="6"/>
      <c r="G14" s="6"/>
      <c r="H14" s="54"/>
    </row>
    <row r="15" spans="1:24" x14ac:dyDescent="0.2">
      <c r="A15" s="53" t="s">
        <v>254</v>
      </c>
      <c r="B15" s="6"/>
      <c r="C15" s="135" t="str">
        <f>IF(INVOER!R35=1,"neen","ja")</f>
        <v>ja</v>
      </c>
      <c r="D15" s="6"/>
      <c r="E15" s="6"/>
      <c r="F15" s="6"/>
      <c r="G15" s="6"/>
      <c r="H15" s="54"/>
    </row>
    <row r="16" spans="1:24" x14ac:dyDescent="0.2">
      <c r="A16" s="55"/>
      <c r="B16" s="56"/>
      <c r="C16" s="56"/>
      <c r="D16" s="56"/>
      <c r="E16" s="56"/>
      <c r="F16" s="56"/>
      <c r="G16" s="56"/>
      <c r="H16" s="60"/>
    </row>
    <row r="20" spans="1:20" x14ac:dyDescent="0.2">
      <c r="A20" s="221" t="s">
        <v>216</v>
      </c>
      <c r="Q20" t="s">
        <v>195</v>
      </c>
    </row>
    <row r="22" spans="1:20" x14ac:dyDescent="0.2">
      <c r="A22" s="162"/>
      <c r="B22" s="44">
        <v>1</v>
      </c>
      <c r="C22" s="44">
        <v>2</v>
      </c>
      <c r="D22" s="44">
        <v>3</v>
      </c>
      <c r="E22" s="44">
        <v>4</v>
      </c>
      <c r="F22" s="44">
        <v>5</v>
      </c>
      <c r="G22" s="44">
        <v>6</v>
      </c>
      <c r="H22" s="44">
        <v>7</v>
      </c>
      <c r="I22" s="44">
        <v>8</v>
      </c>
      <c r="J22" s="44">
        <v>9</v>
      </c>
      <c r="K22" s="291">
        <f>HLOOKUP(INVOER!R$24,B$22:J$43,1)</f>
        <v>6</v>
      </c>
      <c r="Q22" s="51" t="s">
        <v>204</v>
      </c>
      <c r="R22" s="5"/>
      <c r="S22" s="269"/>
      <c r="T22" s="52"/>
    </row>
    <row r="23" spans="1:20" x14ac:dyDescent="0.2">
      <c r="A23" s="166" t="s">
        <v>25</v>
      </c>
      <c r="B23" s="163">
        <v>300</v>
      </c>
      <c r="C23" s="163">
        <v>350</v>
      </c>
      <c r="D23" s="163">
        <v>435</v>
      </c>
      <c r="E23" s="163">
        <v>550</v>
      </c>
      <c r="F23" s="163">
        <v>750</v>
      </c>
      <c r="G23" s="163">
        <v>850</v>
      </c>
      <c r="H23" s="84" t="s">
        <v>218</v>
      </c>
      <c r="I23" s="163">
        <v>1850</v>
      </c>
      <c r="J23" s="85" t="s">
        <v>219</v>
      </c>
      <c r="K23" s="292">
        <f>HLOOKUP(INVOER!R$24,B$22:J$43,2)</f>
        <v>850</v>
      </c>
      <c r="L23" s="267" t="s">
        <v>220</v>
      </c>
      <c r="Q23" s="53"/>
      <c r="R23" s="6"/>
      <c r="S23" s="232"/>
      <c r="T23" s="54"/>
    </row>
    <row r="24" spans="1:20" x14ac:dyDescent="0.2">
      <c r="A24" s="159" t="s">
        <v>66</v>
      </c>
      <c r="B24" s="45">
        <v>0.34</v>
      </c>
      <c r="C24" s="45">
        <v>0.32</v>
      </c>
      <c r="D24" s="45">
        <v>0.28199999999999997</v>
      </c>
      <c r="E24" s="45">
        <v>0.25</v>
      </c>
      <c r="F24" s="45">
        <v>0.216</v>
      </c>
      <c r="G24" s="153">
        <v>0.20300000000000001</v>
      </c>
      <c r="H24" s="45">
        <v>0.20300000000000001</v>
      </c>
      <c r="I24" s="45">
        <v>0.13600000000000001</v>
      </c>
      <c r="J24" s="46">
        <v>0.13600000000000001</v>
      </c>
      <c r="K24" s="293">
        <f>HLOOKUP(INVOER!R$24,B$22:J$43,3)</f>
        <v>0.20300000000000001</v>
      </c>
      <c r="Q24" s="51" t="s">
        <v>42</v>
      </c>
      <c r="R24" s="164">
        <f>C6/C12/K24/K25/(C13/1000)^2</f>
        <v>18.811753513330512</v>
      </c>
      <c r="S24" s="269" t="s">
        <v>3</v>
      </c>
      <c r="T24" s="52"/>
    </row>
    <row r="25" spans="1:20" x14ac:dyDescent="0.2">
      <c r="A25" s="159" t="s">
        <v>67</v>
      </c>
      <c r="B25" s="45">
        <v>0.77</v>
      </c>
      <c r="C25" s="45">
        <v>0.7</v>
      </c>
      <c r="D25" s="45">
        <v>0.64</v>
      </c>
      <c r="E25" s="45">
        <v>0.56999999999999995</v>
      </c>
      <c r="F25" s="45">
        <v>0.48599999999999999</v>
      </c>
      <c r="G25" s="153">
        <v>0.45700000000000002</v>
      </c>
      <c r="H25" s="45">
        <v>0.45700000000000002</v>
      </c>
      <c r="I25" s="45">
        <v>0.31</v>
      </c>
      <c r="J25" s="46">
        <v>0.31</v>
      </c>
      <c r="K25" s="293">
        <f>HLOOKUP(INVOER!R$24,B$22:J$43,4)</f>
        <v>0.45700000000000002</v>
      </c>
      <c r="Q25" s="53" t="s">
        <v>124</v>
      </c>
      <c r="R25" s="72">
        <f>C6/C12/(PI()/4*(C14*K27*C13/1000)^2)</f>
        <v>23.576258534984305</v>
      </c>
      <c r="S25" s="232" t="s">
        <v>3</v>
      </c>
      <c r="T25" s="54"/>
    </row>
    <row r="26" spans="1:20" x14ac:dyDescent="0.2">
      <c r="A26" s="159" t="s">
        <v>68</v>
      </c>
      <c r="B26" s="45">
        <v>0.63</v>
      </c>
      <c r="C26" s="45">
        <v>0.61699999999999999</v>
      </c>
      <c r="D26" s="45">
        <v>0.6</v>
      </c>
      <c r="E26" s="45">
        <v>0.57999999999999996</v>
      </c>
      <c r="F26" s="45">
        <v>0.56999999999999995</v>
      </c>
      <c r="G26" s="153">
        <v>0.56399999999999995</v>
      </c>
      <c r="H26" s="45">
        <v>0.56399999999999995</v>
      </c>
      <c r="I26" s="45">
        <v>0.53</v>
      </c>
      <c r="J26" s="46">
        <v>0.53</v>
      </c>
      <c r="K26" s="293">
        <f>HLOOKUP(INVOER!R$24,B$22:J$43,5)</f>
        <v>0.56399999999999995</v>
      </c>
      <c r="Q26" s="55"/>
      <c r="R26" s="56"/>
      <c r="S26" s="270"/>
      <c r="T26" s="60"/>
    </row>
    <row r="27" spans="1:20" x14ac:dyDescent="0.2">
      <c r="A27" s="159" t="s">
        <v>69</v>
      </c>
      <c r="B27" s="45">
        <v>0.68</v>
      </c>
      <c r="C27" s="45">
        <v>0.63</v>
      </c>
      <c r="D27" s="45">
        <v>0.56000000000000005</v>
      </c>
      <c r="E27" s="45">
        <v>0.45</v>
      </c>
      <c r="F27" s="45">
        <v>0.36499999999999999</v>
      </c>
      <c r="G27" s="153">
        <v>0.307</v>
      </c>
      <c r="H27" s="45">
        <v>0.307</v>
      </c>
      <c r="I27" s="45">
        <v>0.15</v>
      </c>
      <c r="J27" s="46">
        <v>0.15</v>
      </c>
      <c r="K27" s="293">
        <f>HLOOKUP(INVOER!R$24,B$22:J$43,6)</f>
        <v>0.307</v>
      </c>
      <c r="Q27" s="220" t="s">
        <v>217</v>
      </c>
      <c r="R27" s="222">
        <f>K43*0.5*C7*R24^2*C14^(-2.23)</f>
        <v>1803648.4415278442</v>
      </c>
      <c r="S27" s="271" t="s">
        <v>196</v>
      </c>
      <c r="T27" s="223"/>
    </row>
    <row r="28" spans="1:20" x14ac:dyDescent="0.2">
      <c r="A28" s="159" t="s">
        <v>70</v>
      </c>
      <c r="B28" s="45">
        <v>0.68</v>
      </c>
      <c r="C28" s="45">
        <v>0.63</v>
      </c>
      <c r="D28" s="45">
        <v>0.56000000000000005</v>
      </c>
      <c r="E28" s="45">
        <v>0.56000000000000005</v>
      </c>
      <c r="F28" s="45">
        <v>0.56000000000000005</v>
      </c>
      <c r="G28" s="153">
        <v>0.42799999999999999</v>
      </c>
      <c r="H28" s="45">
        <v>0.42799999999999999</v>
      </c>
      <c r="I28" s="45">
        <v>0.25</v>
      </c>
      <c r="J28" s="46">
        <v>0.25</v>
      </c>
      <c r="K28" s="293">
        <f>HLOOKUP(INVOER!R$24,B$22:J$43,7)</f>
        <v>0.42799999999999999</v>
      </c>
      <c r="Q28" s="220" t="s">
        <v>149</v>
      </c>
      <c r="R28" s="222">
        <f>IF(K22=1,"unknown",IF(K22=7,"unknown",IF(K22=8,"unknown",IF(K22=9,"unkown",0.5*C7*R24^2*T39))))</f>
        <v>1171801.9138010372</v>
      </c>
      <c r="S28" s="271" t="s">
        <v>196</v>
      </c>
      <c r="T28" s="224"/>
    </row>
    <row r="29" spans="1:20" x14ac:dyDescent="0.2">
      <c r="A29" s="159" t="s">
        <v>71</v>
      </c>
      <c r="B29" s="153">
        <v>2.048</v>
      </c>
      <c r="C29" s="153">
        <v>2.048</v>
      </c>
      <c r="D29" s="153">
        <v>2.048</v>
      </c>
      <c r="E29" s="153">
        <v>2.048</v>
      </c>
      <c r="F29" s="153">
        <v>2.048</v>
      </c>
      <c r="G29" s="153">
        <v>2.4849999999999999</v>
      </c>
      <c r="H29" s="153">
        <v>2.4849999999999999</v>
      </c>
      <c r="I29" s="153">
        <v>2.4849999999999999</v>
      </c>
      <c r="J29" s="156">
        <v>2.4849999999999999</v>
      </c>
      <c r="K29" s="293">
        <f>HLOOKUP(INVOER!R$24,B$22:J$43,8)</f>
        <v>2.4849999999999999</v>
      </c>
      <c r="Q29" s="53"/>
      <c r="R29" s="6"/>
      <c r="S29" s="232"/>
      <c r="T29" s="54"/>
    </row>
    <row r="30" spans="1:20" x14ac:dyDescent="0.2">
      <c r="A30" s="160" t="s">
        <v>129</v>
      </c>
      <c r="B30" s="157"/>
      <c r="C30" s="157"/>
      <c r="D30" s="157"/>
      <c r="E30" s="157"/>
      <c r="F30" s="157"/>
      <c r="G30" s="157"/>
      <c r="H30" s="157"/>
      <c r="I30" s="157"/>
      <c r="J30" s="158"/>
      <c r="K30" s="293">
        <v>1.3120000000000001</v>
      </c>
      <c r="Q30" s="51" t="s">
        <v>25</v>
      </c>
      <c r="R30" s="5" t="s">
        <v>66</v>
      </c>
      <c r="S30" s="269" t="s">
        <v>67</v>
      </c>
      <c r="T30" s="225" t="s">
        <v>150</v>
      </c>
    </row>
    <row r="31" spans="1:20" x14ac:dyDescent="0.2">
      <c r="A31" s="160" t="s">
        <v>130</v>
      </c>
      <c r="B31" s="157"/>
      <c r="C31" s="157"/>
      <c r="D31" s="157"/>
      <c r="E31" s="157"/>
      <c r="F31" s="157"/>
      <c r="G31" s="157"/>
      <c r="H31" s="157"/>
      <c r="I31" s="157"/>
      <c r="J31" s="158"/>
      <c r="K31" s="293">
        <v>0.6</v>
      </c>
      <c r="Q31" s="53">
        <v>300</v>
      </c>
      <c r="R31" s="6"/>
      <c r="S31" s="232"/>
      <c r="T31" s="54" t="s">
        <v>151</v>
      </c>
    </row>
    <row r="32" spans="1:20" x14ac:dyDescent="0.2">
      <c r="A32" s="160" t="s">
        <v>131</v>
      </c>
      <c r="B32" s="157"/>
      <c r="C32" s="157"/>
      <c r="D32" s="157"/>
      <c r="E32" s="157"/>
      <c r="F32" s="157"/>
      <c r="G32" s="157"/>
      <c r="H32" s="157"/>
      <c r="I32" s="157"/>
      <c r="J32" s="158"/>
      <c r="K32" s="293">
        <v>0.4</v>
      </c>
      <c r="Q32" s="53">
        <v>350</v>
      </c>
      <c r="R32" s="6">
        <v>24.693000000000001</v>
      </c>
      <c r="S32" s="232">
        <v>-16.765999999999998</v>
      </c>
      <c r="T32" s="54">
        <f>R32+S32*C$14</f>
        <v>7.9270000000000032</v>
      </c>
    </row>
    <row r="33" spans="1:20" x14ac:dyDescent="0.2">
      <c r="A33" s="160" t="s">
        <v>132</v>
      </c>
      <c r="B33" s="157"/>
      <c r="C33" s="157"/>
      <c r="D33" s="157"/>
      <c r="E33" s="157"/>
      <c r="F33" s="157"/>
      <c r="G33" s="157"/>
      <c r="H33" s="157"/>
      <c r="I33" s="157"/>
      <c r="J33" s="158"/>
      <c r="K33" s="293">
        <v>0.3</v>
      </c>
      <c r="Q33" s="53">
        <v>435</v>
      </c>
      <c r="R33" s="6">
        <v>19.100999999999999</v>
      </c>
      <c r="S33" s="232">
        <v>-10.840999999999999</v>
      </c>
      <c r="T33" s="54">
        <f>R33+S33*C$14</f>
        <v>8.26</v>
      </c>
    </row>
    <row r="34" spans="1:20" x14ac:dyDescent="0.2">
      <c r="A34" s="172" t="s">
        <v>72</v>
      </c>
      <c r="B34" s="163">
        <v>3</v>
      </c>
      <c r="C34" s="163">
        <v>3.5062000000000002</v>
      </c>
      <c r="D34" s="163">
        <v>4.3517000000000001</v>
      </c>
      <c r="E34" s="163">
        <v>5.5115999999999996</v>
      </c>
      <c r="F34" s="163">
        <v>7.4817</v>
      </c>
      <c r="G34" s="173">
        <v>8.4659999999999993</v>
      </c>
      <c r="H34" s="163">
        <v>8.4659999999999993</v>
      </c>
      <c r="I34" s="163">
        <v>18.629000000000001</v>
      </c>
      <c r="J34" s="167">
        <v>18.629000000000001</v>
      </c>
      <c r="K34" s="292">
        <f>HLOOKUP(INVOER!R$24,B$22:J$43,13)</f>
        <v>8.4659999999999993</v>
      </c>
      <c r="Q34" s="53">
        <v>550</v>
      </c>
      <c r="R34" s="6">
        <v>14.055999999999999</v>
      </c>
      <c r="S34" s="232">
        <v>-6.4409999999999998</v>
      </c>
      <c r="T34" s="54">
        <f>R34+S34*C$14</f>
        <v>7.6149999999999993</v>
      </c>
    </row>
    <row r="35" spans="1:20" x14ac:dyDescent="0.2">
      <c r="A35" s="170" t="s">
        <v>76</v>
      </c>
      <c r="B35" s="5">
        <v>1.1499999999999999</v>
      </c>
      <c r="C35" s="44">
        <v>1</v>
      </c>
      <c r="D35" s="44">
        <v>0.69</v>
      </c>
      <c r="E35" s="44">
        <v>0.52700000000000002</v>
      </c>
      <c r="F35" s="44">
        <v>0.5</v>
      </c>
      <c r="G35" s="171">
        <v>0.52</v>
      </c>
      <c r="H35" s="44">
        <v>0.51870000000000005</v>
      </c>
      <c r="I35" s="5">
        <v>0.5</v>
      </c>
      <c r="J35" s="52">
        <v>0.4617</v>
      </c>
      <c r="K35" s="291">
        <f>HLOOKUP(INVOER!R$24,B$22:J$43,14)</f>
        <v>0.52</v>
      </c>
      <c r="Q35" s="53">
        <v>750</v>
      </c>
      <c r="R35" s="6">
        <v>10.423999999999999</v>
      </c>
      <c r="S35" s="232">
        <v>-3.8180000000000001</v>
      </c>
      <c r="T35" s="54">
        <f>R35+S35*C$14</f>
        <v>6.6059999999999999</v>
      </c>
    </row>
    <row r="36" spans="1:20" x14ac:dyDescent="0.2">
      <c r="A36" s="159" t="s">
        <v>78</v>
      </c>
      <c r="B36" s="6">
        <v>8.5308395061728408</v>
      </c>
      <c r="C36" s="45">
        <v>4.4862000000000002</v>
      </c>
      <c r="D36" s="45">
        <v>4.2902199999999997</v>
      </c>
      <c r="E36" s="45">
        <v>3.3210999999999999</v>
      </c>
      <c r="F36" s="45">
        <v>4.0940000000000003</v>
      </c>
      <c r="G36" s="153">
        <v>-0.106</v>
      </c>
      <c r="H36" s="45">
        <v>4.2781000000000002</v>
      </c>
      <c r="I36" s="6">
        <v>-0.19600000000000001</v>
      </c>
      <c r="J36" s="54">
        <v>-0.23960000000000001</v>
      </c>
      <c r="K36" s="293">
        <f>HLOOKUP(INVOER!R$24,B$22:J$43,15)</f>
        <v>-0.106</v>
      </c>
      <c r="Q36" s="53">
        <v>850</v>
      </c>
      <c r="R36" s="6">
        <v>9.8019999999999996</v>
      </c>
      <c r="S36" s="232">
        <v>-3.63</v>
      </c>
      <c r="T36" s="54">
        <f>R36+S36*C$14</f>
        <v>6.1719999999999997</v>
      </c>
    </row>
    <row r="37" spans="1:20" x14ac:dyDescent="0.2">
      <c r="A37" s="159" t="s">
        <v>80</v>
      </c>
      <c r="B37" s="6">
        <v>7.4569999999999999</v>
      </c>
      <c r="C37" s="45">
        <v>5.3514999999999997</v>
      </c>
      <c r="D37" s="45">
        <v>4.3440000000000003</v>
      </c>
      <c r="E37" s="45">
        <v>3.4708000000000001</v>
      </c>
      <c r="F37" s="45">
        <v>2.8803000000000001</v>
      </c>
      <c r="G37" s="153">
        <v>1.9418</v>
      </c>
      <c r="H37" s="45">
        <v>1.6412</v>
      </c>
      <c r="I37" s="6">
        <v>1.1927000000000001</v>
      </c>
      <c r="J37" s="54">
        <v>0.29210000000000003</v>
      </c>
      <c r="K37" s="293">
        <f>HLOOKUP(INVOER!R$24,B$22:J$43,16)</f>
        <v>1.9418</v>
      </c>
      <c r="Q37" s="53">
        <v>1850</v>
      </c>
      <c r="R37" s="6"/>
      <c r="S37" s="232"/>
      <c r="T37" s="54" t="s">
        <v>151</v>
      </c>
    </row>
    <row r="38" spans="1:20" x14ac:dyDescent="0.2">
      <c r="A38" s="159" t="s">
        <v>82</v>
      </c>
      <c r="B38" s="6">
        <v>1.610169719411773</v>
      </c>
      <c r="C38" s="45">
        <v>2.4257</v>
      </c>
      <c r="D38" s="45">
        <v>1.34518</v>
      </c>
      <c r="E38" s="45">
        <v>1.7857000000000001</v>
      </c>
      <c r="F38" s="45">
        <v>1.0519000000000001</v>
      </c>
      <c r="G38" s="153">
        <v>2.0196999999999998</v>
      </c>
      <c r="H38" s="45">
        <v>6.7769999999999997E-2</v>
      </c>
      <c r="I38" s="6">
        <v>1.36877</v>
      </c>
      <c r="J38" s="54">
        <v>0.12690000000000001</v>
      </c>
      <c r="K38" s="293">
        <f>HLOOKUP(INVOER!R$24,B$22:J$43,17)</f>
        <v>2.0196999999999998</v>
      </c>
      <c r="Q38" s="55"/>
      <c r="R38" s="56"/>
      <c r="S38" s="270"/>
      <c r="T38" s="60"/>
    </row>
    <row r="39" spans="1:20" x14ac:dyDescent="0.2">
      <c r="A39" s="159" t="s">
        <v>73</v>
      </c>
      <c r="B39" s="6">
        <v>1.0049999999999999</v>
      </c>
      <c r="C39" s="45">
        <v>1.0474300000000001</v>
      </c>
      <c r="D39" s="45">
        <v>1.139</v>
      </c>
      <c r="E39" s="45">
        <v>0.91626700000000005</v>
      </c>
      <c r="F39" s="45">
        <v>0.83550000000000002</v>
      </c>
      <c r="G39" s="153">
        <v>0.73704999999999998</v>
      </c>
      <c r="H39" s="45">
        <v>0.83860000000000001</v>
      </c>
      <c r="I39" s="6">
        <v>0.59833000000000003</v>
      </c>
      <c r="J39" s="54">
        <v>0.45600000000000002</v>
      </c>
      <c r="K39" s="293">
        <f>HLOOKUP(INVOER!R$24,B$22:J$43,18)</f>
        <v>0.73704999999999998</v>
      </c>
      <c r="Q39" s="53"/>
      <c r="R39" s="6" t="s">
        <v>203</v>
      </c>
      <c r="S39" s="232"/>
      <c r="T39" s="223">
        <f>VLOOKUP(K23,Q31:T37,4)</f>
        <v>6.1719999999999997</v>
      </c>
    </row>
    <row r="40" spans="1:20" x14ac:dyDescent="0.2">
      <c r="A40" s="159" t="s">
        <v>74</v>
      </c>
      <c r="B40" s="6">
        <v>0.47891804527756254</v>
      </c>
      <c r="C40" s="45">
        <v>0.6472</v>
      </c>
      <c r="D40" s="45">
        <v>0.58902399999999999</v>
      </c>
      <c r="E40" s="45">
        <v>0.71042000000000005</v>
      </c>
      <c r="F40" s="45">
        <v>0.60099999999999998</v>
      </c>
      <c r="G40" s="153">
        <v>0.7077</v>
      </c>
      <c r="H40" s="45">
        <v>0.33150000000000002</v>
      </c>
      <c r="I40" s="6">
        <v>0.61733000000000005</v>
      </c>
      <c r="J40" s="54">
        <v>0.36330000000000001</v>
      </c>
      <c r="K40" s="293">
        <f>HLOOKUP(INVOER!R$24,B$22:J$43,19)</f>
        <v>0.7077</v>
      </c>
      <c r="Q40" s="55"/>
      <c r="R40" s="56"/>
      <c r="S40" s="270"/>
      <c r="T40" s="60"/>
    </row>
    <row r="41" spans="1:20" x14ac:dyDescent="0.2">
      <c r="A41" s="161" t="s">
        <v>231</v>
      </c>
      <c r="B41" s="154">
        <v>12.2</v>
      </c>
      <c r="C41" s="155">
        <v>10.199999999999999</v>
      </c>
      <c r="D41" s="61">
        <v>8.93</v>
      </c>
      <c r="E41" s="61">
        <v>8.6199999999999992</v>
      </c>
      <c r="F41" s="61">
        <v>8.3000000000000007</v>
      </c>
      <c r="G41" s="154">
        <v>7.8</v>
      </c>
      <c r="H41" s="61">
        <v>10</v>
      </c>
      <c r="I41" s="56">
        <v>9.3000000000000007</v>
      </c>
      <c r="J41" s="60">
        <v>10.45</v>
      </c>
      <c r="K41" s="294">
        <f>HLOOKUP(INVOER!R$24,B$22:J$43,20)</f>
        <v>7.8</v>
      </c>
    </row>
    <row r="42" spans="1:20" x14ac:dyDescent="0.2">
      <c r="A42" s="152"/>
      <c r="B42" s="153"/>
      <c r="C42" s="45"/>
      <c r="D42" s="45"/>
      <c r="E42" s="45"/>
      <c r="F42" s="45"/>
      <c r="G42" s="45"/>
      <c r="H42" s="45"/>
      <c r="I42" s="6"/>
      <c r="J42" s="6"/>
      <c r="K42" s="293"/>
    </row>
    <row r="43" spans="1:20" x14ac:dyDescent="0.2">
      <c r="A43" s="172" t="s">
        <v>86</v>
      </c>
      <c r="B43" s="173">
        <v>7</v>
      </c>
      <c r="C43" s="163">
        <v>7</v>
      </c>
      <c r="D43" s="163">
        <v>7</v>
      </c>
      <c r="E43" s="163">
        <v>7</v>
      </c>
      <c r="F43" s="163">
        <v>7.5</v>
      </c>
      <c r="G43" s="163">
        <v>9.5</v>
      </c>
      <c r="H43" s="84"/>
      <c r="I43" s="163">
        <v>14.5</v>
      </c>
      <c r="J43" s="84"/>
      <c r="K43" s="292">
        <f>HLOOKUP(INVOER!R$24,B$22:J$43,22)</f>
        <v>9.5</v>
      </c>
    </row>
    <row r="47" spans="1:20" x14ac:dyDescent="0.2">
      <c r="G47" s="180"/>
      <c r="H47" s="180"/>
      <c r="I47" s="180"/>
      <c r="J47" s="180"/>
      <c r="K47" s="268"/>
      <c r="L47" s="268"/>
    </row>
    <row r="48" spans="1:20" x14ac:dyDescent="0.2">
      <c r="A48" t="s">
        <v>206</v>
      </c>
      <c r="G48" s="180" t="s">
        <v>197</v>
      </c>
      <c r="H48" s="180"/>
      <c r="I48" s="180"/>
      <c r="J48" s="180"/>
      <c r="K48" s="268"/>
      <c r="L48" s="268"/>
    </row>
    <row r="49" spans="1:23" x14ac:dyDescent="0.2">
      <c r="G49" s="180"/>
      <c r="H49" s="180"/>
      <c r="I49" s="200"/>
      <c r="J49" s="200"/>
      <c r="K49" s="295"/>
      <c r="L49" s="268"/>
    </row>
    <row r="50" spans="1:23" x14ac:dyDescent="0.2">
      <c r="A50" s="51"/>
      <c r="B50" s="5"/>
      <c r="C50" s="52"/>
      <c r="G50" s="201"/>
      <c r="H50" s="202"/>
      <c r="I50" s="201" t="s">
        <v>229</v>
      </c>
      <c r="J50" s="216" t="s">
        <v>230</v>
      </c>
      <c r="K50" s="203" t="s">
        <v>75</v>
      </c>
      <c r="L50" s="268"/>
    </row>
    <row r="51" spans="1:23" x14ac:dyDescent="0.2">
      <c r="A51" s="53" t="s">
        <v>227</v>
      </c>
      <c r="B51" s="6">
        <f>SQRT(INVOER!C14/1000*2000*INVOER!C7*16/INVOER!C8/0.0181/INVOER!B21)</f>
        <v>1.2515420236609607</v>
      </c>
      <c r="C51" s="54"/>
      <c r="G51" s="204" t="s">
        <v>77</v>
      </c>
      <c r="H51" s="202">
        <v>0.95</v>
      </c>
      <c r="I51" s="207">
        <f t="shared" ref="I51:I56" si="0">$K$37*$B$51*((-LN(H51^(1/($B$54*$B$64))))^(1/$K$39))+$K$35*$B$51</f>
        <v>0.68620726181660807</v>
      </c>
      <c r="J51" s="214">
        <f t="shared" ref="J51:J56" si="1">$K$38*$B$51*((-LN(H51^(1/($B$54*$B$64))))^(1/$K$40))+$K$36*$B$51</f>
        <v>-0.10176159293455823</v>
      </c>
      <c r="K51" s="296">
        <f t="shared" ref="K51:K56" si="2">IF(I51/$B$51&lt;K$41,I51,J51)</f>
        <v>0.68620726181660807</v>
      </c>
      <c r="L51" s="268"/>
    </row>
    <row r="52" spans="1:23" x14ac:dyDescent="0.2">
      <c r="A52" s="55"/>
      <c r="B52" s="56"/>
      <c r="C52" s="60"/>
      <c r="G52" s="205" t="s">
        <v>79</v>
      </c>
      <c r="H52" s="206">
        <v>0.9</v>
      </c>
      <c r="I52" s="208">
        <f t="shared" si="0"/>
        <v>0.74482099353581055</v>
      </c>
      <c r="J52" s="215">
        <f t="shared" si="1"/>
        <v>-4.7211565011908457E-2</v>
      </c>
      <c r="K52" s="297">
        <f t="shared" si="2"/>
        <v>0.74482099353581055</v>
      </c>
      <c r="L52" s="268"/>
    </row>
    <row r="53" spans="1:23" x14ac:dyDescent="0.2">
      <c r="A53" s="51" t="s">
        <v>208</v>
      </c>
      <c r="B53" s="5"/>
      <c r="C53" s="52"/>
      <c r="G53" s="205" t="s">
        <v>81</v>
      </c>
      <c r="H53" s="206">
        <v>0.5</v>
      </c>
      <c r="I53" s="208">
        <f t="shared" si="0"/>
        <v>1.8620865438356906</v>
      </c>
      <c r="J53" s="215">
        <f t="shared" si="1"/>
        <v>1.0913528344061458</v>
      </c>
      <c r="K53" s="297">
        <f t="shared" si="2"/>
        <v>1.8620865438356906</v>
      </c>
      <c r="L53" s="268"/>
    </row>
    <row r="54" spans="1:23" x14ac:dyDescent="0.2">
      <c r="A54" s="59" t="s">
        <v>207</v>
      </c>
      <c r="B54" s="45">
        <f>C14^(-1.3)</f>
        <v>1</v>
      </c>
      <c r="C54" s="54"/>
      <c r="G54" s="205" t="s">
        <v>83</v>
      </c>
      <c r="H54" s="206">
        <v>0.1</v>
      </c>
      <c r="I54" s="208">
        <f t="shared" si="0"/>
        <v>6.8259540145338988</v>
      </c>
      <c r="J54" s="215">
        <f t="shared" si="1"/>
        <v>6.543489070484716</v>
      </c>
      <c r="K54" s="297">
        <f t="shared" si="2"/>
        <v>6.8259540145338988</v>
      </c>
      <c r="L54" s="268"/>
    </row>
    <row r="55" spans="1:23" x14ac:dyDescent="0.2">
      <c r="A55" s="53"/>
      <c r="B55" s="6"/>
      <c r="C55" s="54"/>
      <c r="G55" s="205" t="s">
        <v>84</v>
      </c>
      <c r="H55" s="206">
        <v>0.05</v>
      </c>
      <c r="I55" s="208">
        <f t="shared" si="0"/>
        <v>9.4756678610161078</v>
      </c>
      <c r="J55" s="215">
        <f t="shared" si="1"/>
        <v>9.5505037714939736</v>
      </c>
      <c r="K55" s="297">
        <f t="shared" si="2"/>
        <v>9.4756678610161078</v>
      </c>
      <c r="L55" s="268"/>
    </row>
    <row r="56" spans="1:23" x14ac:dyDescent="0.2">
      <c r="A56" s="51" t="s">
        <v>232</v>
      </c>
      <c r="B56" s="5"/>
      <c r="C56" s="52"/>
      <c r="G56" s="206" t="s">
        <v>85</v>
      </c>
      <c r="H56" s="206">
        <v>9.9999999999999995E-8</v>
      </c>
      <c r="I56" s="208">
        <f t="shared" si="0"/>
        <v>87.195990408677915</v>
      </c>
      <c r="J56" s="215">
        <f t="shared" si="1"/>
        <v>104.26085716278493</v>
      </c>
      <c r="K56" s="297">
        <f t="shared" si="2"/>
        <v>104.26085716278493</v>
      </c>
      <c r="L56" s="268"/>
    </row>
    <row r="57" spans="1:23" x14ac:dyDescent="0.2">
      <c r="A57" s="53"/>
      <c r="B57" s="6"/>
      <c r="C57" s="54"/>
      <c r="G57" s="168" t="s">
        <v>91</v>
      </c>
      <c r="H57" s="171">
        <f>$K$35*$B$51</f>
        <v>0.65080185230369958</v>
      </c>
      <c r="I57" s="43" t="s">
        <v>205</v>
      </c>
      <c r="J57" s="44"/>
      <c r="K57" s="298"/>
      <c r="L57" s="232"/>
    </row>
    <row r="58" spans="1:23" x14ac:dyDescent="0.2">
      <c r="A58" s="53" t="s">
        <v>106</v>
      </c>
      <c r="B58" s="178">
        <f>INVOER!U18</f>
        <v>7.7000000000000013E-2</v>
      </c>
      <c r="C58" s="179" t="s">
        <v>105</v>
      </c>
      <c r="G58" s="165" t="s">
        <v>92</v>
      </c>
      <c r="H58" s="175">
        <f>(K56/H57)^(1/110)</f>
        <v>1.0472309703570206</v>
      </c>
      <c r="I58" s="53"/>
      <c r="J58" s="6"/>
      <c r="K58" s="299"/>
      <c r="L58" s="232"/>
    </row>
    <row r="59" spans="1:23" x14ac:dyDescent="0.2">
      <c r="A59" s="58" t="s">
        <v>222</v>
      </c>
      <c r="B59" s="45">
        <f>0.97833+2.918055*B58-39.3739*B58^2+472.0149*B58^3-769.586*B58^4</f>
        <v>1.1580094720306742</v>
      </c>
      <c r="C59" s="54"/>
      <c r="G59" s="53" t="s">
        <v>242</v>
      </c>
      <c r="H59" s="6"/>
      <c r="I59" s="6"/>
      <c r="J59" s="6"/>
      <c r="K59" s="299"/>
      <c r="L59" s="232"/>
    </row>
    <row r="60" spans="1:23" x14ac:dyDescent="0.2">
      <c r="A60" s="58" t="s">
        <v>223</v>
      </c>
      <c r="B60" s="45">
        <f>-0.30338+21.91961*B58-73.5039*B58^2+112.485*B58^3-63.4408*B58^4</f>
        <v>0.99774832436152727</v>
      </c>
      <c r="C60" s="54"/>
      <c r="G60" s="53" t="s">
        <v>243</v>
      </c>
      <c r="H60" s="6"/>
      <c r="I60" s="6"/>
      <c r="J60" s="6"/>
      <c r="K60" s="299"/>
      <c r="L60" s="232"/>
    </row>
    <row r="61" spans="1:23" x14ac:dyDescent="0.2">
      <c r="A61" s="58" t="s">
        <v>224</v>
      </c>
      <c r="B61" s="45">
        <f>2.043212+0.725352*B58-0.2663*B58^2+0.04299*B58^3-0.00233*B58^4</f>
        <v>2.0975047557470843</v>
      </c>
      <c r="C61" s="54"/>
      <c r="G61" s="53" t="s">
        <v>237</v>
      </c>
      <c r="H61" s="6"/>
      <c r="I61" s="6"/>
      <c r="J61" s="6"/>
      <c r="K61" s="299"/>
      <c r="L61" s="232"/>
    </row>
    <row r="62" spans="1:23" x14ac:dyDescent="0.2">
      <c r="A62" s="58" t="s">
        <v>225</v>
      </c>
      <c r="B62" s="45">
        <f>2.853325+0.019026*B58-0.00036*B58^2+0.000003*B58^3-0.0000000065*B58^4</f>
        <v>2.8547878689293706</v>
      </c>
      <c r="C62" s="54"/>
      <c r="D62" s="157"/>
      <c r="E62" s="157"/>
      <c r="G62" s="55" t="s">
        <v>245</v>
      </c>
      <c r="H62" s="56"/>
      <c r="I62" s="56"/>
      <c r="J62" s="56"/>
      <c r="K62" s="300"/>
      <c r="L62" s="232"/>
    </row>
    <row r="63" spans="1:23" x14ac:dyDescent="0.2">
      <c r="A63" s="58" t="s">
        <v>221</v>
      </c>
      <c r="B63" s="45">
        <f>IF(INVOER!R36=1,1,IF(B58&lt;0.02,1,(IF(B58&lt;0.14,B59,(IF(B58&lt;0.7,B60,(IF(B58&lt;9.1,B61,B62))))))))</f>
        <v>1.1580094720306742</v>
      </c>
      <c r="C63" s="54"/>
      <c r="F63" s="227" t="s">
        <v>244</v>
      </c>
      <c r="G63" s="157"/>
      <c r="H63" s="157"/>
      <c r="I63" s="157"/>
      <c r="J63" s="157"/>
      <c r="K63" s="272"/>
      <c r="W63" s="6"/>
    </row>
    <row r="64" spans="1:23" x14ac:dyDescent="0.2">
      <c r="A64" s="53" t="s">
        <v>160</v>
      </c>
      <c r="B64" s="6">
        <f>IF(INVOER!R35=1,1,Berekening!B63)</f>
        <v>1.1580094720306742</v>
      </c>
      <c r="C64" s="54" t="str">
        <f>IF(B64=1,"neen","ja")</f>
        <v>ja</v>
      </c>
      <c r="F64" s="227" t="s">
        <v>246</v>
      </c>
      <c r="G64" s="157"/>
      <c r="H64" s="157"/>
      <c r="I64" s="157"/>
      <c r="J64" s="157"/>
      <c r="K64" s="272"/>
      <c r="W64" s="6"/>
    </row>
    <row r="65" spans="1:30" x14ac:dyDescent="0.2">
      <c r="A65" s="55"/>
      <c r="B65" s="56"/>
      <c r="C65" s="60"/>
      <c r="F65" s="229" t="s">
        <v>247</v>
      </c>
      <c r="G65" s="157"/>
      <c r="H65" s="157"/>
      <c r="I65" s="157"/>
      <c r="J65" s="157"/>
      <c r="K65" s="272"/>
      <c r="W65" s="6"/>
    </row>
    <row r="66" spans="1:30" x14ac:dyDescent="0.2">
      <c r="W66" s="6"/>
    </row>
    <row r="67" spans="1:30" x14ac:dyDescent="0.2">
      <c r="V67" s="232"/>
    </row>
    <row r="68" spans="1:30" x14ac:dyDescent="0.2">
      <c r="V68" s="232"/>
    </row>
    <row r="69" spans="1:30" x14ac:dyDescent="0.2">
      <c r="D69" s="227" t="s">
        <v>251</v>
      </c>
      <c r="V69" s="232"/>
    </row>
    <row r="70" spans="1:30" x14ac:dyDescent="0.2">
      <c r="D70" s="227" t="s">
        <v>252</v>
      </c>
      <c r="V70" s="232"/>
    </row>
    <row r="71" spans="1:30" x14ac:dyDescent="0.2">
      <c r="S71" s="270"/>
      <c r="W71" s="6"/>
    </row>
    <row r="72" spans="1:30" x14ac:dyDescent="0.2">
      <c r="A72" s="51"/>
      <c r="B72" s="5"/>
      <c r="C72" s="199"/>
      <c r="D72" s="5" t="s">
        <v>201</v>
      </c>
      <c r="E72" s="5"/>
      <c r="F72" s="5"/>
      <c r="G72" s="5"/>
      <c r="H72" s="5"/>
      <c r="I72" s="52"/>
      <c r="J72" s="162"/>
      <c r="K72" s="301" t="s">
        <v>202</v>
      </c>
      <c r="L72" s="269"/>
      <c r="M72" s="269"/>
      <c r="N72" s="269"/>
      <c r="O72" s="269"/>
      <c r="P72" s="5"/>
      <c r="Q72" s="5"/>
      <c r="R72" s="5"/>
      <c r="T72" s="52"/>
      <c r="U72" s="277"/>
      <c r="V72" s="277"/>
      <c r="W72" s="157"/>
      <c r="Y72" t="s">
        <v>236</v>
      </c>
    </row>
    <row r="73" spans="1:30" x14ac:dyDescent="0.2">
      <c r="A73" s="53"/>
      <c r="B73" s="6"/>
      <c r="C73" s="158"/>
      <c r="D73" s="197" t="s">
        <v>214</v>
      </c>
      <c r="E73" s="56"/>
      <c r="F73" s="56"/>
      <c r="G73" s="56"/>
      <c r="H73" s="56"/>
      <c r="I73" s="60"/>
      <c r="J73" s="253"/>
      <c r="K73" s="302" t="s">
        <v>199</v>
      </c>
      <c r="L73" s="270"/>
      <c r="M73" s="270"/>
      <c r="N73" s="270"/>
      <c r="O73" s="270"/>
      <c r="P73" s="56"/>
      <c r="Q73" s="56"/>
      <c r="R73" s="56"/>
      <c r="S73" s="270"/>
      <c r="T73" s="60"/>
      <c r="U73" s="278"/>
      <c r="V73" s="278"/>
      <c r="W73" s="157"/>
      <c r="Y73" s="6"/>
      <c r="Z73" s="6"/>
      <c r="AA73" s="6"/>
      <c r="AB73" s="6"/>
    </row>
    <row r="74" spans="1:30" x14ac:dyDescent="0.2">
      <c r="A74" s="53"/>
      <c r="B74" s="6"/>
      <c r="C74" s="158"/>
      <c r="D74" s="198" t="s">
        <v>210</v>
      </c>
      <c r="E74" s="153" t="s">
        <v>211</v>
      </c>
      <c r="F74" s="189" t="s">
        <v>210</v>
      </c>
      <c r="G74" s="156" t="s">
        <v>211</v>
      </c>
      <c r="H74" s="54" t="s">
        <v>239</v>
      </c>
      <c r="I74" s="6" t="s">
        <v>239</v>
      </c>
      <c r="J74" s="259" t="s">
        <v>259</v>
      </c>
      <c r="K74" s="301"/>
      <c r="L74" s="269"/>
      <c r="M74" s="269"/>
      <c r="N74" s="269"/>
      <c r="O74" s="269"/>
      <c r="P74" s="190"/>
      <c r="Q74" s="5"/>
      <c r="R74" s="5" t="s">
        <v>103</v>
      </c>
      <c r="S74" s="267" t="s">
        <v>95</v>
      </c>
      <c r="T74" s="199" t="s">
        <v>104</v>
      </c>
      <c r="U74" s="278" t="s">
        <v>189</v>
      </c>
      <c r="V74" s="278" t="s">
        <v>213</v>
      </c>
      <c r="Y74" s="51" t="s">
        <v>101</v>
      </c>
      <c r="Z74" s="5" t="s">
        <v>93</v>
      </c>
      <c r="AA74" s="5" t="s">
        <v>96</v>
      </c>
      <c r="AB74" s="5" t="s">
        <v>102</v>
      </c>
      <c r="AC74" s="5" t="s">
        <v>209</v>
      </c>
      <c r="AD74" s="52" t="s">
        <v>93</v>
      </c>
    </row>
    <row r="75" spans="1:30" x14ac:dyDescent="0.2">
      <c r="A75" s="55" t="s">
        <v>198</v>
      </c>
      <c r="B75" s="56" t="s">
        <v>215</v>
      </c>
      <c r="C75" s="195" t="s">
        <v>212</v>
      </c>
      <c r="D75" s="157" t="s">
        <v>189</v>
      </c>
      <c r="E75" s="198" t="s">
        <v>189</v>
      </c>
      <c r="F75" s="186" t="s">
        <v>213</v>
      </c>
      <c r="G75" s="187" t="s">
        <v>213</v>
      </c>
      <c r="H75" s="209" t="s">
        <v>189</v>
      </c>
      <c r="I75" s="56" t="s">
        <v>213</v>
      </c>
      <c r="J75" s="253" t="s">
        <v>240</v>
      </c>
      <c r="K75" s="233"/>
      <c r="L75" s="232" t="s">
        <v>97</v>
      </c>
      <c r="M75" s="232" t="s">
        <v>98</v>
      </c>
      <c r="N75" s="232" t="s">
        <v>99</v>
      </c>
      <c r="O75" s="232" t="s">
        <v>100</v>
      </c>
      <c r="P75" s="6" t="s">
        <v>94</v>
      </c>
      <c r="Q75" s="6" t="s">
        <v>76</v>
      </c>
      <c r="R75" s="6" t="s">
        <v>95</v>
      </c>
      <c r="S75" s="272" t="s">
        <v>5</v>
      </c>
      <c r="T75" s="158" t="s">
        <v>5</v>
      </c>
      <c r="U75" s="278" t="s">
        <v>234</v>
      </c>
      <c r="V75" s="278" t="s">
        <v>234</v>
      </c>
      <c r="Y75" s="55"/>
      <c r="Z75" s="56"/>
      <c r="AA75" s="56"/>
      <c r="AB75" s="56"/>
      <c r="AC75" s="56"/>
      <c r="AD75" s="54" t="s">
        <v>240</v>
      </c>
    </row>
    <row r="76" spans="1:30" x14ac:dyDescent="0.2">
      <c r="A76" s="53">
        <f>Berekening!H57</f>
        <v>0.65080185230369958</v>
      </c>
      <c r="B76" s="6">
        <f>A76/2</f>
        <v>0.32540092615184979</v>
      </c>
      <c r="C76" s="182">
        <f>B76/$B$51</f>
        <v>0.26</v>
      </c>
      <c r="D76" s="210">
        <f>IF(C76-$K$35&gt;0,EXP(-(((C76-$K$35)/$K$37)^$K$39)),1)</f>
        <v>1</v>
      </c>
      <c r="E76" s="211">
        <f>IF(C76-$K$36&gt;0,EXP(-(((C76-$K$36)/$K$38)^$K$40)),1)</f>
        <v>0.74188962951249193</v>
      </c>
      <c r="F76" s="51">
        <f t="shared" ref="F76:F97" si="3">D76^($B$54*$B$63)</f>
        <v>1</v>
      </c>
      <c r="G76" s="193">
        <f t="shared" ref="G76:G97" si="4">E76^($B$54*$B$63)</f>
        <v>0.70770405112379142</v>
      </c>
      <c r="H76" s="194">
        <f>IF(C76&lt;$K$41,D76,E76)</f>
        <v>1</v>
      </c>
      <c r="I76" s="244">
        <f>IF(C76&lt;$K$41,F76,G76)</f>
        <v>1</v>
      </c>
      <c r="J76" s="162">
        <f>IF(INVOER!$R$35=1,100-H76*100,100-I76*100)</f>
        <v>0</v>
      </c>
      <c r="K76" s="301">
        <f t="shared" ref="K76:K107" si="5">VLOOKUP(A76,Z$76:AB$146,3)</f>
        <v>0</v>
      </c>
      <c r="L76" s="269">
        <f t="shared" ref="L76:L107" si="6">IF(K76=0,VLOOKUP(1,Y$77:AA$146,2),VLOOKUP(K76,Y$76:Z$145,2))</f>
        <v>10</v>
      </c>
      <c r="M76" s="269">
        <f t="shared" ref="M76:M107" si="7">IF(K76=0,VLOOKUP(2,Y$77:AA$145,2),VLOOKUP(K76+1,Y$77:Z$145,2))</f>
        <v>15</v>
      </c>
      <c r="N76" s="269">
        <f t="shared" ref="N76:N107" si="8">(VLOOKUP(L76,Z$76:AA$146,2))/100</f>
        <v>0.99199999999999999</v>
      </c>
      <c r="O76" s="269">
        <f t="shared" ref="O76:O107" si="9">(VLOOKUP(M76,Z$76:AA$145,2))/100</f>
        <v>0.85199999999999998</v>
      </c>
      <c r="P76" s="44">
        <f>LN(LN(N76)/LN(O76))/LN(L76/M76)</f>
        <v>7.3810864638246141</v>
      </c>
      <c r="Q76" s="5">
        <f>L76/((-LN(N76))^(1/P76))</f>
        <v>19.224549927406461</v>
      </c>
      <c r="R76" s="246">
        <f>EXP(-((A76/Q76)^P76))</f>
        <v>0.99999999998597844</v>
      </c>
      <c r="S76" s="269">
        <f>R76*100</f>
        <v>99.999999998597843</v>
      </c>
      <c r="T76" s="247">
        <f>100*(1-R76)</f>
        <v>1.4021561689503415E-9</v>
      </c>
      <c r="U76" s="279">
        <f>Berekening!H76*$T76</f>
        <v>1.4021561689503415E-9</v>
      </c>
      <c r="V76" s="280">
        <f>Berekening!I76*$T76</f>
        <v>1.4021561689503415E-9</v>
      </c>
      <c r="Y76" s="51">
        <v>0</v>
      </c>
      <c r="Z76" s="5">
        <v>0</v>
      </c>
      <c r="AA76" s="5">
        <v>100</v>
      </c>
      <c r="AB76" s="5">
        <v>0</v>
      </c>
      <c r="AC76" s="5">
        <f>AA76/100</f>
        <v>1</v>
      </c>
      <c r="AD76" s="199">
        <v>1E-8</v>
      </c>
    </row>
    <row r="77" spans="1:30" x14ac:dyDescent="0.2">
      <c r="A77" s="53">
        <f>A76*Berekening!H$58</f>
        <v>0.68153985529814975</v>
      </c>
      <c r="B77" s="6">
        <f>(A76+A77)/2</f>
        <v>0.66617085380092467</v>
      </c>
      <c r="C77" s="182">
        <f>B77/$B$51</f>
        <v>0.53228005229282538</v>
      </c>
      <c r="D77" s="212">
        <f>IF(C77-$K$35&gt;0,EXP(-(((C77-$K$35)/$K$37)^$K$39)),1)</f>
        <v>0.97633891957876351</v>
      </c>
      <c r="E77" s="209">
        <f>IF(C77-$K$36&gt;0,EXP(-(((C77-$K$36)/$K$38)^$K$40)),1)</f>
        <v>0.64240105305232897</v>
      </c>
      <c r="F77" s="53">
        <f>D77^($B$54*$B$63)</f>
        <v>0.97265180803581741</v>
      </c>
      <c r="G77" s="169">
        <f>E77^($B$54*$B$63)</f>
        <v>0.59901515525382631</v>
      </c>
      <c r="H77" s="184">
        <f>IF(C77&lt;$K$41,D77,E77)</f>
        <v>0.97633891957876351</v>
      </c>
      <c r="I77" s="192">
        <f t="shared" ref="I77:I97" si="10">IF(C77&lt;$K$41,F77,G77)</f>
        <v>0.97265180803581741</v>
      </c>
      <c r="J77" s="160">
        <f>IF(INVOER!$R$35=1,100-H77*100,100-I77*100)</f>
        <v>2.7348191964182575</v>
      </c>
      <c r="K77" s="233">
        <f t="shared" si="5"/>
        <v>0</v>
      </c>
      <c r="L77" s="232">
        <f t="shared" si="6"/>
        <v>10</v>
      </c>
      <c r="M77" s="232">
        <f t="shared" si="7"/>
        <v>15</v>
      </c>
      <c r="N77" s="232">
        <f t="shared" si="8"/>
        <v>0.99199999999999999</v>
      </c>
      <c r="O77" s="232">
        <f t="shared" si="9"/>
        <v>0.85199999999999998</v>
      </c>
      <c r="P77" s="45">
        <f t="shared" ref="P77:P97" si="11">(LN(LN(N77)/LN(O77)))/LN(L77/M77)</f>
        <v>7.3810864638246141</v>
      </c>
      <c r="Q77" s="6">
        <f t="shared" ref="Q77:Q97" si="12">L77/((-LN(N77))^(1/P77))</f>
        <v>19.224549927406461</v>
      </c>
      <c r="R77" s="140">
        <f t="shared" ref="R77:R107" si="13">EXP(-((A77/Q77)^P77))</f>
        <v>0.99999999998028799</v>
      </c>
      <c r="S77" s="232">
        <f t="shared" ref="S77:S140" si="14">R77*100</f>
        <v>99.999999998028798</v>
      </c>
      <c r="T77" s="248">
        <f t="shared" ref="T77:T140" si="15">IF(M77="x",0,(R76-R77)*100)</f>
        <v>5.6904481127162398E-10</v>
      </c>
      <c r="U77" s="281">
        <f>Berekening!H77*$T77</f>
        <v>5.5558059622883876E-10</v>
      </c>
      <c r="V77" s="282">
        <f>Berekening!I77*$T77</f>
        <v>5.5348246453674552E-10</v>
      </c>
      <c r="Y77" s="53">
        <f>Y76+1</f>
        <v>1</v>
      </c>
      <c r="Z77" s="6">
        <f>IF(INVOER!A29=0,"x",INVOER!A29)</f>
        <v>10</v>
      </c>
      <c r="AA77" s="6">
        <f>IF(INVOER!B$29&gt;INVOER!B$30,INVOER!B29,100-INVOER!B29)</f>
        <v>99.2</v>
      </c>
      <c r="AB77" s="6">
        <f>IF(Z77=0,AB76,Y77)</f>
        <v>1</v>
      </c>
      <c r="AC77" s="6">
        <f t="shared" ref="AC77:AC140" si="16">AA77/100</f>
        <v>0.99199999999999999</v>
      </c>
      <c r="AD77" s="54">
        <f>IF(INVOER!A29=0,10000,INVOER!A29)</f>
        <v>10</v>
      </c>
    </row>
    <row r="78" spans="1:30" x14ac:dyDescent="0.2">
      <c r="A78" s="53">
        <f>A77*Berekening!H$58</f>
        <v>0.7137296440008648</v>
      </c>
      <c r="B78" s="6">
        <f t="shared" ref="B78:B97" si="17">(A77+A78)/2</f>
        <v>0.69763474964950722</v>
      </c>
      <c r="C78" s="182">
        <f>B78/$B$51</f>
        <v>0.55742015566430114</v>
      </c>
      <c r="D78" s="212">
        <f t="shared" ref="D78:D87" si="18">IF(C78-$K$35&gt;0,EXP(-(((C78-$K$35)/$K$37)^$K$39)),1)</f>
        <v>0.94701909890369207</v>
      </c>
      <c r="E78" s="209">
        <f t="shared" ref="E78:E97" si="19">IF(C78-$K$36&gt;0,EXP(-(((C78-$K$36)/$K$38)^$K$40)),1)</f>
        <v>0.63456964342585043</v>
      </c>
      <c r="F78" s="53">
        <f>D78^($B$54*$B$63)</f>
        <v>0.9389083346706113</v>
      </c>
      <c r="G78" s="169">
        <f t="shared" si="4"/>
        <v>0.59056696486927052</v>
      </c>
      <c r="H78" s="184">
        <f>IF(C78&lt;$K$41,D78,E78)</f>
        <v>0.94701909890369207</v>
      </c>
      <c r="I78" s="192">
        <f>IF(C78&lt;$K$41,F78,G78)</f>
        <v>0.9389083346706113</v>
      </c>
      <c r="J78" s="160">
        <f>IF(INVOER!$R$35=1,100-H78*100,100-I78*100)</f>
        <v>6.1091665329388718</v>
      </c>
      <c r="K78" s="233">
        <f t="shared" si="5"/>
        <v>0</v>
      </c>
      <c r="L78" s="232">
        <f t="shared" si="6"/>
        <v>10</v>
      </c>
      <c r="M78" s="232">
        <f t="shared" si="7"/>
        <v>15</v>
      </c>
      <c r="N78" s="232">
        <f t="shared" si="8"/>
        <v>0.99199999999999999</v>
      </c>
      <c r="O78" s="232">
        <f t="shared" si="9"/>
        <v>0.85199999999999998</v>
      </c>
      <c r="P78" s="45">
        <f t="shared" si="11"/>
        <v>7.3810864638246141</v>
      </c>
      <c r="Q78" s="6">
        <f t="shared" si="12"/>
        <v>19.224549927406461</v>
      </c>
      <c r="R78" s="140">
        <f t="shared" si="13"/>
        <v>0.99999999997228806</v>
      </c>
      <c r="S78" s="232">
        <f>R78*100</f>
        <v>99.999999997228812</v>
      </c>
      <c r="T78" s="248">
        <f t="shared" si="15"/>
        <v>7.9999340485414905E-10</v>
      </c>
      <c r="U78" s="281">
        <f>Berekening!H78*$T78</f>
        <v>7.5760903339387279E-10</v>
      </c>
      <c r="V78" s="282">
        <f>Berekening!I78*$T78</f>
        <v>7.5112047549908122E-10</v>
      </c>
      <c r="Y78" s="53">
        <f t="shared" ref="Y78:Y141" si="20">Y77+1</f>
        <v>2</v>
      </c>
      <c r="Z78" s="6">
        <f>IF(INVOER!A30=0,"x",INVOER!A30)</f>
        <v>15</v>
      </c>
      <c r="AA78" s="6">
        <f>IF(INVOER!B$29&gt;INVOER!B$30,INVOER!B30,100-INVOER!B30)</f>
        <v>85.2</v>
      </c>
      <c r="AB78" s="6">
        <f t="shared" ref="AB78:AB141" si="21">IF(Z78=0,AB77,Y78)</f>
        <v>2</v>
      </c>
      <c r="AC78" s="6">
        <f t="shared" si="16"/>
        <v>0.85199999999999998</v>
      </c>
      <c r="AD78" s="54">
        <f>IF(INVOER!A30=0,10000,INVOER!A30)</f>
        <v>15</v>
      </c>
    </row>
    <row r="79" spans="1:30" x14ac:dyDescent="0.2">
      <c r="A79" s="53">
        <f>A78*Berekening!H$58</f>
        <v>0.74743978765959651</v>
      </c>
      <c r="B79" s="6">
        <f>(A78+A79)/2</f>
        <v>0.73058471583023066</v>
      </c>
      <c r="C79" s="182">
        <f t="shared" ref="C79:C140" si="22">B79/$B$51</f>
        <v>0.58374765051288768</v>
      </c>
      <c r="D79" s="212">
        <f>IF(C79-$K$35&gt;0,EXP(-(((C79-$K$35)/$K$37)^$K$39)),1)</f>
        <v>0.92254994427266612</v>
      </c>
      <c r="E79" s="209">
        <f t="shared" si="19"/>
        <v>0.62656136950333063</v>
      </c>
      <c r="F79" s="53">
        <f t="shared" si="3"/>
        <v>0.91087326955814807</v>
      </c>
      <c r="G79" s="169">
        <f t="shared" si="4"/>
        <v>0.58194500257208848</v>
      </c>
      <c r="H79" s="184">
        <f>IF(C79&lt;$K$41,D79,E79)</f>
        <v>0.92254994427266612</v>
      </c>
      <c r="I79" s="192">
        <f t="shared" si="10"/>
        <v>0.91087326955814807</v>
      </c>
      <c r="J79" s="160">
        <f>IF(INVOER!$R$35=1,100-H79*100,100-I79*100)</f>
        <v>8.9126730441851976</v>
      </c>
      <c r="K79" s="233">
        <f t="shared" si="5"/>
        <v>0</v>
      </c>
      <c r="L79" s="232">
        <f t="shared" si="6"/>
        <v>10</v>
      </c>
      <c r="M79" s="232">
        <f t="shared" si="7"/>
        <v>15</v>
      </c>
      <c r="N79" s="232">
        <f t="shared" si="8"/>
        <v>0.99199999999999999</v>
      </c>
      <c r="O79" s="232">
        <f t="shared" si="9"/>
        <v>0.85199999999999998</v>
      </c>
      <c r="P79" s="45">
        <f>(LN(LN(N79)/LN(O79)))/LN(L79/M79)</f>
        <v>7.3810864638246141</v>
      </c>
      <c r="Q79" s="6">
        <f t="shared" si="12"/>
        <v>19.224549927406461</v>
      </c>
      <c r="R79" s="140">
        <f t="shared" si="13"/>
        <v>0.99999999996104161</v>
      </c>
      <c r="S79" s="232">
        <f t="shared" si="14"/>
        <v>99.999999996104165</v>
      </c>
      <c r="T79" s="248">
        <f t="shared" si="15"/>
        <v>1.1246448217150373E-9</v>
      </c>
      <c r="U79" s="281">
        <f>Berekening!H79*$T79</f>
        <v>1.0375410175997503E-9</v>
      </c>
      <c r="V79" s="282">
        <f>Berekening!I79*$T79</f>
        <v>1.0244089058472165E-9</v>
      </c>
      <c r="Y79" s="53">
        <f t="shared" si="20"/>
        <v>3</v>
      </c>
      <c r="Z79" s="6">
        <f>IF(INVOER!A31=0,"x",INVOER!A31)</f>
        <v>20</v>
      </c>
      <c r="AA79" s="6">
        <f>IF(INVOER!B$29&gt;INVOER!B$30,INVOER!B31,100-INVOER!B31)</f>
        <v>57.5</v>
      </c>
      <c r="AB79" s="6">
        <f t="shared" si="21"/>
        <v>3</v>
      </c>
      <c r="AC79" s="6">
        <f t="shared" si="16"/>
        <v>0.57499999999999996</v>
      </c>
      <c r="AD79" s="54">
        <f>IF(INVOER!A31=0,10000,INVOER!A31)</f>
        <v>20</v>
      </c>
    </row>
    <row r="80" spans="1:30" x14ac:dyDescent="0.2">
      <c r="A80" s="53">
        <f>A79*Berekening!H$58</f>
        <v>0.7827420941142047</v>
      </c>
      <c r="B80" s="6">
        <f t="shared" si="17"/>
        <v>0.76509094088690066</v>
      </c>
      <c r="C80" s="182">
        <f t="shared" si="22"/>
        <v>0.61131861849024238</v>
      </c>
      <c r="D80" s="212">
        <f t="shared" si="18"/>
        <v>0.90026577101840988</v>
      </c>
      <c r="E80" s="209">
        <f t="shared" si="19"/>
        <v>0.61837652652431885</v>
      </c>
      <c r="F80" s="53">
        <f t="shared" si="3"/>
        <v>0.88544355797101937</v>
      </c>
      <c r="G80" s="169">
        <f t="shared" si="4"/>
        <v>0.57315091688813302</v>
      </c>
      <c r="H80" s="184">
        <f>IF(C80&lt;$K$41,D80,E80)</f>
        <v>0.90026577101840988</v>
      </c>
      <c r="I80" s="192">
        <f>IF(C80&lt;$K$41,F80,G80)</f>
        <v>0.88544355797101937</v>
      </c>
      <c r="J80" s="160">
        <f>IF(INVOER!$R$35=1,100-H80*100,100-I80*100)</f>
        <v>11.455644202898057</v>
      </c>
      <c r="K80" s="233">
        <f t="shared" si="5"/>
        <v>0</v>
      </c>
      <c r="L80" s="232">
        <f t="shared" si="6"/>
        <v>10</v>
      </c>
      <c r="M80" s="232">
        <f t="shared" si="7"/>
        <v>15</v>
      </c>
      <c r="N80" s="232">
        <f t="shared" si="8"/>
        <v>0.99199999999999999</v>
      </c>
      <c r="O80" s="232">
        <f t="shared" si="9"/>
        <v>0.85199999999999998</v>
      </c>
      <c r="P80" s="45">
        <f>(LN(LN(N80)/LN(O80)))/LN(L80/M80)</f>
        <v>7.3810864638246141</v>
      </c>
      <c r="Q80" s="6">
        <f>L80/((-LN(N80))^(1/P80))</f>
        <v>19.224549927406461</v>
      </c>
      <c r="R80" s="140">
        <f t="shared" si="13"/>
        <v>0.9999999999452307</v>
      </c>
      <c r="S80" s="232">
        <f t="shared" si="14"/>
        <v>99.999999994523066</v>
      </c>
      <c r="T80" s="248">
        <f t="shared" si="15"/>
        <v>1.5810908138291779E-9</v>
      </c>
      <c r="U80" s="281">
        <f>Berekening!H80*$T80</f>
        <v>1.42340194056205E-9</v>
      </c>
      <c r="V80" s="282">
        <f>Berekening!I80*$T80</f>
        <v>1.399966675672202E-9</v>
      </c>
      <c r="Y80" s="53">
        <f t="shared" si="20"/>
        <v>4</v>
      </c>
      <c r="Z80" s="6">
        <f>IF(INVOER!A32=0,"x",INVOER!A32)</f>
        <v>30</v>
      </c>
      <c r="AA80" s="6">
        <f>IF(INVOER!B$29&gt;INVOER!B$30,INVOER!B32,100-INVOER!B32)</f>
        <v>15.4</v>
      </c>
      <c r="AB80" s="6">
        <f t="shared" si="21"/>
        <v>4</v>
      </c>
      <c r="AC80" s="6">
        <f t="shared" si="16"/>
        <v>0.154</v>
      </c>
      <c r="AD80" s="54">
        <f>IF(INVOER!A32=0,10000,INVOER!A32)</f>
        <v>30</v>
      </c>
    </row>
    <row r="81" spans="1:30" x14ac:dyDescent="0.2">
      <c r="A81" s="55">
        <f>A80*Berekening!H$58</f>
        <v>0.81971176275850499</v>
      </c>
      <c r="B81" s="56">
        <f>(A80+A81)/2</f>
        <v>0.8012269284363549</v>
      </c>
      <c r="C81" s="195">
        <f t="shared" si="22"/>
        <v>0.64019179003884974</v>
      </c>
      <c r="D81" s="213">
        <f>IF(C81-$K$35&gt;0,EXP(-(((C81-$K$35)/$K$37)^$K$39)),1)</f>
        <v>0.87928405424784994</v>
      </c>
      <c r="E81" s="181">
        <f t="shared" si="19"/>
        <v>0.61001570322753595</v>
      </c>
      <c r="F81" s="55">
        <f t="shared" si="3"/>
        <v>0.86159085623787213</v>
      </c>
      <c r="G81" s="196">
        <f t="shared" si="4"/>
        <v>0.56418672340873188</v>
      </c>
      <c r="H81" s="185">
        <f t="shared" ref="H81:H97" si="23">IF(C81&lt;$K$41,D81,E81)</f>
        <v>0.87928405424784994</v>
      </c>
      <c r="I81" s="245">
        <f>IF(C81&lt;$K$41,F81,G81)</f>
        <v>0.86159085623787213</v>
      </c>
      <c r="J81" s="253">
        <f>IF(INVOER!$R$35=1,100-H81*100,100-I81*100)</f>
        <v>13.840914376212794</v>
      </c>
      <c r="K81" s="303">
        <f t="shared" si="5"/>
        <v>0</v>
      </c>
      <c r="L81" s="270">
        <f t="shared" si="6"/>
        <v>10</v>
      </c>
      <c r="M81" s="270">
        <f t="shared" si="7"/>
        <v>15</v>
      </c>
      <c r="N81" s="270">
        <f t="shared" si="8"/>
        <v>0.99199999999999999</v>
      </c>
      <c r="O81" s="270">
        <f t="shared" si="9"/>
        <v>0.85199999999999998</v>
      </c>
      <c r="P81" s="61">
        <f t="shared" si="11"/>
        <v>7.3810864638246141</v>
      </c>
      <c r="Q81" s="56">
        <f>L81/((-LN(N81))^(1/P81))</f>
        <v>19.224549927406461</v>
      </c>
      <c r="R81" s="188">
        <f t="shared" si="13"/>
        <v>0.99999999992300326</v>
      </c>
      <c r="S81" s="270">
        <f t="shared" si="14"/>
        <v>99.999999992300332</v>
      </c>
      <c r="T81" s="249">
        <f t="shared" si="15"/>
        <v>2.2227442109112872E-9</v>
      </c>
      <c r="U81" s="283">
        <f>Berekening!H81*$T81</f>
        <v>1.9544235413260148E-9</v>
      </c>
      <c r="V81" s="284">
        <f>Berekening!I81*$T81</f>
        <v>1.9150960878768295E-9</v>
      </c>
      <c r="Y81" s="53">
        <f t="shared" si="20"/>
        <v>5</v>
      </c>
      <c r="Z81" s="6">
        <f>IF(INVOER!A33=0,"x",INVOER!A33)</f>
        <v>40</v>
      </c>
      <c r="AA81" s="6">
        <f>IF(INVOER!B$29&gt;INVOER!B$30,INVOER!B33,100-INVOER!B33)</f>
        <v>10</v>
      </c>
      <c r="AB81" s="6">
        <f t="shared" si="21"/>
        <v>5</v>
      </c>
      <c r="AC81" s="6">
        <f t="shared" si="16"/>
        <v>0.1</v>
      </c>
      <c r="AD81" s="54">
        <f>IF(INVOER!A33=0,10000,INVOER!A33)</f>
        <v>40</v>
      </c>
    </row>
    <row r="82" spans="1:30" x14ac:dyDescent="0.2">
      <c r="A82" s="53">
        <f>A81*Berekening!H$58</f>
        <v>0.85842754472665306</v>
      </c>
      <c r="B82" s="6">
        <f>(A81+A82)/2</f>
        <v>0.83906965374257902</v>
      </c>
      <c r="C82" s="182">
        <f t="shared" si="22"/>
        <v>0.67042866949698265</v>
      </c>
      <c r="D82" s="212">
        <f t="shared" si="18"/>
        <v>0.85917251765069602</v>
      </c>
      <c r="E82" s="209">
        <f t="shared" si="19"/>
        <v>0.60147979805045371</v>
      </c>
      <c r="F82" s="53">
        <f t="shared" si="3"/>
        <v>0.83881164676240516</v>
      </c>
      <c r="G82" s="169">
        <f t="shared" si="4"/>
        <v>0.55505482104337267</v>
      </c>
      <c r="H82" s="184">
        <f t="shared" si="23"/>
        <v>0.85917251765069602</v>
      </c>
      <c r="I82" s="192">
        <f t="shared" si="10"/>
        <v>0.83881164676240516</v>
      </c>
      <c r="J82" s="160">
        <f>IF(INVOER!$R$35=1,100-H82*100,100-I82*100)</f>
        <v>16.118835323759484</v>
      </c>
      <c r="K82" s="301">
        <f t="shared" si="5"/>
        <v>0</v>
      </c>
      <c r="L82" s="269">
        <f t="shared" si="6"/>
        <v>10</v>
      </c>
      <c r="M82" s="269">
        <f t="shared" si="7"/>
        <v>15</v>
      </c>
      <c r="N82" s="269">
        <f t="shared" si="8"/>
        <v>0.99199999999999999</v>
      </c>
      <c r="O82" s="269">
        <f t="shared" si="9"/>
        <v>0.85199999999999998</v>
      </c>
      <c r="P82" s="44">
        <f t="shared" si="11"/>
        <v>7.3810864638246141</v>
      </c>
      <c r="Q82" s="5">
        <f t="shared" si="12"/>
        <v>19.224549927406461</v>
      </c>
      <c r="R82" s="246">
        <f t="shared" si="13"/>
        <v>0.99999999989175514</v>
      </c>
      <c r="S82" s="269">
        <f t="shared" si="14"/>
        <v>99.999999989175521</v>
      </c>
      <c r="T82" s="250">
        <f t="shared" si="15"/>
        <v>3.1248115206494731E-9</v>
      </c>
      <c r="U82" s="281">
        <f>Berekening!H82*$T82</f>
        <v>2.6847521813803077E-9</v>
      </c>
      <c r="V82" s="282">
        <f>Berekening!I82*$T82</f>
        <v>2.6211282974581198E-9</v>
      </c>
      <c r="Y82" s="53">
        <f t="shared" si="20"/>
        <v>6</v>
      </c>
      <c r="Z82" s="6">
        <f>IF(INVOER!A34=0,"x",INVOER!A34)</f>
        <v>50</v>
      </c>
      <c r="AA82" s="6">
        <f>IF(INVOER!B$29&gt;INVOER!B$30,INVOER!B34,100-INVOER!B34)</f>
        <v>6.7</v>
      </c>
      <c r="AB82" s="6">
        <f t="shared" si="21"/>
        <v>6</v>
      </c>
      <c r="AC82" s="6">
        <f t="shared" si="16"/>
        <v>6.7000000000000004E-2</v>
      </c>
      <c r="AD82" s="54">
        <f>IF(INVOER!A34=0,10000,INVOER!A34)</f>
        <v>50</v>
      </c>
    </row>
    <row r="83" spans="1:30" x14ac:dyDescent="0.2">
      <c r="A83" s="53">
        <f>A82*Berekening!H$58</f>
        <v>0.89897191064528759</v>
      </c>
      <c r="B83" s="6">
        <f>(A82+A83)/2</f>
        <v>0.87869972768597027</v>
      </c>
      <c r="C83" s="182">
        <f t="shared" si="22"/>
        <v>0.70209366611249135</v>
      </c>
      <c r="D83" s="212">
        <f t="shared" si="18"/>
        <v>0.83967974860557348</v>
      </c>
      <c r="E83" s="209">
        <f t="shared" si="19"/>
        <v>0.59277003547140306</v>
      </c>
      <c r="F83" s="53">
        <f t="shared" si="3"/>
        <v>0.81681352723685496</v>
      </c>
      <c r="G83" s="169">
        <f t="shared" si="4"/>
        <v>0.54575800803851215</v>
      </c>
      <c r="H83" s="184">
        <f>IF(C83&lt;$K$41,D83,E83)</f>
        <v>0.83967974860557348</v>
      </c>
      <c r="I83" s="192">
        <f t="shared" si="10"/>
        <v>0.81681352723685496</v>
      </c>
      <c r="J83" s="160">
        <f>IF(INVOER!$R$35=1,100-H83*100,100-I83*100)</f>
        <v>18.318647276314508</v>
      </c>
      <c r="K83" s="233">
        <f t="shared" si="5"/>
        <v>0</v>
      </c>
      <c r="L83" s="232">
        <f t="shared" si="6"/>
        <v>10</v>
      </c>
      <c r="M83" s="232">
        <f t="shared" si="7"/>
        <v>15</v>
      </c>
      <c r="N83" s="232">
        <f t="shared" si="8"/>
        <v>0.99199999999999999</v>
      </c>
      <c r="O83" s="232">
        <f t="shared" si="9"/>
        <v>0.85199999999999998</v>
      </c>
      <c r="P83" s="45">
        <f>(LN(LN(N83)/LN(O83)))/LN(L83/M83)</f>
        <v>7.3810864638246141</v>
      </c>
      <c r="Q83" s="6">
        <f>L83/((-LN(N83))^(1/P83))</f>
        <v>19.224549927406461</v>
      </c>
      <c r="R83" s="140">
        <f t="shared" si="13"/>
        <v>0.99999999984782528</v>
      </c>
      <c r="S83" s="232">
        <f t="shared" si="14"/>
        <v>99.999999984782534</v>
      </c>
      <c r="T83" s="248">
        <f t="shared" si="15"/>
        <v>4.3929859749880507E-9</v>
      </c>
      <c r="U83" s="281">
        <f>Berekening!H83*$T83</f>
        <v>3.6887013591057766E-9</v>
      </c>
      <c r="V83" s="282">
        <f>Berekening!I83*$T83</f>
        <v>3.588250369332024E-9</v>
      </c>
      <c r="Y83" s="53">
        <f t="shared" si="20"/>
        <v>7</v>
      </c>
      <c r="Z83" s="6">
        <f>IF(INVOER!A35=0,"x",INVOER!A35)</f>
        <v>60</v>
      </c>
      <c r="AA83" s="6">
        <f>IF(INVOER!B$29&gt;INVOER!B$30,INVOER!B35,100-INVOER!B35)</f>
        <v>4.5</v>
      </c>
      <c r="AB83" s="6">
        <f>IF(Z83=0,AB82,Y83)</f>
        <v>7</v>
      </c>
      <c r="AC83" s="6">
        <f t="shared" si="16"/>
        <v>4.4999999999999998E-2</v>
      </c>
      <c r="AD83" s="54">
        <f>IF(INVOER!A35=0,10000,INVOER!A35)</f>
        <v>60</v>
      </c>
    </row>
    <row r="84" spans="1:30" x14ac:dyDescent="0.2">
      <c r="A84" s="53">
        <f>A83*Berekening!H$58</f>
        <v>0.9414312263087693</v>
      </c>
      <c r="B84" s="6">
        <f t="shared" si="17"/>
        <v>0.92020156847702839</v>
      </c>
      <c r="C84" s="182">
        <f>B84/$B$51</f>
        <v>0.73525423124450229</v>
      </c>
      <c r="D84" s="212">
        <f>IF(C84-$K$35&gt;0,EXP(-(((C84-$K$35)/$K$37)^$K$39)),1)</f>
        <v>0.82064429457049015</v>
      </c>
      <c r="E84" s="209">
        <f t="shared" si="19"/>
        <v>0.58388798242497042</v>
      </c>
      <c r="F84" s="53">
        <f t="shared" si="3"/>
        <v>0.79540922610127252</v>
      </c>
      <c r="G84" s="169">
        <f t="shared" si="4"/>
        <v>0.53629949765433571</v>
      </c>
      <c r="H84" s="184">
        <f t="shared" si="23"/>
        <v>0.82064429457049015</v>
      </c>
      <c r="I84" s="192">
        <f t="shared" si="10"/>
        <v>0.79540922610127252</v>
      </c>
      <c r="J84" s="160">
        <f>IF(INVOER!$R$35=1,100-H84*100,100-I84*100)</f>
        <v>20.459077389872746</v>
      </c>
      <c r="K84" s="233">
        <f t="shared" si="5"/>
        <v>0</v>
      </c>
      <c r="L84" s="232">
        <f t="shared" si="6"/>
        <v>10</v>
      </c>
      <c r="M84" s="232">
        <f t="shared" si="7"/>
        <v>15</v>
      </c>
      <c r="N84" s="232">
        <f t="shared" si="8"/>
        <v>0.99199999999999999</v>
      </c>
      <c r="O84" s="232">
        <f t="shared" si="9"/>
        <v>0.85199999999999998</v>
      </c>
      <c r="P84" s="45">
        <f t="shared" si="11"/>
        <v>7.3810864638246141</v>
      </c>
      <c r="Q84" s="6">
        <f t="shared" si="12"/>
        <v>19.224549927406461</v>
      </c>
      <c r="R84" s="140">
        <f t="shared" si="13"/>
        <v>0.99999999978606691</v>
      </c>
      <c r="S84" s="232">
        <f t="shared" si="14"/>
        <v>99.999999978606695</v>
      </c>
      <c r="T84" s="248">
        <f t="shared" si="15"/>
        <v>6.1758376190823583E-9</v>
      </c>
      <c r="U84" s="281">
        <f>Berekening!H84*$T84</f>
        <v>5.0681659062937371E-9</v>
      </c>
      <c r="V84" s="282">
        <f>Berekening!I84*$T84</f>
        <v>4.9123182211214242E-9</v>
      </c>
      <c r="Y84" s="53">
        <f t="shared" si="20"/>
        <v>8</v>
      </c>
      <c r="Z84" s="6">
        <f>IF(INVOER!A36=0,"x",INVOER!A36)</f>
        <v>80</v>
      </c>
      <c r="AA84" s="6">
        <f>IF(INVOER!B$29&gt;INVOER!B$30,INVOER!B36,100-INVOER!B36)</f>
        <v>2</v>
      </c>
      <c r="AB84" s="6">
        <f t="shared" si="21"/>
        <v>8</v>
      </c>
      <c r="AC84" s="6">
        <f t="shared" si="16"/>
        <v>0.02</v>
      </c>
      <c r="AD84" s="54">
        <f>IF(INVOER!A36=0,10000,INVOER!A36)</f>
        <v>80</v>
      </c>
    </row>
    <row r="85" spans="1:30" x14ac:dyDescent="0.2">
      <c r="A85" s="53">
        <f>A84*Berekening!H$58</f>
        <v>0.98589593665173236</v>
      </c>
      <c r="B85" s="6">
        <f t="shared" si="17"/>
        <v>0.96366358148025077</v>
      </c>
      <c r="C85" s="182">
        <f>B85/$B$51</f>
        <v>0.76998100204528541</v>
      </c>
      <c r="D85" s="212">
        <f t="shared" si="18"/>
        <v>0.8019556418690672</v>
      </c>
      <c r="E85" s="209">
        <f t="shared" si="19"/>
        <v>0.57483556471313568</v>
      </c>
      <c r="F85" s="53">
        <f t="shared" si="3"/>
        <v>0.77447106013396327</v>
      </c>
      <c r="G85" s="169">
        <f t="shared" si="4"/>
        <v>0.52668293338163386</v>
      </c>
      <c r="H85" s="184">
        <f t="shared" si="23"/>
        <v>0.8019556418690672</v>
      </c>
      <c r="I85" s="192">
        <f t="shared" si="10"/>
        <v>0.77447106013396327</v>
      </c>
      <c r="J85" s="160">
        <f>IF(INVOER!$R$35=1,100-H85*100,100-I85*100)</f>
        <v>22.552893986603678</v>
      </c>
      <c r="K85" s="233">
        <f t="shared" si="5"/>
        <v>0</v>
      </c>
      <c r="L85" s="232">
        <f t="shared" si="6"/>
        <v>10</v>
      </c>
      <c r="M85" s="232">
        <f t="shared" si="7"/>
        <v>15</v>
      </c>
      <c r="N85" s="232">
        <f t="shared" si="8"/>
        <v>0.99199999999999999</v>
      </c>
      <c r="O85" s="232">
        <f t="shared" si="9"/>
        <v>0.85199999999999998</v>
      </c>
      <c r="P85" s="45">
        <f t="shared" si="11"/>
        <v>7.3810864638246141</v>
      </c>
      <c r="Q85" s="6">
        <f t="shared" si="12"/>
        <v>19.224549927406461</v>
      </c>
      <c r="R85" s="140">
        <f t="shared" si="13"/>
        <v>0.9999999996992448</v>
      </c>
      <c r="S85" s="232">
        <f t="shared" si="14"/>
        <v>99.999999969924474</v>
      </c>
      <c r="T85" s="248">
        <f t="shared" si="15"/>
        <v>8.6822105060946342E-9</v>
      </c>
      <c r="U85" s="281">
        <f>Berekening!H85*$T85</f>
        <v>6.9627476992574812E-9</v>
      </c>
      <c r="V85" s="282">
        <f>Berekening!I85*$T85</f>
        <v>6.7241207749613454E-9</v>
      </c>
      <c r="Y85" s="53">
        <f t="shared" si="20"/>
        <v>9</v>
      </c>
      <c r="Z85" s="6" t="str">
        <f>IF(INVOER!A37=0,"x",INVOER!A37)</f>
        <v>x</v>
      </c>
      <c r="AA85" s="6">
        <f>IF(INVOER!B$29&gt;INVOER!B$30,INVOER!B37,100-INVOER!B37)</f>
        <v>0</v>
      </c>
      <c r="AB85" s="6">
        <f t="shared" si="21"/>
        <v>9</v>
      </c>
      <c r="AC85" s="6">
        <f t="shared" si="16"/>
        <v>0</v>
      </c>
      <c r="AD85" s="54">
        <f>IF(INVOER!A37=0,10000,INVOER!A37)</f>
        <v>10000</v>
      </c>
    </row>
    <row r="86" spans="1:30" x14ac:dyDescent="0.2">
      <c r="A86" s="55">
        <f>A85*Berekening!H$58</f>
        <v>1.0324607584108374</v>
      </c>
      <c r="B86" s="56">
        <f t="shared" si="17"/>
        <v>1.009178347531285</v>
      </c>
      <c r="C86" s="195">
        <f t="shared" si="22"/>
        <v>0.8063479519283554</v>
      </c>
      <c r="D86" s="213">
        <f t="shared" si="18"/>
        <v>0.78353480391943853</v>
      </c>
      <c r="E86" s="181">
        <f t="shared" si="19"/>
        <v>0.56561508332591914</v>
      </c>
      <c r="F86" s="55">
        <f t="shared" si="3"/>
        <v>0.75390825534878536</v>
      </c>
      <c r="G86" s="196">
        <f t="shared" si="4"/>
        <v>0.51691240357114088</v>
      </c>
      <c r="H86" s="185">
        <f t="shared" si="23"/>
        <v>0.78353480391943853</v>
      </c>
      <c r="I86" s="245">
        <f t="shared" si="10"/>
        <v>0.75390825534878536</v>
      </c>
      <c r="J86" s="160">
        <f>IF(INVOER!$R$35=1,100-H86*100,100-I86*100)</f>
        <v>24.60917446512147</v>
      </c>
      <c r="K86" s="303">
        <f t="shared" si="5"/>
        <v>0</v>
      </c>
      <c r="L86" s="270">
        <f t="shared" si="6"/>
        <v>10</v>
      </c>
      <c r="M86" s="270">
        <f t="shared" si="7"/>
        <v>15</v>
      </c>
      <c r="N86" s="270">
        <f t="shared" si="8"/>
        <v>0.99199999999999999</v>
      </c>
      <c r="O86" s="270">
        <f t="shared" si="9"/>
        <v>0.85199999999999998</v>
      </c>
      <c r="P86" s="61">
        <f>(LN(LN(N86)/LN(O86)))/LN(L86/M86)</f>
        <v>7.3810864638246141</v>
      </c>
      <c r="Q86" s="56">
        <f t="shared" si="12"/>
        <v>19.224549927406461</v>
      </c>
      <c r="R86" s="188">
        <f t="shared" si="13"/>
        <v>0.99999999957718688</v>
      </c>
      <c r="S86" s="270">
        <f t="shared" si="14"/>
        <v>99.999999957718686</v>
      </c>
      <c r="T86" s="249">
        <f t="shared" si="15"/>
        <v>1.2205791932728971E-8</v>
      </c>
      <c r="U86" s="283">
        <f>Berekening!H86*$T86</f>
        <v>9.5636627886922596E-9</v>
      </c>
      <c r="V86" s="284">
        <f>Berekening!I86*$T86</f>
        <v>9.202047301153977E-9</v>
      </c>
      <c r="Y86" s="53">
        <f t="shared" si="20"/>
        <v>10</v>
      </c>
      <c r="Z86" s="6" t="str">
        <f>IF(INVOER!A38=0,"x",INVOER!A38)</f>
        <v>x</v>
      </c>
      <c r="AA86" s="6">
        <f>IF(INVOER!B$29&gt;INVOER!B$30,INVOER!B38,100-INVOER!B38)</f>
        <v>0</v>
      </c>
      <c r="AB86" s="6">
        <f t="shared" si="21"/>
        <v>10</v>
      </c>
      <c r="AC86" s="6">
        <f t="shared" si="16"/>
        <v>0</v>
      </c>
      <c r="AD86" s="54">
        <f>IF(INVOER!A38=0,10000,INVOER!A38)</f>
        <v>10000</v>
      </c>
    </row>
    <row r="87" spans="1:30" x14ac:dyDescent="0.2">
      <c r="A87" s="53">
        <f>A86*Berekening!H$58</f>
        <v>1.0812248818861268</v>
      </c>
      <c r="B87" s="6">
        <f t="shared" si="17"/>
        <v>1.0568428201484821</v>
      </c>
      <c r="C87" s="182">
        <f t="shared" si="22"/>
        <v>0.8444325481433278</v>
      </c>
      <c r="D87" s="212">
        <f t="shared" si="18"/>
        <v>0.76532363532326331</v>
      </c>
      <c r="E87" s="209">
        <f t="shared" si="19"/>
        <v>0.55622923057626961</v>
      </c>
      <c r="F87" s="53">
        <f t="shared" si="3"/>
        <v>0.73365444881157393</v>
      </c>
      <c r="G87" s="169">
        <f t="shared" si="4"/>
        <v>0.50699245533781201</v>
      </c>
      <c r="H87" s="184">
        <f t="shared" si="23"/>
        <v>0.76532363532326331</v>
      </c>
      <c r="I87" s="192">
        <f t="shared" si="10"/>
        <v>0.73365444881157393</v>
      </c>
      <c r="J87" s="162">
        <f>IF(INVOER!$R$35=1,100-H87*100,100-I87*100)</f>
        <v>26.634555118842613</v>
      </c>
      <c r="K87" s="301">
        <f t="shared" si="5"/>
        <v>0</v>
      </c>
      <c r="L87" s="269">
        <f t="shared" si="6"/>
        <v>10</v>
      </c>
      <c r="M87" s="269">
        <f t="shared" si="7"/>
        <v>15</v>
      </c>
      <c r="N87" s="269">
        <f t="shared" si="8"/>
        <v>0.99199999999999999</v>
      </c>
      <c r="O87" s="269">
        <f t="shared" si="9"/>
        <v>0.85199999999999998</v>
      </c>
      <c r="P87" s="44">
        <f t="shared" si="11"/>
        <v>7.3810864638246141</v>
      </c>
      <c r="Q87" s="5">
        <f t="shared" si="12"/>
        <v>19.224549927406461</v>
      </c>
      <c r="R87" s="246">
        <f t="shared" si="13"/>
        <v>0.99999999940559336</v>
      </c>
      <c r="S87" s="269">
        <f t="shared" si="14"/>
        <v>99.999999940559334</v>
      </c>
      <c r="T87" s="250">
        <f t="shared" si="15"/>
        <v>1.7159351717310756E-8</v>
      </c>
      <c r="U87" s="281">
        <f>Berekening!H87*$T87</f>
        <v>1.3132457436082748E-8</v>
      </c>
      <c r="V87" s="282">
        <f>Berekening!I87*$T87</f>
        <v>1.2589034726127557E-8</v>
      </c>
      <c r="Y87" s="53">
        <f t="shared" si="20"/>
        <v>11</v>
      </c>
      <c r="Z87" s="6" t="str">
        <f>IF(INVOER!A39=0,"x",INVOER!A39)</f>
        <v>x</v>
      </c>
      <c r="AA87" s="6">
        <f>IF(INVOER!B$29&gt;INVOER!B$30,INVOER!B39,100-INVOER!B39)</f>
        <v>0</v>
      </c>
      <c r="AB87" s="6">
        <f t="shared" si="21"/>
        <v>11</v>
      </c>
      <c r="AC87" s="6">
        <f t="shared" si="16"/>
        <v>0</v>
      </c>
      <c r="AD87" s="54">
        <f>IF(INVOER!A39=0,10000,INVOER!A39)</f>
        <v>10000</v>
      </c>
    </row>
    <row r="88" spans="1:30" x14ac:dyDescent="0.2">
      <c r="A88" s="53">
        <f>A87*Berekening!H$58</f>
        <v>1.1322921822317635</v>
      </c>
      <c r="B88" s="6">
        <f t="shared" si="17"/>
        <v>1.106758532058945</v>
      </c>
      <c r="C88" s="182">
        <f t="shared" si="22"/>
        <v>0.88431591679318866</v>
      </c>
      <c r="D88" s="212">
        <f>IF(C88-$K$35&gt;0,EXP(-(((C88-$K$35)/$K$37)^$K$39)),1)</f>
        <v>0.74727849540304103</v>
      </c>
      <c r="E88" s="209">
        <f t="shared" si="19"/>
        <v>0.54668110594460806</v>
      </c>
      <c r="F88" s="53">
        <f t="shared" si="3"/>
        <v>0.71366026821436934</v>
      </c>
      <c r="G88" s="169">
        <f t="shared" si="4"/>
        <v>0.49692810759269246</v>
      </c>
      <c r="H88" s="184">
        <f t="shared" si="23"/>
        <v>0.74727849540304103</v>
      </c>
      <c r="I88" s="192">
        <f t="shared" si="10"/>
        <v>0.71366026821436934</v>
      </c>
      <c r="J88" s="160">
        <f>IF(INVOER!$R$35=1,100-H88*100,100-I88*100)</f>
        <v>28.633973178563068</v>
      </c>
      <c r="K88" s="233">
        <f t="shared" si="5"/>
        <v>0</v>
      </c>
      <c r="L88" s="232">
        <f t="shared" si="6"/>
        <v>10</v>
      </c>
      <c r="M88" s="232">
        <f t="shared" si="7"/>
        <v>15</v>
      </c>
      <c r="N88" s="232">
        <f t="shared" si="8"/>
        <v>0.99199999999999999</v>
      </c>
      <c r="O88" s="232">
        <f t="shared" si="9"/>
        <v>0.85199999999999998</v>
      </c>
      <c r="P88" s="45">
        <f t="shared" si="11"/>
        <v>7.3810864638246141</v>
      </c>
      <c r="Q88" s="6">
        <f t="shared" si="12"/>
        <v>19.224549927406461</v>
      </c>
      <c r="R88" s="140">
        <f t="shared" si="13"/>
        <v>0.99999999916436055</v>
      </c>
      <c r="S88" s="232">
        <f t="shared" si="14"/>
        <v>99.999999916436053</v>
      </c>
      <c r="T88" s="248">
        <f t="shared" si="15"/>
        <v>2.4123281150423281E-8</v>
      </c>
      <c r="U88" s="281">
        <f>Berekening!H88*$T88</f>
        <v>1.8026809242272852E-8</v>
      </c>
      <c r="V88" s="282">
        <f>Berekening!I88*$T88</f>
        <v>1.7215827296021721E-8</v>
      </c>
      <c r="Y88" s="53">
        <f t="shared" si="20"/>
        <v>12</v>
      </c>
      <c r="Z88" s="6" t="str">
        <f>IF(INVOER!A40=0,"x",INVOER!A40)</f>
        <v>x</v>
      </c>
      <c r="AA88" s="6">
        <f>IF(INVOER!B$29&gt;INVOER!B$30,INVOER!B40,100-INVOER!B40)</f>
        <v>0</v>
      </c>
      <c r="AB88" s="6">
        <f t="shared" si="21"/>
        <v>12</v>
      </c>
      <c r="AC88" s="6">
        <f t="shared" si="16"/>
        <v>0</v>
      </c>
      <c r="AD88" s="54">
        <f>IF(INVOER!A40=0,10000,INVOER!A40)</f>
        <v>10000</v>
      </c>
    </row>
    <row r="89" spans="1:30" x14ac:dyDescent="0.2">
      <c r="A89" s="53">
        <f>A88*Berekening!H$58</f>
        <v>1.1857714407262381</v>
      </c>
      <c r="B89" s="6">
        <f t="shared" si="17"/>
        <v>1.1590318114790008</v>
      </c>
      <c r="C89" s="182">
        <f t="shared" si="22"/>
        <v>0.92608301564548934</v>
      </c>
      <c r="D89" s="212">
        <f>IF(C89-$K$35&gt;0,EXP(-(((C89-$K$35)/$K$37)^$K$39)),1)</f>
        <v>0.7293662700984026</v>
      </c>
      <c r="E89" s="209">
        <f t="shared" si="19"/>
        <v>0.53697423151886547</v>
      </c>
      <c r="F89" s="53">
        <f t="shared" si="3"/>
        <v>0.69388866603817645</v>
      </c>
      <c r="G89" s="169">
        <f t="shared" si="4"/>
        <v>0.4867248630453585</v>
      </c>
      <c r="H89" s="184">
        <f t="shared" si="23"/>
        <v>0.7293662700984026</v>
      </c>
      <c r="I89" s="192">
        <f t="shared" si="10"/>
        <v>0.69388866603817645</v>
      </c>
      <c r="J89" s="160">
        <f>IF(INVOER!$R$35=1,100-H89*100,100-I89*100)</f>
        <v>30.611133396182353</v>
      </c>
      <c r="K89" s="233">
        <f t="shared" si="5"/>
        <v>0</v>
      </c>
      <c r="L89" s="232">
        <f t="shared" si="6"/>
        <v>10</v>
      </c>
      <c r="M89" s="232">
        <f t="shared" si="7"/>
        <v>15</v>
      </c>
      <c r="N89" s="232">
        <f t="shared" si="8"/>
        <v>0.99199999999999999</v>
      </c>
      <c r="O89" s="232">
        <f t="shared" si="9"/>
        <v>0.85199999999999998</v>
      </c>
      <c r="P89" s="45">
        <f t="shared" si="11"/>
        <v>7.3810864638246141</v>
      </c>
      <c r="Q89" s="6">
        <f t="shared" si="12"/>
        <v>19.224549927406461</v>
      </c>
      <c r="R89" s="140">
        <f t="shared" si="13"/>
        <v>0.99999999882522639</v>
      </c>
      <c r="S89" s="232">
        <f t="shared" si="14"/>
        <v>99.999999882522644</v>
      </c>
      <c r="T89" s="248">
        <f t="shared" si="15"/>
        <v>3.3913416519482098E-8</v>
      </c>
      <c r="U89" s="281">
        <f>Berekening!H89*$T89</f>
        <v>2.473530211310821E-8</v>
      </c>
      <c r="V89" s="282">
        <f>Berekening!I89*$T89</f>
        <v>2.353213534950049E-8</v>
      </c>
      <c r="Y89" s="53">
        <f t="shared" si="20"/>
        <v>13</v>
      </c>
      <c r="Z89" s="6" t="str">
        <f>IF(INVOER!A41=0,"x",INVOER!A41)</f>
        <v>x</v>
      </c>
      <c r="AA89" s="6">
        <f>IF(INVOER!B$29&gt;INVOER!B$30,INVOER!B41,100-INVOER!B41)</f>
        <v>0</v>
      </c>
      <c r="AB89" s="6">
        <f t="shared" si="21"/>
        <v>13</v>
      </c>
      <c r="AC89" s="6">
        <f t="shared" si="16"/>
        <v>0</v>
      </c>
      <c r="AD89" s="54">
        <f>IF(INVOER!A41=0,10000,INVOER!A41)</f>
        <v>10000</v>
      </c>
    </row>
    <row r="90" spans="1:30" x14ac:dyDescent="0.2">
      <c r="A90" s="53">
        <f>A89*Berekening!H$58</f>
        <v>1.2417765764933806</v>
      </c>
      <c r="B90" s="6">
        <f t="shared" si="17"/>
        <v>1.2137740086098092</v>
      </c>
      <c r="C90" s="182">
        <f t="shared" si="22"/>
        <v>0.96982281510558155</v>
      </c>
      <c r="D90" s="212">
        <f t="shared" ref="D90:D153" si="24">IF(C90-$K$35&gt;0,EXP(-(((C90-$K$35)/$K$37)^$K$39)),1)</f>
        <v>0.71156175868934168</v>
      </c>
      <c r="E90" s="209">
        <f t="shared" si="19"/>
        <v>0.52711256690611763</v>
      </c>
      <c r="F90" s="53">
        <f t="shared" si="3"/>
        <v>0.67431184839652603</v>
      </c>
      <c r="G90" s="169">
        <f t="shared" si="4"/>
        <v>0.47638871901053736</v>
      </c>
      <c r="H90" s="184">
        <f t="shared" si="23"/>
        <v>0.71156175868934168</v>
      </c>
      <c r="I90" s="192">
        <f t="shared" si="10"/>
        <v>0.67431184839652603</v>
      </c>
      <c r="J90" s="160">
        <f>IF(INVOER!$R$35=1,100-H90*100,100-I90*100)</f>
        <v>32.568815160347398</v>
      </c>
      <c r="K90" s="233">
        <f t="shared" si="5"/>
        <v>0</v>
      </c>
      <c r="L90" s="232">
        <f t="shared" si="6"/>
        <v>10</v>
      </c>
      <c r="M90" s="232">
        <f t="shared" si="7"/>
        <v>15</v>
      </c>
      <c r="N90" s="232">
        <f t="shared" si="8"/>
        <v>0.99199999999999999</v>
      </c>
      <c r="O90" s="232">
        <f t="shared" si="9"/>
        <v>0.85199999999999998</v>
      </c>
      <c r="P90" s="45">
        <f t="shared" si="11"/>
        <v>7.3810864638246141</v>
      </c>
      <c r="Q90" s="6">
        <f t="shared" si="12"/>
        <v>19.224549927406461</v>
      </c>
      <c r="R90" s="140">
        <f t="shared" si="13"/>
        <v>0.99999999834845865</v>
      </c>
      <c r="S90" s="232">
        <f t="shared" si="14"/>
        <v>99.999999834845866</v>
      </c>
      <c r="T90" s="248">
        <f t="shared" si="15"/>
        <v>4.767677364014844E-8</v>
      </c>
      <c r="U90" s="281">
        <f>Berekening!H90*$T90</f>
        <v>3.3924968900017668E-8</v>
      </c>
      <c r="V90" s="282">
        <f>Berekening!I90*$T90</f>
        <v>3.2149013358871263E-8</v>
      </c>
      <c r="Y90" s="53">
        <f t="shared" si="20"/>
        <v>14</v>
      </c>
      <c r="Z90" s="6" t="str">
        <f>IF(INVOER!A42=0,"x",INVOER!A42)</f>
        <v>x</v>
      </c>
      <c r="AA90" s="6">
        <f>IF(INVOER!B$29&gt;INVOER!B$30,INVOER!B42,100-INVOER!B42)</f>
        <v>0</v>
      </c>
      <c r="AB90" s="6">
        <f t="shared" si="21"/>
        <v>14</v>
      </c>
      <c r="AC90" s="6">
        <f t="shared" si="16"/>
        <v>0</v>
      </c>
      <c r="AD90" s="54">
        <f>IF(INVOER!A42=0,10000,INVOER!A42)</f>
        <v>10000</v>
      </c>
    </row>
    <row r="91" spans="1:30" x14ac:dyDescent="0.2">
      <c r="A91" s="55">
        <f>A90*Berekening!H$58</f>
        <v>1.3004268891677819</v>
      </c>
      <c r="B91" s="56">
        <f t="shared" si="17"/>
        <v>1.2711017328305814</v>
      </c>
      <c r="C91" s="195">
        <f t="shared" si="22"/>
        <v>1.0156284877373958</v>
      </c>
      <c r="D91" s="213">
        <f t="shared" si="24"/>
        <v>0.69384589250073792</v>
      </c>
      <c r="E91" s="181">
        <f t="shared" si="19"/>
        <v>0.5171005234820808</v>
      </c>
      <c r="F91" s="55">
        <f t="shared" si="3"/>
        <v>0.65490917614523803</v>
      </c>
      <c r="G91" s="196">
        <f t="shared" si="4"/>
        <v>0.46592617684357501</v>
      </c>
      <c r="H91" s="185">
        <f t="shared" si="23"/>
        <v>0.69384589250073792</v>
      </c>
      <c r="I91" s="245">
        <f t="shared" si="10"/>
        <v>0.65490917614523803</v>
      </c>
      <c r="J91" s="253">
        <f>IF(INVOER!$R$35=1,100-H91*100,100-I91*100)</f>
        <v>34.509082385476191</v>
      </c>
      <c r="K91" s="303">
        <f t="shared" si="5"/>
        <v>0</v>
      </c>
      <c r="L91" s="270">
        <f t="shared" si="6"/>
        <v>10</v>
      </c>
      <c r="M91" s="270">
        <f t="shared" si="7"/>
        <v>15</v>
      </c>
      <c r="N91" s="270">
        <f t="shared" si="8"/>
        <v>0.99199999999999999</v>
      </c>
      <c r="O91" s="270">
        <f t="shared" si="9"/>
        <v>0.85199999999999998</v>
      </c>
      <c r="P91" s="61">
        <f t="shared" si="11"/>
        <v>7.3810864638246141</v>
      </c>
      <c r="Q91" s="56">
        <f t="shared" si="12"/>
        <v>19.224549927406461</v>
      </c>
      <c r="R91" s="188">
        <f t="shared" si="13"/>
        <v>0.99999999767820047</v>
      </c>
      <c r="S91" s="270">
        <f t="shared" si="14"/>
        <v>99.999999767820043</v>
      </c>
      <c r="T91" s="249">
        <f t="shared" si="15"/>
        <v>6.7025818228927392E-8</v>
      </c>
      <c r="U91" s="283">
        <f>Berekening!H91*$T91</f>
        <v>4.6505588669642352E-8</v>
      </c>
      <c r="V91" s="284">
        <f>Berekening!I91*$T91</f>
        <v>4.3895823396767317E-8</v>
      </c>
      <c r="Y91" s="53">
        <f t="shared" si="20"/>
        <v>15</v>
      </c>
      <c r="Z91" s="6" t="str">
        <f>IF(INVOER!A43=0,"x",INVOER!A43)</f>
        <v>x</v>
      </c>
      <c r="AA91" s="6">
        <f>IF(INVOER!B$29&gt;INVOER!B$30,INVOER!B43,100-INVOER!B43)</f>
        <v>0</v>
      </c>
      <c r="AB91" s="6">
        <f t="shared" si="21"/>
        <v>15</v>
      </c>
      <c r="AC91" s="6">
        <f t="shared" si="16"/>
        <v>0</v>
      </c>
      <c r="AD91" s="54">
        <f>IF(INVOER!A43=0,10000,INVOER!A43)</f>
        <v>10000</v>
      </c>
    </row>
    <row r="92" spans="1:30" x14ac:dyDescent="0.2">
      <c r="A92" s="53">
        <f>A91*Berekening!H$58</f>
        <v>1.3618473130215381</v>
      </c>
      <c r="B92" s="6">
        <f t="shared" si="17"/>
        <v>1.33113710109466</v>
      </c>
      <c r="C92" s="182">
        <f t="shared" si="22"/>
        <v>1.0635976067354662</v>
      </c>
      <c r="D92" s="212">
        <f t="shared" si="24"/>
        <v>0.67620448271230571</v>
      </c>
      <c r="E92" s="209">
        <f t="shared" si="19"/>
        <v>0.50694297783490272</v>
      </c>
      <c r="F92" s="53">
        <f t="shared" si="3"/>
        <v>0.63566568428922343</v>
      </c>
      <c r="G92" s="169">
        <f t="shared" si="4"/>
        <v>0.4553442498210904</v>
      </c>
      <c r="H92" s="184">
        <f t="shared" si="23"/>
        <v>0.67620448271230571</v>
      </c>
      <c r="I92" s="192">
        <f t="shared" si="10"/>
        <v>0.63566568428922343</v>
      </c>
      <c r="J92" s="160">
        <f>IF(INVOER!$R$35=1,100-H92*100,100-I92*100)</f>
        <v>36.433431571077655</v>
      </c>
      <c r="K92" s="301">
        <f t="shared" si="5"/>
        <v>0</v>
      </c>
      <c r="L92" s="269">
        <f t="shared" si="6"/>
        <v>10</v>
      </c>
      <c r="M92" s="269">
        <f t="shared" si="7"/>
        <v>15</v>
      </c>
      <c r="N92" s="269">
        <f t="shared" si="8"/>
        <v>0.99199999999999999</v>
      </c>
      <c r="O92" s="269">
        <f t="shared" si="9"/>
        <v>0.85199999999999998</v>
      </c>
      <c r="P92" s="44">
        <f t="shared" si="11"/>
        <v>7.3810864638246141</v>
      </c>
      <c r="Q92" s="5">
        <f t="shared" si="12"/>
        <v>19.224549927406461</v>
      </c>
      <c r="R92" s="246">
        <f t="shared" si="13"/>
        <v>0.99999999673592621</v>
      </c>
      <c r="S92" s="269">
        <f t="shared" si="14"/>
        <v>99.999999673592626</v>
      </c>
      <c r="T92" s="250">
        <f t="shared" si="15"/>
        <v>9.4227425861959091E-8</v>
      </c>
      <c r="U92" s="281">
        <f>Berekening!H92*$T92</f>
        <v>6.371700776229818E-8</v>
      </c>
      <c r="V92" s="282">
        <f>Berekening!I92*$T92</f>
        <v>5.989714113935429E-8</v>
      </c>
      <c r="Y92" s="53">
        <f t="shared" si="20"/>
        <v>16</v>
      </c>
      <c r="Z92" s="6" t="str">
        <f>IF(INVOER!A44=0,"x",INVOER!A44)</f>
        <v>x</v>
      </c>
      <c r="AA92" s="6">
        <f>IF(INVOER!B$29&gt;INVOER!B$30,INVOER!B44,100-INVOER!B44)</f>
        <v>0</v>
      </c>
      <c r="AB92" s="6">
        <f t="shared" si="21"/>
        <v>16</v>
      </c>
      <c r="AC92" s="6">
        <f t="shared" si="16"/>
        <v>0</v>
      </c>
      <c r="AD92" s="54">
        <f>IF(INVOER!A44=0,10000,INVOER!A44)</f>
        <v>10000</v>
      </c>
    </row>
    <row r="93" spans="1:30" x14ac:dyDescent="0.2">
      <c r="A93" s="53">
        <f>A92*Berekening!H$58</f>
        <v>1.4261686830936464</v>
      </c>
      <c r="B93" s="6">
        <f t="shared" si="17"/>
        <v>1.3940079980575923</v>
      </c>
      <c r="C93" s="182">
        <f t="shared" si="22"/>
        <v>1.1138323537709871</v>
      </c>
      <c r="D93" s="212">
        <f t="shared" si="24"/>
        <v>0.65862731665161822</v>
      </c>
      <c r="E93" s="209">
        <f t="shared" si="19"/>
        <v>0.49664528424994803</v>
      </c>
      <c r="F93" s="53">
        <f t="shared" si="3"/>
        <v>0.61657100849446755</v>
      </c>
      <c r="G93" s="169">
        <f t="shared" si="4"/>
        <v>0.44465046927560509</v>
      </c>
      <c r="H93" s="184">
        <f t="shared" si="23"/>
        <v>0.65862731665161822</v>
      </c>
      <c r="I93" s="192">
        <f t="shared" si="10"/>
        <v>0.61657100849446755</v>
      </c>
      <c r="J93" s="160">
        <f>IF(INVOER!$R$35=1,100-H93*100,100-I93*100)</f>
        <v>38.342899150553244</v>
      </c>
      <c r="K93" s="233">
        <f t="shared" si="5"/>
        <v>0</v>
      </c>
      <c r="L93" s="232">
        <f t="shared" si="6"/>
        <v>10</v>
      </c>
      <c r="M93" s="232">
        <f t="shared" si="7"/>
        <v>15</v>
      </c>
      <c r="N93" s="232">
        <f t="shared" si="8"/>
        <v>0.99199999999999999</v>
      </c>
      <c r="O93" s="232">
        <f t="shared" si="9"/>
        <v>0.85199999999999998</v>
      </c>
      <c r="P93" s="45">
        <f t="shared" si="11"/>
        <v>7.3810864638246141</v>
      </c>
      <c r="Q93" s="6">
        <f t="shared" si="12"/>
        <v>19.224549927406461</v>
      </c>
      <c r="R93" s="140">
        <f t="shared" si="13"/>
        <v>0.99999999541124118</v>
      </c>
      <c r="S93" s="232">
        <f t="shared" si="14"/>
        <v>99.999999541124112</v>
      </c>
      <c r="T93" s="248">
        <f t="shared" si="15"/>
        <v>1.324685028336603E-7</v>
      </c>
      <c r="U93" s="281">
        <f>Berekening!H93*$T93</f>
        <v>8.7247374562190968E-8</v>
      </c>
      <c r="V93" s="282">
        <f>Berekening!I93*$T93</f>
        <v>8.1676238385902162E-8</v>
      </c>
      <c r="Y93" s="53">
        <f t="shared" si="20"/>
        <v>17</v>
      </c>
      <c r="Z93" s="6" t="str">
        <f>IF(INVOER!A45=0,"x",INVOER!A45)</f>
        <v>x</v>
      </c>
      <c r="AA93" s="6">
        <f>IF(INVOER!B$29&gt;INVOER!B$30,INVOER!B45,100-INVOER!B45)</f>
        <v>0</v>
      </c>
      <c r="AB93" s="6">
        <f t="shared" si="21"/>
        <v>17</v>
      </c>
      <c r="AC93" s="6">
        <f t="shared" si="16"/>
        <v>0</v>
      </c>
      <c r="AD93" s="54">
        <f>IF(INVOER!A45=0,10000,INVOER!A45)</f>
        <v>10000</v>
      </c>
    </row>
    <row r="94" spans="1:30" x14ac:dyDescent="0.2">
      <c r="A94" s="53">
        <f>A93*Berekening!H$58</f>
        <v>1.4935280138889535</v>
      </c>
      <c r="B94" s="6">
        <f t="shared" si="17"/>
        <v>1.4598483484912999</v>
      </c>
      <c r="C94" s="182">
        <f t="shared" si="22"/>
        <v>1.1664397366546349</v>
      </c>
      <c r="D94" s="212">
        <f t="shared" si="24"/>
        <v>0.6411074904106584</v>
      </c>
      <c r="E94" s="209">
        <f t="shared" si="19"/>
        <v>0.48621328607279163</v>
      </c>
      <c r="F94" s="53">
        <f t="shared" si="3"/>
        <v>0.59761858750911478</v>
      </c>
      <c r="G94" s="169">
        <f t="shared" si="4"/>
        <v>0.43385288878638423</v>
      </c>
      <c r="H94" s="184">
        <f t="shared" si="23"/>
        <v>0.6411074904106584</v>
      </c>
      <c r="I94" s="192">
        <f t="shared" si="10"/>
        <v>0.59761858750911478</v>
      </c>
      <c r="J94" s="160">
        <f>IF(INVOER!$R$35=1,100-H94*100,100-I94*100)</f>
        <v>40.238141249088521</v>
      </c>
      <c r="K94" s="233">
        <f t="shared" si="5"/>
        <v>0</v>
      </c>
      <c r="L94" s="232">
        <f t="shared" si="6"/>
        <v>10</v>
      </c>
      <c r="M94" s="232">
        <f t="shared" si="7"/>
        <v>15</v>
      </c>
      <c r="N94" s="232">
        <f t="shared" si="8"/>
        <v>0.99199999999999999</v>
      </c>
      <c r="O94" s="232">
        <f t="shared" si="9"/>
        <v>0.85199999999999998</v>
      </c>
      <c r="P94" s="45">
        <f t="shared" si="11"/>
        <v>7.3810864638246141</v>
      </c>
      <c r="Q94" s="6">
        <f t="shared" si="12"/>
        <v>19.224549927406461</v>
      </c>
      <c r="R94" s="140">
        <f t="shared" si="13"/>
        <v>0.99999999354894886</v>
      </c>
      <c r="S94" s="232">
        <f t="shared" si="14"/>
        <v>99.999999354894882</v>
      </c>
      <c r="T94" s="248">
        <f t="shared" si="15"/>
        <v>1.8622923203537312E-7</v>
      </c>
      <c r="U94" s="281">
        <f>Berekening!H94*$T94</f>
        <v>1.1939295559130225E-7</v>
      </c>
      <c r="V94" s="282">
        <f>Berekening!I94*$T94</f>
        <v>1.1129405060188687E-7</v>
      </c>
      <c r="Y94" s="53">
        <f t="shared" si="20"/>
        <v>18</v>
      </c>
      <c r="Z94" s="6" t="str">
        <f>IF(INVOER!A46=0,"x",INVOER!A46)</f>
        <v>x</v>
      </c>
      <c r="AA94" s="6">
        <f>IF(INVOER!B$29&gt;INVOER!B$30,INVOER!B46,100-INVOER!B46)</f>
        <v>0</v>
      </c>
      <c r="AB94" s="6">
        <f t="shared" si="21"/>
        <v>18</v>
      </c>
      <c r="AC94" s="6">
        <f t="shared" si="16"/>
        <v>0</v>
      </c>
      <c r="AD94" s="54">
        <f>IF(INVOER!A46=0,10000,INVOER!A46)</f>
        <v>10000</v>
      </c>
    </row>
    <row r="95" spans="1:30" x14ac:dyDescent="0.2">
      <c r="A95" s="53">
        <f>A94*Berekening!H$58</f>
        <v>1.5640687912403226</v>
      </c>
      <c r="B95" s="6">
        <f t="shared" si="17"/>
        <v>1.5287984025646382</v>
      </c>
      <c r="C95" s="182">
        <f t="shared" si="22"/>
        <v>1.2215318172798211</v>
      </c>
      <c r="D95" s="212">
        <f t="shared" si="24"/>
        <v>0.62364090568398545</v>
      </c>
      <c r="E95" s="209">
        <f t="shared" si="19"/>
        <v>0.47565332577850733</v>
      </c>
      <c r="F95" s="53">
        <f t="shared" si="3"/>
        <v>0.57880505712757513</v>
      </c>
      <c r="G95" s="169">
        <f t="shared" si="4"/>
        <v>0.42296008622337394</v>
      </c>
      <c r="H95" s="184">
        <f t="shared" si="23"/>
        <v>0.62364090568398545</v>
      </c>
      <c r="I95" s="192">
        <f t="shared" si="10"/>
        <v>0.57880505712757513</v>
      </c>
      <c r="J95" s="160">
        <f>IF(INVOER!$R$35=1,100-H95*100,100-I95*100)</f>
        <v>42.119494287242489</v>
      </c>
      <c r="K95" s="233">
        <f t="shared" si="5"/>
        <v>0</v>
      </c>
      <c r="L95" s="232">
        <f t="shared" si="6"/>
        <v>10</v>
      </c>
      <c r="M95" s="232">
        <f t="shared" si="7"/>
        <v>15</v>
      </c>
      <c r="N95" s="232">
        <f t="shared" si="8"/>
        <v>0.99199999999999999</v>
      </c>
      <c r="O95" s="232">
        <f t="shared" si="9"/>
        <v>0.85199999999999998</v>
      </c>
      <c r="P95" s="45">
        <f t="shared" si="11"/>
        <v>7.3810864638246141</v>
      </c>
      <c r="Q95" s="6">
        <f t="shared" si="12"/>
        <v>19.224549927406461</v>
      </c>
      <c r="R95" s="140">
        <f t="shared" si="13"/>
        <v>0.99999999093086755</v>
      </c>
      <c r="S95" s="232">
        <f t="shared" si="14"/>
        <v>99.999999093086757</v>
      </c>
      <c r="T95" s="248">
        <f t="shared" si="15"/>
        <v>2.6180813073040099E-7</v>
      </c>
      <c r="U95" s="281">
        <f>Berekening!H95*$T95</f>
        <v>1.6327425976413854E-7</v>
      </c>
      <c r="V95" s="282">
        <f>Berekening!I95*$T95</f>
        <v>1.515358700638734E-7</v>
      </c>
      <c r="Y95" s="53">
        <f t="shared" si="20"/>
        <v>19</v>
      </c>
      <c r="Z95" s="6" t="str">
        <f>IF(INVOER!A47=0,"x",INVOER!A47)</f>
        <v>x</v>
      </c>
      <c r="AA95" s="6">
        <f>IF(INVOER!B$29&gt;INVOER!B$30,INVOER!B47,100-INVOER!B47)</f>
        <v>0</v>
      </c>
      <c r="AB95" s="6">
        <f t="shared" si="21"/>
        <v>19</v>
      </c>
      <c r="AC95" s="6">
        <f t="shared" si="16"/>
        <v>0</v>
      </c>
      <c r="AD95" s="54">
        <f>IF(INVOER!A47=0,10000,INVOER!A47)</f>
        <v>10000</v>
      </c>
    </row>
    <row r="96" spans="1:30" x14ac:dyDescent="0.2">
      <c r="A96" s="55">
        <f>A95*Berekening!H$58</f>
        <v>1.6379412779557354</v>
      </c>
      <c r="B96" s="56">
        <f t="shared" si="17"/>
        <v>1.6010050345980291</v>
      </c>
      <c r="C96" s="195">
        <f t="shared" si="22"/>
        <v>1.2792259503319219</v>
      </c>
      <c r="D96" s="213">
        <f t="shared" si="24"/>
        <v>0.60622588305933056</v>
      </c>
      <c r="E96" s="181">
        <f t="shared" si="19"/>
        <v>0.4649722535667476</v>
      </c>
      <c r="F96" s="55">
        <f t="shared" si="3"/>
        <v>0.56012977979475342</v>
      </c>
      <c r="G96" s="196">
        <f t="shared" si="4"/>
        <v>0.41198116343720131</v>
      </c>
      <c r="H96" s="185">
        <f t="shared" si="23"/>
        <v>0.60622588305933056</v>
      </c>
      <c r="I96" s="245">
        <f t="shared" si="10"/>
        <v>0.56012977979475342</v>
      </c>
      <c r="J96" s="160">
        <f>IF(INVOER!$R$35=1,100-H96*100,100-I96*100)</f>
        <v>43.987022020524655</v>
      </c>
      <c r="K96" s="303">
        <f t="shared" si="5"/>
        <v>0</v>
      </c>
      <c r="L96" s="270">
        <f t="shared" si="6"/>
        <v>10</v>
      </c>
      <c r="M96" s="270">
        <f t="shared" si="7"/>
        <v>15</v>
      </c>
      <c r="N96" s="270">
        <f t="shared" si="8"/>
        <v>0.99199999999999999</v>
      </c>
      <c r="O96" s="270">
        <f t="shared" si="9"/>
        <v>0.85199999999999998</v>
      </c>
      <c r="P96" s="61">
        <f t="shared" si="11"/>
        <v>7.3810864638246141</v>
      </c>
      <c r="Q96" s="56">
        <f t="shared" si="12"/>
        <v>19.224549927406461</v>
      </c>
      <c r="R96" s="188">
        <f t="shared" si="13"/>
        <v>0.99999998725026951</v>
      </c>
      <c r="S96" s="270">
        <f t="shared" si="14"/>
        <v>99.999998725026956</v>
      </c>
      <c r="T96" s="249">
        <f t="shared" si="15"/>
        <v>3.6805980485610235E-7</v>
      </c>
      <c r="U96" s="283">
        <f>Berekening!H96*$T96</f>
        <v>2.2312738021753552E-7</v>
      </c>
      <c r="V96" s="284">
        <f>Berekening!I96*$T96</f>
        <v>2.0616125744534853E-7</v>
      </c>
      <c r="Y96" s="53">
        <f t="shared" si="20"/>
        <v>20</v>
      </c>
      <c r="Z96" s="6" t="str">
        <f>IF(INVOER!A48=0,"x",INVOER!A48)</f>
        <v>x</v>
      </c>
      <c r="AA96" s="6">
        <f>IF(INVOER!B$29&gt;INVOER!B$30,INVOER!B48,100-INVOER!B48)</f>
        <v>0</v>
      </c>
      <c r="AB96" s="6">
        <f t="shared" si="21"/>
        <v>20</v>
      </c>
      <c r="AC96" s="6">
        <f t="shared" si="16"/>
        <v>0</v>
      </c>
      <c r="AD96" s="54">
        <f>IF(INVOER!A48=0,10000,INVOER!A48)</f>
        <v>10000</v>
      </c>
    </row>
    <row r="97" spans="1:30" x14ac:dyDescent="0.2">
      <c r="A97" s="53">
        <f>A96*Berekening!H$58</f>
        <v>1.7153028339014031</v>
      </c>
      <c r="B97" s="6">
        <f t="shared" si="17"/>
        <v>1.6766220559285694</v>
      </c>
      <c r="C97" s="182">
        <f t="shared" si="22"/>
        <v>1.3396450332719805</v>
      </c>
      <c r="D97" s="212">
        <f t="shared" si="24"/>
        <v>0.58886285925957615</v>
      </c>
      <c r="E97" s="209">
        <f t="shared" si="19"/>
        <v>0.45417743429422347</v>
      </c>
      <c r="F97" s="53">
        <f t="shared" si="3"/>
        <v>0.54159447181986486</v>
      </c>
      <c r="G97" s="169">
        <f t="shared" si="4"/>
        <v>0.40092574338598347</v>
      </c>
      <c r="H97" s="184">
        <f t="shared" si="23"/>
        <v>0.58886285925957615</v>
      </c>
      <c r="I97" s="192">
        <f t="shared" si="10"/>
        <v>0.54159447181986486</v>
      </c>
      <c r="J97" s="162">
        <f>IF(INVOER!$R$35=1,100-H97*100,100-I97*100)</f>
        <v>45.840552818013514</v>
      </c>
      <c r="K97" s="301">
        <f t="shared" si="5"/>
        <v>0</v>
      </c>
      <c r="L97" s="269">
        <f t="shared" si="6"/>
        <v>10</v>
      </c>
      <c r="M97" s="269">
        <f t="shared" si="7"/>
        <v>15</v>
      </c>
      <c r="N97" s="269">
        <f t="shared" si="8"/>
        <v>0.99199999999999999</v>
      </c>
      <c r="O97" s="269">
        <f t="shared" si="9"/>
        <v>0.85199999999999998</v>
      </c>
      <c r="P97" s="44">
        <f t="shared" si="11"/>
        <v>7.3810864638246141</v>
      </c>
      <c r="Q97" s="5">
        <f t="shared" si="12"/>
        <v>19.224549927406461</v>
      </c>
      <c r="R97" s="246">
        <f t="shared" si="13"/>
        <v>0.99999998207594532</v>
      </c>
      <c r="S97" s="269">
        <f t="shared" si="14"/>
        <v>99.99999820759453</v>
      </c>
      <c r="T97" s="250">
        <f t="shared" si="15"/>
        <v>5.1743241913371207E-7</v>
      </c>
      <c r="U97" s="281">
        <f>Berekening!H97*$T97</f>
        <v>3.0469673380467709E-7</v>
      </c>
      <c r="V97" s="282">
        <f>Berekening!I97*$T97</f>
        <v>2.8023853774319773E-7</v>
      </c>
      <c r="Y97" s="53">
        <f t="shared" si="20"/>
        <v>21</v>
      </c>
      <c r="Z97" s="6" t="str">
        <f>IF(INVOER!A49=0,"x",INVOER!A49)</f>
        <v>x</v>
      </c>
      <c r="AA97" s="6">
        <f>IF(INVOER!B$29&gt;INVOER!B$30,INVOER!B49,100-INVOER!B49)</f>
        <v>0</v>
      </c>
      <c r="AB97" s="6">
        <f t="shared" si="21"/>
        <v>21</v>
      </c>
      <c r="AC97" s="6">
        <f t="shared" si="16"/>
        <v>0</v>
      </c>
      <c r="AD97" s="54">
        <f>IF(INVOER!A49=0,10000,INVOER!A49)</f>
        <v>10000</v>
      </c>
    </row>
    <row r="98" spans="1:30" x14ac:dyDescent="0.2">
      <c r="A98" s="53">
        <f>A97*Berekening!H$58</f>
        <v>1.7963182512027138</v>
      </c>
      <c r="B98" s="6">
        <f t="shared" ref="B98:B138" si="25">(A97+A98)/2</f>
        <v>1.7558105425520585</v>
      </c>
      <c r="C98" s="182">
        <f t="shared" si="22"/>
        <v>1.4029177681273792</v>
      </c>
      <c r="D98" s="212">
        <f t="shared" si="24"/>
        <v>0.57155414569150975</v>
      </c>
      <c r="E98" s="209">
        <f t="shared" ref="E98:E138" si="26">IF(C98-$K$36&gt;0,EXP(-(((C98-$K$36)/$K$38)^$K$40)),1)</f>
        <v>0.44327675254920207</v>
      </c>
      <c r="F98" s="53">
        <f t="shared" ref="F98:F138" si="27">D98^($B$54*$B$63)</f>
        <v>0.52320290171712791</v>
      </c>
      <c r="G98" s="169">
        <f t="shared" ref="G98:G138" si="28">E98^($B$54*$B$63)</f>
        <v>0.3898039644894169</v>
      </c>
      <c r="H98" s="184">
        <f t="shared" ref="H98:H138" si="29">IF(C98&lt;$K$41,D98,E98)</f>
        <v>0.57155414569150975</v>
      </c>
      <c r="I98" s="192">
        <f t="shared" ref="I98:I138" si="30">IF(C98&lt;$K$41,F98,G98)</f>
        <v>0.52320290171712791</v>
      </c>
      <c r="J98" s="160">
        <f>IF(INVOER!$R$35=1,100-H98*100,100-I98*100)</f>
        <v>47.679709828287208</v>
      </c>
      <c r="K98" s="233">
        <f t="shared" si="5"/>
        <v>0</v>
      </c>
      <c r="L98" s="232">
        <f t="shared" si="6"/>
        <v>10</v>
      </c>
      <c r="M98" s="232">
        <f t="shared" si="7"/>
        <v>15</v>
      </c>
      <c r="N98" s="232">
        <f t="shared" si="8"/>
        <v>0.99199999999999999</v>
      </c>
      <c r="O98" s="232">
        <f t="shared" si="9"/>
        <v>0.85199999999999998</v>
      </c>
      <c r="P98" s="45">
        <f t="shared" ref="P98:P138" si="31">(LN(LN(N98)/LN(O98)))/LN(L98/M98)</f>
        <v>7.3810864638246141</v>
      </c>
      <c r="Q98" s="6">
        <f t="shared" ref="Q98:Q138" si="32">L98/((-LN(N98))^(1/P98))</f>
        <v>19.224549927406461</v>
      </c>
      <c r="R98" s="140">
        <f t="shared" si="13"/>
        <v>0.99999997480168401</v>
      </c>
      <c r="S98" s="232">
        <f t="shared" si="14"/>
        <v>99.999997480168403</v>
      </c>
      <c r="T98" s="248">
        <f t="shared" si="15"/>
        <v>7.2742613044241011E-7</v>
      </c>
      <c r="U98" s="281">
        <f>Berekening!H98*$T98</f>
        <v>4.1576342053869244E-7</v>
      </c>
      <c r="V98" s="282">
        <f>Berekening!I98*$T98</f>
        <v>3.8059146223233098E-7</v>
      </c>
      <c r="Y98" s="53">
        <f t="shared" si="20"/>
        <v>22</v>
      </c>
      <c r="Z98" s="6" t="str">
        <f>IF(INVOER!A50=0,"x",INVOER!A50)</f>
        <v>x</v>
      </c>
      <c r="AA98" s="6">
        <f>IF(INVOER!B$29&gt;INVOER!B$30,INVOER!B50,100-INVOER!B50)</f>
        <v>0</v>
      </c>
      <c r="AB98" s="6">
        <f t="shared" si="21"/>
        <v>22</v>
      </c>
      <c r="AC98" s="6">
        <f t="shared" si="16"/>
        <v>0</v>
      </c>
      <c r="AD98" s="54">
        <f>IF(INVOER!A50=0,10000,INVOER!A50)</f>
        <v>10000</v>
      </c>
    </row>
    <row r="99" spans="1:30" x14ac:dyDescent="0.2">
      <c r="A99" s="53">
        <f>A98*Berekening!H$58</f>
        <v>1.8811601052770444</v>
      </c>
      <c r="B99" s="6">
        <f t="shared" si="25"/>
        <v>1.8387391782398792</v>
      </c>
      <c r="C99" s="182">
        <f t="shared" si="22"/>
        <v>1.469178935647141</v>
      </c>
      <c r="D99" s="212">
        <f t="shared" si="24"/>
        <v>0.55430373218169926</v>
      </c>
      <c r="E99" s="209">
        <f t="shared" si="26"/>
        <v>0.43227861566675352</v>
      </c>
      <c r="F99" s="53">
        <f t="shared" si="27"/>
        <v>0.50496064084428371</v>
      </c>
      <c r="G99" s="169">
        <f t="shared" si="28"/>
        <v>0.3786264720025676</v>
      </c>
      <c r="H99" s="184">
        <f t="shared" si="29"/>
        <v>0.55430373218169926</v>
      </c>
      <c r="I99" s="192">
        <f t="shared" si="30"/>
        <v>0.50496064084428371</v>
      </c>
      <c r="J99" s="160">
        <f>IF(INVOER!$R$35=1,100-H99*100,100-I99*100)</f>
        <v>49.503935915571631</v>
      </c>
      <c r="K99" s="233">
        <f t="shared" si="5"/>
        <v>0</v>
      </c>
      <c r="L99" s="232">
        <f t="shared" si="6"/>
        <v>10</v>
      </c>
      <c r="M99" s="232">
        <f t="shared" si="7"/>
        <v>15</v>
      </c>
      <c r="N99" s="232">
        <f t="shared" si="8"/>
        <v>0.99199999999999999</v>
      </c>
      <c r="O99" s="232">
        <f t="shared" si="9"/>
        <v>0.85199999999999998</v>
      </c>
      <c r="P99" s="45">
        <f t="shared" si="31"/>
        <v>7.3810864638246141</v>
      </c>
      <c r="Q99" s="6">
        <f t="shared" si="32"/>
        <v>19.224549927406461</v>
      </c>
      <c r="R99" s="140">
        <f t="shared" si="13"/>
        <v>0.99999996457525164</v>
      </c>
      <c r="S99" s="232">
        <f t="shared" si="14"/>
        <v>99.999996457525171</v>
      </c>
      <c r="T99" s="248">
        <f t="shared" si="15"/>
        <v>1.0226432367588245E-6</v>
      </c>
      <c r="U99" s="281">
        <f>Berekening!H99*$T99</f>
        <v>5.6685496282578949E-7</v>
      </c>
      <c r="V99" s="282">
        <f>Berekening!I99*$T99</f>
        <v>5.1639458418880861E-7</v>
      </c>
      <c r="Y99" s="53">
        <f t="shared" si="20"/>
        <v>23</v>
      </c>
      <c r="Z99" s="6" t="str">
        <f>IF(INVOER!A51=0,"x",INVOER!A51)</f>
        <v>x</v>
      </c>
      <c r="AA99" s="6">
        <f>IF(INVOER!B$29&gt;INVOER!B$30,INVOER!B51,100-INVOER!B51)</f>
        <v>0</v>
      </c>
      <c r="AB99" s="6">
        <f t="shared" si="21"/>
        <v>23</v>
      </c>
      <c r="AC99" s="6">
        <f t="shared" si="16"/>
        <v>0</v>
      </c>
      <c r="AD99" s="54">
        <f>IF(INVOER!A51=0,10000,INVOER!A51)</f>
        <v>10000</v>
      </c>
    </row>
    <row r="100" spans="1:30" x14ac:dyDescent="0.2">
      <c r="A100" s="53">
        <f>A99*Berekening!H$58</f>
        <v>1.9700091224461942</v>
      </c>
      <c r="B100" s="6">
        <f t="shared" si="25"/>
        <v>1.9255846138616193</v>
      </c>
      <c r="C100" s="182">
        <f t="shared" si="22"/>
        <v>1.5385696824058501</v>
      </c>
      <c r="D100" s="212">
        <f t="shared" si="24"/>
        <v>0.5371171241977758</v>
      </c>
      <c r="E100" s="209">
        <f t="shared" si="26"/>
        <v>0.4211919544789246</v>
      </c>
      <c r="F100" s="53">
        <f t="shared" si="27"/>
        <v>0.48687485270037906</v>
      </c>
      <c r="G100" s="169">
        <f t="shared" si="28"/>
        <v>0.36740440620624204</v>
      </c>
      <c r="H100" s="184">
        <f t="shared" si="29"/>
        <v>0.5371171241977758</v>
      </c>
      <c r="I100" s="192">
        <f t="shared" si="30"/>
        <v>0.48687485270037906</v>
      </c>
      <c r="J100" s="160">
        <f>IF(INVOER!$R$35=1,100-H100*100,100-I100*100)</f>
        <v>51.312514729962096</v>
      </c>
      <c r="K100" s="233">
        <f t="shared" si="5"/>
        <v>0</v>
      </c>
      <c r="L100" s="232">
        <f t="shared" si="6"/>
        <v>10</v>
      </c>
      <c r="M100" s="232">
        <f t="shared" si="7"/>
        <v>15</v>
      </c>
      <c r="N100" s="232">
        <f t="shared" si="8"/>
        <v>0.99199999999999999</v>
      </c>
      <c r="O100" s="232">
        <f t="shared" si="9"/>
        <v>0.85199999999999998</v>
      </c>
      <c r="P100" s="45">
        <f t="shared" si="31"/>
        <v>7.3810864638246141</v>
      </c>
      <c r="Q100" s="6">
        <f t="shared" si="32"/>
        <v>19.224549927406461</v>
      </c>
      <c r="R100" s="140">
        <f t="shared" si="13"/>
        <v>0.99999995019854526</v>
      </c>
      <c r="S100" s="232">
        <f t="shared" si="14"/>
        <v>99.999995019854524</v>
      </c>
      <c r="T100" s="248">
        <f t="shared" si="15"/>
        <v>1.4376706380936355E-6</v>
      </c>
      <c r="U100" s="281">
        <f>Berekening!H100*$T100</f>
        <v>7.7219751867643478E-7</v>
      </c>
      <c r="V100" s="282">
        <f>Berekening!I100*$T100</f>
        <v>6.9996568015349877E-7</v>
      </c>
      <c r="Y100" s="53">
        <f t="shared" si="20"/>
        <v>24</v>
      </c>
      <c r="Z100" s="6" t="str">
        <f>IF(INVOER!A52=0,"x",INVOER!A52)</f>
        <v>x</v>
      </c>
      <c r="AA100" s="6">
        <f>IF(INVOER!B$29&gt;INVOER!B$30,INVOER!B52,100-INVOER!B52)</f>
        <v>0</v>
      </c>
      <c r="AB100" s="6">
        <f t="shared" si="21"/>
        <v>24</v>
      </c>
      <c r="AC100" s="6">
        <f t="shared" si="16"/>
        <v>0</v>
      </c>
      <c r="AD100" s="54">
        <f>IF(INVOER!A52=0,10000,INVOER!A52)</f>
        <v>10000</v>
      </c>
    </row>
    <row r="101" spans="1:30" x14ac:dyDescent="0.2">
      <c r="A101" s="55">
        <f>A100*Berekening!H$58</f>
        <v>2.0630545649115106</v>
      </c>
      <c r="B101" s="56">
        <f t="shared" si="25"/>
        <v>2.0165318436788526</v>
      </c>
      <c r="C101" s="195">
        <f t="shared" si="22"/>
        <v>1.6112378214677716</v>
      </c>
      <c r="D101" s="213">
        <f t="shared" si="24"/>
        <v>0.520001204906551</v>
      </c>
      <c r="E101" s="181">
        <f t="shared" si="26"/>
        <v>0.4100262215910373</v>
      </c>
      <c r="F101" s="55">
        <f t="shared" si="27"/>
        <v>0.46895411083923166</v>
      </c>
      <c r="G101" s="196">
        <f t="shared" si="28"/>
        <v>0.35614938721807288</v>
      </c>
      <c r="H101" s="185">
        <f t="shared" si="29"/>
        <v>0.520001204906551</v>
      </c>
      <c r="I101" s="245">
        <f t="shared" si="30"/>
        <v>0.46895411083923166</v>
      </c>
      <c r="J101" s="253">
        <f>IF(INVOER!$R$35=1,100-H101*100,100-I101*100)</f>
        <v>53.104588916076835</v>
      </c>
      <c r="K101" s="303">
        <f t="shared" si="5"/>
        <v>0</v>
      </c>
      <c r="L101" s="270">
        <f t="shared" si="6"/>
        <v>10</v>
      </c>
      <c r="M101" s="270">
        <f t="shared" si="7"/>
        <v>15</v>
      </c>
      <c r="N101" s="270">
        <f t="shared" si="8"/>
        <v>0.99199999999999999</v>
      </c>
      <c r="O101" s="270">
        <f t="shared" si="9"/>
        <v>0.85199999999999998</v>
      </c>
      <c r="P101" s="61">
        <f t="shared" si="31"/>
        <v>7.3810864638246141</v>
      </c>
      <c r="Q101" s="56">
        <f t="shared" si="32"/>
        <v>19.224549927406461</v>
      </c>
      <c r="R101" s="188">
        <f t="shared" si="13"/>
        <v>0.99999992998722642</v>
      </c>
      <c r="S101" s="270">
        <f t="shared" si="14"/>
        <v>99.999992998722647</v>
      </c>
      <c r="T101" s="249">
        <f t="shared" si="15"/>
        <v>2.0211318840779313E-6</v>
      </c>
      <c r="U101" s="283">
        <f>Berekening!H101*$T101</f>
        <v>1.0509910149955718E-6</v>
      </c>
      <c r="V101" s="284">
        <f>Berekening!I101*$T101</f>
        <v>9.4781810558658734E-7</v>
      </c>
      <c r="Y101" s="53">
        <f t="shared" si="20"/>
        <v>25</v>
      </c>
      <c r="Z101" s="6" t="str">
        <f>IF(INVOER!A53=0,"x",INVOER!A53)</f>
        <v>x</v>
      </c>
      <c r="AA101" s="6">
        <f>IF(INVOER!B$29&gt;INVOER!B$30,INVOER!B53,100-INVOER!B53)</f>
        <v>0</v>
      </c>
      <c r="AB101" s="6">
        <f t="shared" si="21"/>
        <v>25</v>
      </c>
      <c r="AC101" s="6">
        <f t="shared" si="16"/>
        <v>0</v>
      </c>
      <c r="AD101" s="54">
        <f>IF(INVOER!A53=0,10000,INVOER!A53)</f>
        <v>10000</v>
      </c>
    </row>
    <row r="102" spans="1:30" x14ac:dyDescent="0.2">
      <c r="A102" s="53">
        <f>A101*Berekening!H$58</f>
        <v>2.1604946339117621</v>
      </c>
      <c r="B102" s="6">
        <f t="shared" si="25"/>
        <v>2.1117745994116364</v>
      </c>
      <c r="C102" s="182">
        <f t="shared" si="22"/>
        <v>1.6873381472516262</v>
      </c>
      <c r="D102" s="212">
        <f t="shared" si="24"/>
        <v>0.50296411557058462</v>
      </c>
      <c r="E102" s="209">
        <f t="shared" si="26"/>
        <v>0.39879138697416061</v>
      </c>
      <c r="F102" s="53">
        <f t="shared" si="27"/>
        <v>0.45120823789448422</v>
      </c>
      <c r="G102" s="169">
        <f t="shared" si="28"/>
        <v>0.34487349623878677</v>
      </c>
      <c r="H102" s="184">
        <f t="shared" si="29"/>
        <v>0.50296411557058462</v>
      </c>
      <c r="I102" s="192">
        <f t="shared" si="30"/>
        <v>0.45120823789448422</v>
      </c>
      <c r="J102" s="160">
        <f>IF(INVOER!$R$35=1,100-H102*100,100-I102*100)</f>
        <v>54.879176210551577</v>
      </c>
      <c r="K102" s="301">
        <f t="shared" si="5"/>
        <v>0</v>
      </c>
      <c r="L102" s="269">
        <f t="shared" si="6"/>
        <v>10</v>
      </c>
      <c r="M102" s="269">
        <f t="shared" si="7"/>
        <v>15</v>
      </c>
      <c r="N102" s="269">
        <f t="shared" si="8"/>
        <v>0.99199999999999999</v>
      </c>
      <c r="O102" s="269">
        <f t="shared" si="9"/>
        <v>0.85199999999999998</v>
      </c>
      <c r="P102" s="44">
        <f t="shared" si="31"/>
        <v>7.3810864638246141</v>
      </c>
      <c r="Q102" s="5">
        <f t="shared" si="32"/>
        <v>19.224549927406461</v>
      </c>
      <c r="R102" s="246">
        <f t="shared" si="13"/>
        <v>0.99999990157338825</v>
      </c>
      <c r="S102" s="269">
        <f t="shared" si="14"/>
        <v>99.999990157338829</v>
      </c>
      <c r="T102" s="250">
        <f t="shared" si="15"/>
        <v>2.841383817120402E-6</v>
      </c>
      <c r="U102" s="281">
        <f>Berekening!H102*$T102</f>
        <v>1.4291140985745347E-6</v>
      </c>
      <c r="V102" s="282">
        <f>Berekening!I102*$T102</f>
        <v>1.2820557853047999E-6</v>
      </c>
      <c r="Y102" s="53">
        <f t="shared" si="20"/>
        <v>26</v>
      </c>
      <c r="Z102" s="6" t="str">
        <f>IF(INVOER!A54=0,"x",INVOER!A54)</f>
        <v>x</v>
      </c>
      <c r="AA102" s="6">
        <f>IF(INVOER!B$29&gt;INVOER!B$30,INVOER!B54,100-INVOER!B54)</f>
        <v>0</v>
      </c>
      <c r="AB102" s="6">
        <f t="shared" si="21"/>
        <v>26</v>
      </c>
      <c r="AC102" s="6">
        <f t="shared" si="16"/>
        <v>0</v>
      </c>
      <c r="AD102" s="54">
        <f>IF(INVOER!A54=0,10000,INVOER!A54)</f>
        <v>10000</v>
      </c>
    </row>
    <row r="103" spans="1:30" x14ac:dyDescent="0.2">
      <c r="A103" s="53">
        <f>A102*Berekening!H$58</f>
        <v>2.2625368919225508</v>
      </c>
      <c r="B103" s="6">
        <f t="shared" si="25"/>
        <v>2.2115157629171565</v>
      </c>
      <c r="C103" s="182">
        <f t="shared" si="22"/>
        <v>1.7670327652667379</v>
      </c>
      <c r="D103" s="212">
        <f t="shared" si="24"/>
        <v>0.48601514932634604</v>
      </c>
      <c r="E103" s="209">
        <f t="shared" si="26"/>
        <v>0.3874979306647548</v>
      </c>
      <c r="F103" s="53">
        <f t="shared" si="27"/>
        <v>0.43364816004029894</v>
      </c>
      <c r="G103" s="169">
        <f t="shared" si="28"/>
        <v>0.33358925306182263</v>
      </c>
      <c r="H103" s="184">
        <f t="shared" si="29"/>
        <v>0.48601514932634604</v>
      </c>
      <c r="I103" s="192">
        <f t="shared" si="30"/>
        <v>0.43364816004029894</v>
      </c>
      <c r="J103" s="160">
        <f>IF(INVOER!$R$35=1,100-H103*100,100-I103*100)</f>
        <v>56.63518399597011</v>
      </c>
      <c r="K103" s="233">
        <f t="shared" si="5"/>
        <v>0</v>
      </c>
      <c r="L103" s="232">
        <f t="shared" si="6"/>
        <v>10</v>
      </c>
      <c r="M103" s="232">
        <f t="shared" si="7"/>
        <v>15</v>
      </c>
      <c r="N103" s="232">
        <f t="shared" si="8"/>
        <v>0.99199999999999999</v>
      </c>
      <c r="O103" s="232">
        <f t="shared" si="9"/>
        <v>0.85199999999999998</v>
      </c>
      <c r="P103" s="45">
        <f t="shared" si="31"/>
        <v>7.3810864638246141</v>
      </c>
      <c r="Q103" s="6">
        <f t="shared" si="32"/>
        <v>19.224549927406461</v>
      </c>
      <c r="R103" s="140">
        <f t="shared" si="13"/>
        <v>0.99999986162813814</v>
      </c>
      <c r="S103" s="232">
        <f t="shared" si="14"/>
        <v>99.999986162813812</v>
      </c>
      <c r="T103" s="248">
        <f t="shared" si="15"/>
        <v>3.9945250107642494E-6</v>
      </c>
      <c r="U103" s="281">
        <f>Berekening!H103*$T103</f>
        <v>1.9413996695944106E-6</v>
      </c>
      <c r="V103" s="282">
        <f>Berekening!I103*$T103</f>
        <v>1.732218421152872E-6</v>
      </c>
      <c r="Y103" s="53">
        <f t="shared" si="20"/>
        <v>27</v>
      </c>
      <c r="Z103" s="6" t="str">
        <f>IF(INVOER!A55=0,"x",INVOER!A55)</f>
        <v>x</v>
      </c>
      <c r="AA103" s="6">
        <f>IF(INVOER!B$29&gt;INVOER!B$30,INVOER!B55,100-INVOER!B55)</f>
        <v>0</v>
      </c>
      <c r="AB103" s="6">
        <f t="shared" si="21"/>
        <v>27</v>
      </c>
      <c r="AC103" s="6">
        <f t="shared" si="16"/>
        <v>0</v>
      </c>
      <c r="AD103" s="54">
        <f>IF(INVOER!A55=0,10000,INVOER!A55)</f>
        <v>10000</v>
      </c>
    </row>
    <row r="104" spans="1:30" x14ac:dyDescent="0.2">
      <c r="A104" s="53">
        <f>A103*Berekening!H$58</f>
        <v>2.3693987047966103</v>
      </c>
      <c r="B104" s="6">
        <f t="shared" si="25"/>
        <v>2.3159677983595808</v>
      </c>
      <c r="C104" s="182">
        <f t="shared" si="22"/>
        <v>1.8504914374229355</v>
      </c>
      <c r="D104" s="212">
        <f t="shared" si="24"/>
        <v>0.46916465451153788</v>
      </c>
      <c r="E104" s="209">
        <f t="shared" si="26"/>
        <v>0.37615683236581549</v>
      </c>
      <c r="F104" s="53">
        <f t="shared" si="27"/>
        <v>0.41628577255250904</v>
      </c>
      <c r="G104" s="169">
        <f t="shared" si="28"/>
        <v>0.3223095896918014</v>
      </c>
      <c r="H104" s="184">
        <f t="shared" si="29"/>
        <v>0.46916465451153788</v>
      </c>
      <c r="I104" s="192">
        <f t="shared" si="30"/>
        <v>0.41628577255250904</v>
      </c>
      <c r="J104" s="160">
        <f>IF(INVOER!$R$35=1,100-H104*100,100-I104*100)</f>
        <v>58.371422744749097</v>
      </c>
      <c r="K104" s="233">
        <f t="shared" si="5"/>
        <v>0</v>
      </c>
      <c r="L104" s="232">
        <f t="shared" si="6"/>
        <v>10</v>
      </c>
      <c r="M104" s="232">
        <f t="shared" si="7"/>
        <v>15</v>
      </c>
      <c r="N104" s="232">
        <f t="shared" si="8"/>
        <v>0.99199999999999999</v>
      </c>
      <c r="O104" s="232">
        <f t="shared" si="9"/>
        <v>0.85199999999999998</v>
      </c>
      <c r="P104" s="45">
        <f t="shared" si="31"/>
        <v>7.3810864638246141</v>
      </c>
      <c r="Q104" s="6">
        <f t="shared" si="32"/>
        <v>19.224549927406461</v>
      </c>
      <c r="R104" s="140">
        <f t="shared" si="13"/>
        <v>0.99999980547159273</v>
      </c>
      <c r="S104" s="232">
        <f t="shared" si="14"/>
        <v>99.999980547159268</v>
      </c>
      <c r="T104" s="248">
        <f t="shared" si="15"/>
        <v>5.6156545413799108E-6</v>
      </c>
      <c r="U104" s="281">
        <f>Berekening!H104*$T104</f>
        <v>2.6346666227626547E-6</v>
      </c>
      <c r="V104" s="282">
        <f>Berekening!I104*$T104</f>
        <v>2.337717089146342E-6</v>
      </c>
      <c r="Y104" s="53">
        <f t="shared" si="20"/>
        <v>28</v>
      </c>
      <c r="Z104" s="6" t="str">
        <f>IF(INVOER!A56=0,"x",INVOER!A56)</f>
        <v>x</v>
      </c>
      <c r="AA104" s="6">
        <f>IF(INVOER!B$29&gt;INVOER!B$30,INVOER!B56,100-INVOER!B56)</f>
        <v>0</v>
      </c>
      <c r="AB104" s="6">
        <f t="shared" si="21"/>
        <v>28</v>
      </c>
      <c r="AC104" s="6">
        <f t="shared" si="16"/>
        <v>0</v>
      </c>
      <c r="AD104" s="54">
        <f>IF(INVOER!A56=0,10000,INVOER!A56)</f>
        <v>10000</v>
      </c>
    </row>
    <row r="105" spans="1:30" x14ac:dyDescent="0.2">
      <c r="A105" s="53">
        <f>A104*Berekening!H$58</f>
        <v>2.4813077047868219</v>
      </c>
      <c r="B105" s="6">
        <f t="shared" si="25"/>
        <v>2.4253532047917163</v>
      </c>
      <c r="C105" s="182">
        <f t="shared" si="22"/>
        <v>1.9378919436497786</v>
      </c>
      <c r="D105" s="212">
        <f t="shared" si="24"/>
        <v>0.45242394454366186</v>
      </c>
      <c r="E105" s="209">
        <f t="shared" si="26"/>
        <v>0.36477955774984078</v>
      </c>
      <c r="F105" s="53">
        <f t="shared" si="27"/>
        <v>0.39913381313711338</v>
      </c>
      <c r="G105" s="169">
        <f t="shared" si="28"/>
        <v>0.311047819938574</v>
      </c>
      <c r="H105" s="184">
        <f t="shared" si="29"/>
        <v>0.45242394454366186</v>
      </c>
      <c r="I105" s="192">
        <f t="shared" si="30"/>
        <v>0.39913381313711338</v>
      </c>
      <c r="J105" s="160">
        <f>IF(INVOER!$R$35=1,100-H105*100,100-I105*100)</f>
        <v>60.086618686288659</v>
      </c>
      <c r="K105" s="233">
        <f t="shared" si="5"/>
        <v>0</v>
      </c>
      <c r="L105" s="232">
        <f t="shared" si="6"/>
        <v>10</v>
      </c>
      <c r="M105" s="232">
        <f t="shared" si="7"/>
        <v>15</v>
      </c>
      <c r="N105" s="232">
        <f t="shared" si="8"/>
        <v>0.99199999999999999</v>
      </c>
      <c r="O105" s="232">
        <f t="shared" si="9"/>
        <v>0.85199999999999998</v>
      </c>
      <c r="P105" s="45">
        <f t="shared" si="31"/>
        <v>7.3810864638246141</v>
      </c>
      <c r="Q105" s="6">
        <f t="shared" si="32"/>
        <v>19.224549927406461</v>
      </c>
      <c r="R105" s="140">
        <f t="shared" si="13"/>
        <v>0.99999972652459623</v>
      </c>
      <c r="S105" s="232">
        <f t="shared" si="14"/>
        <v>99.999972652459618</v>
      </c>
      <c r="T105" s="248">
        <f t="shared" si="15"/>
        <v>7.8946996495687927E-6</v>
      </c>
      <c r="U105" s="281">
        <f>Berekening!H105*$T105</f>
        <v>3.5717511564453781E-6</v>
      </c>
      <c r="V105" s="282">
        <f>Berekening!I105*$T105</f>
        <v>3.1510415747046249E-6</v>
      </c>
      <c r="Y105" s="53">
        <f t="shared" si="20"/>
        <v>29</v>
      </c>
      <c r="Z105" s="6" t="str">
        <f>IF(INVOER!A57=0,"x",INVOER!A57)</f>
        <v>x</v>
      </c>
      <c r="AA105" s="6">
        <f>IF(INVOER!B$29&gt;INVOER!B$30,INVOER!B57,100-INVOER!B57)</f>
        <v>0</v>
      </c>
      <c r="AB105" s="6">
        <f t="shared" si="21"/>
        <v>29</v>
      </c>
      <c r="AC105" s="6">
        <f t="shared" si="16"/>
        <v>0</v>
      </c>
      <c r="AD105" s="54">
        <f>IF(INVOER!A57=0,10000,INVOER!A57)</f>
        <v>10000</v>
      </c>
    </row>
    <row r="106" spans="1:30" x14ac:dyDescent="0.2">
      <c r="A106" s="55">
        <f>A105*Berekening!H$58</f>
        <v>2.5985022754382552</v>
      </c>
      <c r="B106" s="56">
        <f t="shared" si="25"/>
        <v>2.5399049901125386</v>
      </c>
      <c r="C106" s="195">
        <f t="shared" si="22"/>
        <v>2.0294204605954103</v>
      </c>
      <c r="D106" s="213">
        <f t="shared" si="24"/>
        <v>0.43580521198245492</v>
      </c>
      <c r="E106" s="181">
        <f t="shared" si="26"/>
        <v>0.35337804127288536</v>
      </c>
      <c r="F106" s="55">
        <f t="shared" si="27"/>
        <v>0.38220574045670691</v>
      </c>
      <c r="G106" s="196">
        <f t="shared" si="28"/>
        <v>0.29981760487890163</v>
      </c>
      <c r="H106" s="185">
        <f t="shared" si="29"/>
        <v>0.43580521198245492</v>
      </c>
      <c r="I106" s="245">
        <f t="shared" si="30"/>
        <v>0.38220574045670691</v>
      </c>
      <c r="J106" s="160">
        <f>IF(INVOER!$R$35=1,100-H106*100,100-I106*100)</f>
        <v>61.779425954329312</v>
      </c>
      <c r="K106" s="303">
        <f t="shared" si="5"/>
        <v>0</v>
      </c>
      <c r="L106" s="270">
        <f t="shared" si="6"/>
        <v>10</v>
      </c>
      <c r="M106" s="270">
        <f t="shared" si="7"/>
        <v>15</v>
      </c>
      <c r="N106" s="270">
        <f t="shared" si="8"/>
        <v>0.99199999999999999</v>
      </c>
      <c r="O106" s="270">
        <f t="shared" si="9"/>
        <v>0.85199999999999998</v>
      </c>
      <c r="P106" s="61">
        <f t="shared" si="31"/>
        <v>7.3810864638246141</v>
      </c>
      <c r="Q106" s="56">
        <f t="shared" si="32"/>
        <v>19.224549927406461</v>
      </c>
      <c r="R106" s="188">
        <f t="shared" si="13"/>
        <v>0.99999961553792416</v>
      </c>
      <c r="S106" s="270">
        <f t="shared" si="14"/>
        <v>99.999961553792417</v>
      </c>
      <c r="T106" s="249">
        <f t="shared" si="15"/>
        <v>1.1098667207498636E-5</v>
      </c>
      <c r="U106" s="283">
        <f>Berekening!H106*$T106</f>
        <v>4.836857015086664E-6</v>
      </c>
      <c r="V106" s="284">
        <f>Berekening!I106*$T106</f>
        <v>4.241974318124588E-6</v>
      </c>
      <c r="Y106" s="53">
        <f t="shared" si="20"/>
        <v>30</v>
      </c>
      <c r="Z106" s="6" t="str">
        <f>IF(INVOER!A58=0,"x",INVOER!A58)</f>
        <v>x</v>
      </c>
      <c r="AA106" s="6">
        <f>IF(INVOER!B$29&gt;INVOER!B$30,INVOER!B58,100-INVOER!B58)</f>
        <v>0</v>
      </c>
      <c r="AB106" s="6">
        <f t="shared" si="21"/>
        <v>30</v>
      </c>
      <c r="AC106" s="6">
        <f t="shared" si="16"/>
        <v>0</v>
      </c>
      <c r="AD106" s="54">
        <f>IF(INVOER!A58=0,10000,INVOER!A58)</f>
        <v>10000</v>
      </c>
    </row>
    <row r="107" spans="1:30" x14ac:dyDescent="0.2">
      <c r="A107" s="53">
        <f>A106*Berekening!H$58</f>
        <v>2.72123205938213</v>
      </c>
      <c r="B107" s="6">
        <f t="shared" si="25"/>
        <v>2.6598671674101926</v>
      </c>
      <c r="C107" s="182">
        <f t="shared" si="22"/>
        <v>2.125271958211723</v>
      </c>
      <c r="D107" s="212">
        <f t="shared" si="24"/>
        <v>0.41932144489448575</v>
      </c>
      <c r="E107" s="209">
        <f t="shared" si="26"/>
        <v>0.34196466532115405</v>
      </c>
      <c r="F107" s="53">
        <f t="shared" si="27"/>
        <v>0.36551561587965808</v>
      </c>
      <c r="G107" s="169">
        <f t="shared" si="28"/>
        <v>0.28863291410746705</v>
      </c>
      <c r="H107" s="184">
        <f t="shared" si="29"/>
        <v>0.41932144489448575</v>
      </c>
      <c r="I107" s="192">
        <f t="shared" si="30"/>
        <v>0.36551561587965808</v>
      </c>
      <c r="J107" s="162">
        <f>IF(INVOER!$R$35=1,100-H107*100,100-I107*100)</f>
        <v>63.448438412034193</v>
      </c>
      <c r="K107" s="301">
        <f t="shared" si="5"/>
        <v>0</v>
      </c>
      <c r="L107" s="269">
        <f t="shared" si="6"/>
        <v>10</v>
      </c>
      <c r="M107" s="269">
        <f t="shared" si="7"/>
        <v>15</v>
      </c>
      <c r="N107" s="269">
        <f t="shared" si="8"/>
        <v>0.99199999999999999</v>
      </c>
      <c r="O107" s="269">
        <f t="shared" si="9"/>
        <v>0.85199999999999998</v>
      </c>
      <c r="P107" s="44">
        <f t="shared" si="31"/>
        <v>7.3810864638246141</v>
      </c>
      <c r="Q107" s="5">
        <f t="shared" si="32"/>
        <v>19.224549927406461</v>
      </c>
      <c r="R107" s="246">
        <f t="shared" si="13"/>
        <v>0.99999945950867097</v>
      </c>
      <c r="S107" s="269">
        <f t="shared" si="14"/>
        <v>99.999945950867101</v>
      </c>
      <c r="T107" s="250">
        <f t="shared" si="15"/>
        <v>1.5602925318436434E-5</v>
      </c>
      <c r="U107" s="281">
        <f>Berekening!H107*$T107</f>
        <v>6.5426411891075199E-6</v>
      </c>
      <c r="V107" s="282">
        <f>Berekening!I107*$T107</f>
        <v>5.7031128572926033E-6</v>
      </c>
      <c r="Y107" s="53">
        <f t="shared" si="20"/>
        <v>31</v>
      </c>
      <c r="Z107" s="6" t="str">
        <f>IF(INVOER!A59=0,"x",INVOER!A59)</f>
        <v>x</v>
      </c>
      <c r="AA107" s="6">
        <f>IF(INVOER!B$29&gt;INVOER!B$30,INVOER!B59,100-INVOER!B59)</f>
        <v>0</v>
      </c>
      <c r="AB107" s="6">
        <f t="shared" si="21"/>
        <v>31</v>
      </c>
      <c r="AC107" s="6">
        <f t="shared" si="16"/>
        <v>0</v>
      </c>
      <c r="AD107" s="54">
        <f>IF(INVOER!A59=0,10000,INVOER!A59)</f>
        <v>10000</v>
      </c>
    </row>
    <row r="108" spans="1:30" x14ac:dyDescent="0.2">
      <c r="A108" s="53">
        <f>A107*Berekening!H$58</f>
        <v>2.8497584901133814</v>
      </c>
      <c r="B108" s="6">
        <f t="shared" si="25"/>
        <v>2.7854952747477557</v>
      </c>
      <c r="C108" s="182">
        <f t="shared" si="22"/>
        <v>2.2256506150706281</v>
      </c>
      <c r="D108" s="212">
        <f t="shared" si="24"/>
        <v>0.40298634402016764</v>
      </c>
      <c r="E108" s="209">
        <f t="shared" si="26"/>
        <v>0.33055223552727864</v>
      </c>
      <c r="F108" s="53">
        <f t="shared" si="27"/>
        <v>0.34907798694941011</v>
      </c>
      <c r="G108" s="169">
        <f t="shared" si="28"/>
        <v>0.27750798273299032</v>
      </c>
      <c r="H108" s="184">
        <f t="shared" si="29"/>
        <v>0.40298634402016764</v>
      </c>
      <c r="I108" s="192">
        <f t="shared" si="30"/>
        <v>0.34907798694941011</v>
      </c>
      <c r="J108" s="160">
        <f>IF(INVOER!$R$35=1,100-H108*100,100-I108*100)</f>
        <v>65.092201305058978</v>
      </c>
      <c r="K108" s="233">
        <f t="shared" ref="K108:K139" si="33">VLOOKUP(A108,Z$76:AB$146,3)</f>
        <v>0</v>
      </c>
      <c r="L108" s="232">
        <f t="shared" ref="L108:L139" si="34">IF(K108=0,VLOOKUP(1,Y$77:AA$146,2),VLOOKUP(K108,Y$76:Z$145,2))</f>
        <v>10</v>
      </c>
      <c r="M108" s="232">
        <f t="shared" ref="M108:M139" si="35">IF(K108=0,VLOOKUP(2,Y$77:AA$145,2),VLOOKUP(K108+1,Y$77:Z$145,2))</f>
        <v>15</v>
      </c>
      <c r="N108" s="232">
        <f t="shared" ref="N108:N139" si="36">(VLOOKUP(L108,Z$76:AA$146,2))/100</f>
        <v>0.99199999999999999</v>
      </c>
      <c r="O108" s="232">
        <f t="shared" ref="O108:O139" si="37">(VLOOKUP(M108,Z$76:AA$145,2))/100</f>
        <v>0.85199999999999998</v>
      </c>
      <c r="P108" s="45">
        <f t="shared" si="31"/>
        <v>7.3810864638246141</v>
      </c>
      <c r="Q108" s="6">
        <f t="shared" si="32"/>
        <v>19.224549927406461</v>
      </c>
      <c r="R108" s="140">
        <f t="shared" ref="R108:R139" si="38">EXP(-((A108/Q108)^P108))</f>
        <v>0.99999924015686881</v>
      </c>
      <c r="S108" s="232">
        <f t="shared" si="14"/>
        <v>99.999924015686886</v>
      </c>
      <c r="T108" s="248">
        <f t="shared" si="15"/>
        <v>2.1935180216647865E-5</v>
      </c>
      <c r="U108" s="281">
        <f>Berekening!H108*$T108</f>
        <v>8.8395780809304311E-6</v>
      </c>
      <c r="V108" s="282">
        <f>Berekening!I108*$T108</f>
        <v>7.6570885533999624E-6</v>
      </c>
      <c r="Y108" s="53">
        <f t="shared" si="20"/>
        <v>32</v>
      </c>
      <c r="Z108" s="6" t="str">
        <f>IF(INVOER!A60=0,"x",INVOER!A60)</f>
        <v>x</v>
      </c>
      <c r="AA108" s="6">
        <f>IF(INVOER!B$29&gt;INVOER!B$30,INVOER!B60,100-INVOER!B60)</f>
        <v>0</v>
      </c>
      <c r="AB108" s="6">
        <f t="shared" si="21"/>
        <v>32</v>
      </c>
      <c r="AC108" s="6">
        <f t="shared" si="16"/>
        <v>0</v>
      </c>
      <c r="AD108" s="54">
        <f>IF(INVOER!A60=0,10000,INVOER!A60)</f>
        <v>10000</v>
      </c>
    </row>
    <row r="109" spans="1:30" x14ac:dyDescent="0.2">
      <c r="A109" s="53">
        <f>A108*Berekening!H$58</f>
        <v>2.9843553488845944</v>
      </c>
      <c r="B109" s="6">
        <f t="shared" si="25"/>
        <v>2.9170569194989877</v>
      </c>
      <c r="C109" s="182">
        <f t="shared" si="22"/>
        <v>2.3307702532961136</v>
      </c>
      <c r="D109" s="212">
        <f t="shared" si="24"/>
        <v>0.38681423955087285</v>
      </c>
      <c r="E109" s="209">
        <f t="shared" si="26"/>
        <v>0.31915395211289849</v>
      </c>
      <c r="F109" s="53">
        <f t="shared" si="27"/>
        <v>0.332907771455909</v>
      </c>
      <c r="G109" s="169">
        <f t="shared" si="28"/>
        <v>0.26645726411384218</v>
      </c>
      <c r="H109" s="184">
        <f t="shared" si="29"/>
        <v>0.38681423955087285</v>
      </c>
      <c r="I109" s="192">
        <f t="shared" si="30"/>
        <v>0.332907771455909</v>
      </c>
      <c r="J109" s="160">
        <f>IF(INVOER!$R$35=1,100-H109*100,100-I109*100)</f>
        <v>66.709222854409091</v>
      </c>
      <c r="K109" s="233">
        <f t="shared" si="33"/>
        <v>0</v>
      </c>
      <c r="L109" s="232">
        <f t="shared" si="34"/>
        <v>10</v>
      </c>
      <c r="M109" s="232">
        <f t="shared" si="35"/>
        <v>15</v>
      </c>
      <c r="N109" s="232">
        <f t="shared" si="36"/>
        <v>0.99199999999999999</v>
      </c>
      <c r="O109" s="232">
        <f t="shared" si="37"/>
        <v>0.85199999999999998</v>
      </c>
      <c r="P109" s="45">
        <f t="shared" si="31"/>
        <v>7.3810864638246141</v>
      </c>
      <c r="Q109" s="6">
        <f t="shared" si="32"/>
        <v>19.224549927406461</v>
      </c>
      <c r="R109" s="140">
        <f t="shared" si="38"/>
        <v>0.99999893178386545</v>
      </c>
      <c r="S109" s="232">
        <f t="shared" si="14"/>
        <v>99.999893178386543</v>
      </c>
      <c r="T109" s="248">
        <f t="shared" si="15"/>
        <v>3.0837300335484485E-5</v>
      </c>
      <c r="U109" s="281">
        <f>Berekening!H109*$T109</f>
        <v>1.1928306879072308E-5</v>
      </c>
      <c r="V109" s="282">
        <f>Berekening!I109*$T109</f>
        <v>1.0265976932402695E-5</v>
      </c>
      <c r="Y109" s="53">
        <f t="shared" si="20"/>
        <v>33</v>
      </c>
      <c r="Z109" s="6" t="str">
        <f>IF(INVOER!A61=0,"x",INVOER!A61)</f>
        <v>x</v>
      </c>
      <c r="AA109" s="6">
        <f>IF(INVOER!B$29&gt;INVOER!B$30,INVOER!B61,100-INVOER!B61)</f>
        <v>0</v>
      </c>
      <c r="AB109" s="6">
        <f t="shared" si="21"/>
        <v>33</v>
      </c>
      <c r="AC109" s="6">
        <f t="shared" si="16"/>
        <v>0</v>
      </c>
      <c r="AD109" s="54">
        <f>IF(INVOER!A61=0,10000,INVOER!A61)</f>
        <v>10000</v>
      </c>
    </row>
    <row r="110" spans="1:30" x14ac:dyDescent="0.2">
      <c r="A110" s="53">
        <f>A109*Berekening!H$58</f>
        <v>3.1253093479025784</v>
      </c>
      <c r="B110" s="6">
        <f t="shared" si="25"/>
        <v>3.0548323483935862</v>
      </c>
      <c r="C110" s="182">
        <f t="shared" si="22"/>
        <v>2.4408547940385676</v>
      </c>
      <c r="D110" s="212">
        <f t="shared" si="24"/>
        <v>0.3708200065775667</v>
      </c>
      <c r="E110" s="209">
        <f t="shared" si="26"/>
        <v>0.30778337713764775</v>
      </c>
      <c r="F110" s="53">
        <f t="shared" si="27"/>
        <v>0.31702014131171502</v>
      </c>
      <c r="G110" s="169">
        <f t="shared" si="28"/>
        <v>0.25549537837071179</v>
      </c>
      <c r="H110" s="184">
        <f t="shared" si="29"/>
        <v>0.3708200065775667</v>
      </c>
      <c r="I110" s="192">
        <f t="shared" si="30"/>
        <v>0.31702014131171502</v>
      </c>
      <c r="J110" s="160">
        <f>IF(INVOER!$R$35=1,100-H110*100,100-I110*100)</f>
        <v>68.297985868828505</v>
      </c>
      <c r="K110" s="233">
        <f t="shared" si="33"/>
        <v>0</v>
      </c>
      <c r="L110" s="232">
        <f t="shared" si="34"/>
        <v>10</v>
      </c>
      <c r="M110" s="232">
        <f t="shared" si="35"/>
        <v>15</v>
      </c>
      <c r="N110" s="232">
        <f t="shared" si="36"/>
        <v>0.99199999999999999</v>
      </c>
      <c r="O110" s="232">
        <f t="shared" si="37"/>
        <v>0.85199999999999998</v>
      </c>
      <c r="P110" s="45">
        <f t="shared" si="31"/>
        <v>7.3810864638246141</v>
      </c>
      <c r="Q110" s="6">
        <f t="shared" si="32"/>
        <v>19.224549927406461</v>
      </c>
      <c r="R110" s="140">
        <f t="shared" si="38"/>
        <v>0.99999849826155973</v>
      </c>
      <c r="S110" s="232">
        <f t="shared" si="14"/>
        <v>99.99984982615598</v>
      </c>
      <c r="T110" s="248">
        <f t="shared" si="15"/>
        <v>4.3352230572057948E-5</v>
      </c>
      <c r="U110" s="281">
        <f>Berekening!H110*$T110</f>
        <v>1.6075874425882716E-5</v>
      </c>
      <c r="V110" s="282">
        <f>Berekening!I110*$T110</f>
        <v>1.3743530262131862E-5</v>
      </c>
      <c r="Y110" s="53">
        <f t="shared" si="20"/>
        <v>34</v>
      </c>
      <c r="Z110" s="6" t="str">
        <f>IF(INVOER!A62=0,"x",INVOER!A62)</f>
        <v>x</v>
      </c>
      <c r="AA110" s="6">
        <f>IF(INVOER!B$29&gt;INVOER!B$30,INVOER!B62,100-INVOER!B62)</f>
        <v>0</v>
      </c>
      <c r="AB110" s="6">
        <f t="shared" si="21"/>
        <v>34</v>
      </c>
      <c r="AC110" s="6">
        <f t="shared" si="16"/>
        <v>0</v>
      </c>
      <c r="AD110" s="54">
        <f>IF(INVOER!A62=0,10000,INVOER!A62)</f>
        <v>10000</v>
      </c>
    </row>
    <row r="111" spans="1:30" x14ac:dyDescent="0.2">
      <c r="A111" s="55">
        <f>A110*Berekening!H$58</f>
        <v>3.2729207410698846</v>
      </c>
      <c r="B111" s="56">
        <f t="shared" si="25"/>
        <v>3.1991150444862315</v>
      </c>
      <c r="C111" s="195">
        <f t="shared" si="22"/>
        <v>2.5561387344615949</v>
      </c>
      <c r="D111" s="213">
        <f t="shared" si="24"/>
        <v>0.35501897848750869</v>
      </c>
      <c r="E111" s="181">
        <f t="shared" si="26"/>
        <v>0.29645439756236541</v>
      </c>
      <c r="F111" s="55">
        <f t="shared" si="27"/>
        <v>0.30143040570892649</v>
      </c>
      <c r="G111" s="196">
        <f t="shared" si="28"/>
        <v>0.24463705676154604</v>
      </c>
      <c r="H111" s="185">
        <f t="shared" si="29"/>
        <v>0.35501897848750869</v>
      </c>
      <c r="I111" s="245">
        <f t="shared" si="30"/>
        <v>0.30143040570892649</v>
      </c>
      <c r="J111" s="253">
        <f>IF(INVOER!$R$35=1,100-H111*100,100-I111*100)</f>
        <v>69.856959429107349</v>
      </c>
      <c r="K111" s="303">
        <f t="shared" si="33"/>
        <v>0</v>
      </c>
      <c r="L111" s="270">
        <f t="shared" si="34"/>
        <v>10</v>
      </c>
      <c r="M111" s="270">
        <f t="shared" si="35"/>
        <v>15</v>
      </c>
      <c r="N111" s="270">
        <f t="shared" si="36"/>
        <v>0.99199999999999999</v>
      </c>
      <c r="O111" s="270">
        <f t="shared" si="37"/>
        <v>0.85199999999999998</v>
      </c>
      <c r="P111" s="61">
        <f t="shared" si="31"/>
        <v>7.3810864638246141</v>
      </c>
      <c r="Q111" s="56">
        <f t="shared" si="32"/>
        <v>19.224549927406461</v>
      </c>
      <c r="R111" s="188">
        <f t="shared" si="38"/>
        <v>0.99999788879977392</v>
      </c>
      <c r="S111" s="270">
        <f t="shared" si="14"/>
        <v>99.999788879977388</v>
      </c>
      <c r="T111" s="249">
        <f t="shared" si="15"/>
        <v>6.094617858165563E-5</v>
      </c>
      <c r="U111" s="283">
        <f>Berekening!H111*$T111</f>
        <v>2.1637050062776664E-5</v>
      </c>
      <c r="V111" s="284">
        <f>Berekening!I111*$T111</f>
        <v>1.8371031336277141E-5</v>
      </c>
      <c r="Y111" s="53">
        <f t="shared" si="20"/>
        <v>35</v>
      </c>
      <c r="Z111" s="6" t="str">
        <f>IF(INVOER!A63=0,"x",INVOER!A63)</f>
        <v>x</v>
      </c>
      <c r="AA111" s="6">
        <f>IF(INVOER!B$29&gt;INVOER!B$30,INVOER!B63,100-INVOER!B63)</f>
        <v>0</v>
      </c>
      <c r="AB111" s="6">
        <f t="shared" si="21"/>
        <v>35</v>
      </c>
      <c r="AC111" s="6">
        <f t="shared" si="16"/>
        <v>0</v>
      </c>
      <c r="AD111" s="54">
        <f>IF(INVOER!A63=0,10000,INVOER!A63)</f>
        <v>10000</v>
      </c>
    </row>
    <row r="112" spans="1:30" x14ac:dyDescent="0.2">
      <c r="A112" s="53">
        <f>A111*Berekening!H$58</f>
        <v>3.4275039635722342</v>
      </c>
      <c r="B112" s="6">
        <f t="shared" si="25"/>
        <v>3.3502123523210594</v>
      </c>
      <c r="C112" s="182">
        <f t="shared" si="22"/>
        <v>2.6768676472573829</v>
      </c>
      <c r="D112" s="212">
        <f t="shared" si="24"/>
        <v>0.3394268577730688</v>
      </c>
      <c r="E112" s="209">
        <f t="shared" si="26"/>
        <v>0.28518118406643655</v>
      </c>
      <c r="F112" s="53">
        <f t="shared" si="27"/>
        <v>0.2861538932718069</v>
      </c>
      <c r="G112" s="169">
        <f t="shared" si="28"/>
        <v>0.23389708205597287</v>
      </c>
      <c r="H112" s="184">
        <f t="shared" si="29"/>
        <v>0.3394268577730688</v>
      </c>
      <c r="I112" s="192">
        <f t="shared" si="30"/>
        <v>0.2861538932718069</v>
      </c>
      <c r="J112" s="160">
        <f>IF(INVOER!$R$35=1,100-H112*100,100-I112*100)</f>
        <v>71.384610672819306</v>
      </c>
      <c r="K112" s="301">
        <f t="shared" si="33"/>
        <v>0</v>
      </c>
      <c r="L112" s="269">
        <f t="shared" si="34"/>
        <v>10</v>
      </c>
      <c r="M112" s="269">
        <f t="shared" si="35"/>
        <v>15</v>
      </c>
      <c r="N112" s="269">
        <f t="shared" si="36"/>
        <v>0.99199999999999999</v>
      </c>
      <c r="O112" s="269">
        <f t="shared" si="37"/>
        <v>0.85199999999999998</v>
      </c>
      <c r="P112" s="44">
        <f t="shared" si="31"/>
        <v>7.3810864638246141</v>
      </c>
      <c r="Q112" s="5">
        <f t="shared" si="32"/>
        <v>19.224549927406461</v>
      </c>
      <c r="R112" s="246">
        <f t="shared" si="38"/>
        <v>0.99999703199590317</v>
      </c>
      <c r="S112" s="269">
        <f t="shared" si="14"/>
        <v>99.999703199590314</v>
      </c>
      <c r="T112" s="250">
        <f t="shared" si="15"/>
        <v>8.5680387074127395E-5</v>
      </c>
      <c r="U112" s="281">
        <f>Berekening!H112*$T112</f>
        <v>2.9082224557351321E-5</v>
      </c>
      <c r="V112" s="282">
        <f>Berekening!I112*$T112</f>
        <v>2.4517776338296955E-5</v>
      </c>
      <c r="Y112" s="53">
        <f t="shared" si="20"/>
        <v>36</v>
      </c>
      <c r="Z112" s="6" t="str">
        <f>IF(INVOER!A64=0,"x",INVOER!A64)</f>
        <v>x</v>
      </c>
      <c r="AA112" s="6">
        <f>IF(INVOER!B$29&gt;INVOER!B$30,INVOER!B64,100-INVOER!B64)</f>
        <v>0</v>
      </c>
      <c r="AB112" s="6">
        <f t="shared" si="21"/>
        <v>36</v>
      </c>
      <c r="AC112" s="6">
        <f t="shared" si="16"/>
        <v>0</v>
      </c>
      <c r="AD112" s="54">
        <f>IF(INVOER!A64=0,10000,INVOER!A64)</f>
        <v>10000</v>
      </c>
    </row>
    <row r="113" spans="1:30" x14ac:dyDescent="0.2">
      <c r="A113" s="53">
        <f>A112*Berekening!H$58</f>
        <v>3.5893883016742851</v>
      </c>
      <c r="B113" s="6">
        <f t="shared" si="25"/>
        <v>3.5084461326232597</v>
      </c>
      <c r="C113" s="182">
        <f t="shared" si="22"/>
        <v>2.8032987037546637</v>
      </c>
      <c r="D113" s="212">
        <f t="shared" si="24"/>
        <v>0.32405962388459597</v>
      </c>
      <c r="E113" s="209">
        <f t="shared" si="26"/>
        <v>0.27397814559577172</v>
      </c>
      <c r="F113" s="53">
        <f t="shared" si="27"/>
        <v>0.27120583313260865</v>
      </c>
      <c r="G113" s="169">
        <f t="shared" si="28"/>
        <v>0.22329022510249991</v>
      </c>
      <c r="H113" s="184">
        <f t="shared" si="29"/>
        <v>0.32405962388459597</v>
      </c>
      <c r="I113" s="192">
        <f t="shared" si="30"/>
        <v>0.27120583313260865</v>
      </c>
      <c r="J113" s="160">
        <f>IF(INVOER!$R$35=1,100-H113*100,100-I113*100)</f>
        <v>72.879416686739134</v>
      </c>
      <c r="K113" s="233">
        <f t="shared" si="33"/>
        <v>0</v>
      </c>
      <c r="L113" s="232">
        <f t="shared" si="34"/>
        <v>10</v>
      </c>
      <c r="M113" s="232">
        <f t="shared" si="35"/>
        <v>15</v>
      </c>
      <c r="N113" s="232">
        <f t="shared" si="36"/>
        <v>0.99199999999999999</v>
      </c>
      <c r="O113" s="232">
        <f t="shared" si="37"/>
        <v>0.85199999999999998</v>
      </c>
      <c r="P113" s="45">
        <f t="shared" si="31"/>
        <v>7.3810864638246141</v>
      </c>
      <c r="Q113" s="6">
        <f t="shared" si="32"/>
        <v>19.224549927406461</v>
      </c>
      <c r="R113" s="140">
        <f t="shared" si="38"/>
        <v>0.99999582746975935</v>
      </c>
      <c r="S113" s="232">
        <f t="shared" si="14"/>
        <v>99.999582746975932</v>
      </c>
      <c r="T113" s="248">
        <f t="shared" si="15"/>
        <v>1.2045261438276E-4</v>
      </c>
      <c r="U113" s="281">
        <f>Berekening!H113*$T113</f>
        <v>3.9033828912793484E-5</v>
      </c>
      <c r="V113" s="282">
        <f>Berekening!I113*$T113</f>
        <v>3.2667451636677266E-5</v>
      </c>
      <c r="Y113" s="53">
        <f t="shared" si="20"/>
        <v>37</v>
      </c>
      <c r="Z113" s="6" t="str">
        <f>IF(INVOER!A65=0,"x",INVOER!A65)</f>
        <v>x</v>
      </c>
      <c r="AA113" s="6">
        <f>IF(INVOER!B$29&gt;INVOER!B$30,INVOER!B65,100-INVOER!B65)</f>
        <v>0</v>
      </c>
      <c r="AB113" s="6">
        <f t="shared" si="21"/>
        <v>37</v>
      </c>
      <c r="AC113" s="6">
        <f t="shared" si="16"/>
        <v>0</v>
      </c>
      <c r="AD113" s="54">
        <f>IF(INVOER!A65=0,10000,INVOER!A65)</f>
        <v>10000</v>
      </c>
    </row>
    <row r="114" spans="1:30" x14ac:dyDescent="0.2">
      <c r="A114" s="53">
        <f>A113*Berekening!H$58</f>
        <v>3.7589185941504999</v>
      </c>
      <c r="B114" s="6">
        <f t="shared" si="25"/>
        <v>3.6741534479123925</v>
      </c>
      <c r="C114" s="182">
        <f t="shared" si="22"/>
        <v>2.9357012217335745</v>
      </c>
      <c r="D114" s="212">
        <f t="shared" si="24"/>
        <v>0.30893343791340483</v>
      </c>
      <c r="E114" s="209">
        <f t="shared" si="26"/>
        <v>0.26285987965908497</v>
      </c>
      <c r="F114" s="53">
        <f t="shared" si="27"/>
        <v>0.25660123505057086</v>
      </c>
      <c r="G114" s="169">
        <f t="shared" si="28"/>
        <v>0.2128311778415686</v>
      </c>
      <c r="H114" s="184">
        <f t="shared" si="29"/>
        <v>0.30893343791340483</v>
      </c>
      <c r="I114" s="192">
        <f t="shared" si="30"/>
        <v>0.25660123505057086</v>
      </c>
      <c r="J114" s="160">
        <f>IF(INVOER!$R$35=1,100-H114*100,100-I114*100)</f>
        <v>74.339876494942914</v>
      </c>
      <c r="K114" s="233">
        <f t="shared" si="33"/>
        <v>0</v>
      </c>
      <c r="L114" s="232">
        <f t="shared" si="34"/>
        <v>10</v>
      </c>
      <c r="M114" s="232">
        <f t="shared" si="35"/>
        <v>15</v>
      </c>
      <c r="N114" s="232">
        <f t="shared" si="36"/>
        <v>0.99199999999999999</v>
      </c>
      <c r="O114" s="232">
        <f t="shared" si="37"/>
        <v>0.85199999999999998</v>
      </c>
      <c r="P114" s="45">
        <f t="shared" si="31"/>
        <v>7.3810864638246141</v>
      </c>
      <c r="Q114" s="6">
        <f t="shared" si="32"/>
        <v>19.224549927406461</v>
      </c>
      <c r="R114" s="140">
        <f t="shared" si="38"/>
        <v>0.99999413410366511</v>
      </c>
      <c r="S114" s="232">
        <f t="shared" si="14"/>
        <v>99.999413410366515</v>
      </c>
      <c r="T114" s="248">
        <f t="shared" si="15"/>
        <v>1.6933660942353157E-4</v>
      </c>
      <c r="U114" s="281">
        <f>Berekening!H114*$T114</f>
        <v>5.2313740913811076E-5</v>
      </c>
      <c r="V114" s="282">
        <f>Berekening!I114*$T114</f>
        <v>4.3451983117354338E-5</v>
      </c>
      <c r="Y114" s="53">
        <f t="shared" si="20"/>
        <v>38</v>
      </c>
      <c r="Z114" s="6" t="str">
        <f>IF(INVOER!A66=0,"x",INVOER!A66)</f>
        <v>x</v>
      </c>
      <c r="AA114" s="6">
        <f>IF(INVOER!B$29&gt;INVOER!B$30,INVOER!B66,100-INVOER!B66)</f>
        <v>0</v>
      </c>
      <c r="AB114" s="6">
        <f t="shared" si="21"/>
        <v>38</v>
      </c>
      <c r="AC114" s="6">
        <f t="shared" si="16"/>
        <v>0</v>
      </c>
      <c r="AD114" s="54">
        <f>IF(INVOER!A66=0,10000,INVOER!A66)</f>
        <v>10000</v>
      </c>
    </row>
    <row r="115" spans="1:30" x14ac:dyDescent="0.2">
      <c r="A115" s="53">
        <f>A114*Berekening!H$58</f>
        <v>3.9364559668452759</v>
      </c>
      <c r="B115" s="6">
        <f t="shared" si="25"/>
        <v>3.8476872804978877</v>
      </c>
      <c r="C115" s="182">
        <f t="shared" si="22"/>
        <v>3.0743572391143421</v>
      </c>
      <c r="D115" s="212">
        <f t="shared" si="24"/>
        <v>0.29406454403550242</v>
      </c>
      <c r="E115" s="209">
        <f t="shared" si="26"/>
        <v>0.25184111843581192</v>
      </c>
      <c r="F115" s="53">
        <f t="shared" si="27"/>
        <v>0.24235476887048413</v>
      </c>
      <c r="G115" s="169">
        <f t="shared" si="28"/>
        <v>0.2025344830805392</v>
      </c>
      <c r="H115" s="184">
        <f t="shared" si="29"/>
        <v>0.29406454403550242</v>
      </c>
      <c r="I115" s="192">
        <f t="shared" si="30"/>
        <v>0.24235476887048413</v>
      </c>
      <c r="J115" s="160">
        <f>IF(INVOER!$R$35=1,100-H115*100,100-I115*100)</f>
        <v>75.764523112951593</v>
      </c>
      <c r="K115" s="233">
        <f t="shared" si="33"/>
        <v>0</v>
      </c>
      <c r="L115" s="232">
        <f t="shared" si="34"/>
        <v>10</v>
      </c>
      <c r="M115" s="232">
        <f t="shared" si="35"/>
        <v>15</v>
      </c>
      <c r="N115" s="232">
        <f t="shared" si="36"/>
        <v>0.99199999999999999</v>
      </c>
      <c r="O115" s="232">
        <f t="shared" si="37"/>
        <v>0.85199999999999998</v>
      </c>
      <c r="P115" s="45">
        <f t="shared" si="31"/>
        <v>7.3810864638246141</v>
      </c>
      <c r="Q115" s="6">
        <f t="shared" si="32"/>
        <v>19.224549927406461</v>
      </c>
      <c r="R115" s="140">
        <f t="shared" si="38"/>
        <v>0.99999175351021929</v>
      </c>
      <c r="S115" s="232">
        <f t="shared" si="14"/>
        <v>99.999175351021933</v>
      </c>
      <c r="T115" s="248">
        <f t="shared" si="15"/>
        <v>2.3805934458165368E-4</v>
      </c>
      <c r="U115" s="281">
        <f>Berekening!H115*$T115</f>
        <v>7.0004812617794536E-5</v>
      </c>
      <c r="V115" s="282">
        <f>Berekening!I115*$T115</f>
        <v>5.7694817433545617E-5</v>
      </c>
      <c r="Y115" s="53">
        <f t="shared" si="20"/>
        <v>39</v>
      </c>
      <c r="Z115" s="6" t="str">
        <f>IF(INVOER!A67=0,"x",INVOER!A67)</f>
        <v>x</v>
      </c>
      <c r="AA115" s="6">
        <f>IF(INVOER!B$29&gt;INVOER!B$30,INVOER!B67,100-INVOER!B67)</f>
        <v>0</v>
      </c>
      <c r="AB115" s="6">
        <f t="shared" si="21"/>
        <v>39</v>
      </c>
      <c r="AC115" s="6">
        <f t="shared" si="16"/>
        <v>0</v>
      </c>
      <c r="AD115" s="54">
        <f>IF(INVOER!A67=0,10000,INVOER!A67)</f>
        <v>10000</v>
      </c>
    </row>
    <row r="116" spans="1:30" x14ac:dyDescent="0.2">
      <c r="A116" s="55">
        <f>A115*Berekening!H$58</f>
        <v>4.1223786019270623</v>
      </c>
      <c r="B116" s="56">
        <f t="shared" si="25"/>
        <v>4.0294172843861693</v>
      </c>
      <c r="C116" s="195">
        <f t="shared" si="22"/>
        <v>3.2195621147418438</v>
      </c>
      <c r="D116" s="213">
        <f t="shared" si="24"/>
        <v>0.27946916778461683</v>
      </c>
      <c r="E116" s="181">
        <f t="shared" si="26"/>
        <v>0.2409366708091169</v>
      </c>
      <c r="F116" s="55">
        <f t="shared" si="27"/>
        <v>0.22848064378011079</v>
      </c>
      <c r="G116" s="196">
        <f t="shared" si="28"/>
        <v>0.19241446141225577</v>
      </c>
      <c r="H116" s="185">
        <f t="shared" si="29"/>
        <v>0.27946916778461683</v>
      </c>
      <c r="I116" s="245">
        <f t="shared" si="30"/>
        <v>0.22848064378011079</v>
      </c>
      <c r="J116" s="160">
        <f>IF(INVOER!$R$35=1,100-H116*100,100-I116*100)</f>
        <v>77.151935621988912</v>
      </c>
      <c r="K116" s="303">
        <f t="shared" si="33"/>
        <v>0</v>
      </c>
      <c r="L116" s="270">
        <f t="shared" si="34"/>
        <v>10</v>
      </c>
      <c r="M116" s="270">
        <f t="shared" si="35"/>
        <v>15</v>
      </c>
      <c r="N116" s="270">
        <f t="shared" si="36"/>
        <v>0.99199999999999999</v>
      </c>
      <c r="O116" s="270">
        <f t="shared" si="37"/>
        <v>0.85199999999999998</v>
      </c>
      <c r="P116" s="61">
        <f t="shared" si="31"/>
        <v>7.3810864638246141</v>
      </c>
      <c r="Q116" s="56">
        <f t="shared" si="32"/>
        <v>19.224549927406461</v>
      </c>
      <c r="R116" s="188">
        <f t="shared" si="38"/>
        <v>0.99998840679122702</v>
      </c>
      <c r="S116" s="270">
        <f t="shared" si="14"/>
        <v>99.998840679122708</v>
      </c>
      <c r="T116" s="249">
        <f t="shared" si="15"/>
        <v>3.3467189922697926E-4</v>
      </c>
      <c r="U116" s="283">
        <f>Berekening!H116*$T116</f>
        <v>9.3530477157861041E-5</v>
      </c>
      <c r="V116" s="284">
        <f>Berekening!I116*$T116</f>
        <v>7.6466050990492586E-5</v>
      </c>
      <c r="Y116" s="53">
        <f t="shared" si="20"/>
        <v>40</v>
      </c>
      <c r="Z116" s="6" t="str">
        <f>IF(INVOER!A68=0,"x",INVOER!A68)</f>
        <v>x</v>
      </c>
      <c r="AA116" s="6">
        <f>IF(INVOER!B$29&gt;INVOER!B$30,INVOER!B68,100-INVOER!B68)</f>
        <v>0</v>
      </c>
      <c r="AB116" s="6">
        <f t="shared" si="21"/>
        <v>40</v>
      </c>
      <c r="AC116" s="6">
        <f t="shared" si="16"/>
        <v>0</v>
      </c>
      <c r="AD116" s="54">
        <f>IF(INVOER!A68=0,10000,INVOER!A68)</f>
        <v>10000</v>
      </c>
    </row>
    <row r="117" spans="1:30" x14ac:dyDescent="0.2">
      <c r="A117" s="53">
        <f>A116*Berekening!H$58</f>
        <v>4.3170825434750952</v>
      </c>
      <c r="B117" s="6">
        <f t="shared" si="25"/>
        <v>4.2197305727010788</v>
      </c>
      <c r="C117" s="182">
        <f t="shared" si="22"/>
        <v>3.3716251575458025</v>
      </c>
      <c r="D117" s="212">
        <f t="shared" si="24"/>
        <v>0.26516341135633803</v>
      </c>
      <c r="E117" s="209">
        <f t="shared" si="26"/>
        <v>0.23016136049175831</v>
      </c>
      <c r="F117" s="53">
        <f t="shared" si="27"/>
        <v>0.21499248797647283</v>
      </c>
      <c r="G117" s="169">
        <f t="shared" si="28"/>
        <v>0.18248513572620534</v>
      </c>
      <c r="H117" s="184">
        <f t="shared" si="29"/>
        <v>0.26516341135633803</v>
      </c>
      <c r="I117" s="192">
        <f t="shared" si="30"/>
        <v>0.21499248797647283</v>
      </c>
      <c r="J117" s="162">
        <f>IF(INVOER!$R$35=1,100-H117*100,100-I117*100)</f>
        <v>78.500751202352717</v>
      </c>
      <c r="K117" s="301">
        <f t="shared" si="33"/>
        <v>0</v>
      </c>
      <c r="L117" s="269">
        <f t="shared" si="34"/>
        <v>10</v>
      </c>
      <c r="M117" s="269">
        <f t="shared" si="35"/>
        <v>15</v>
      </c>
      <c r="N117" s="269">
        <f t="shared" si="36"/>
        <v>0.99199999999999999</v>
      </c>
      <c r="O117" s="269">
        <f t="shared" si="37"/>
        <v>0.85199999999999998</v>
      </c>
      <c r="P117" s="44">
        <f t="shared" si="31"/>
        <v>7.3810864638246141</v>
      </c>
      <c r="Q117" s="5">
        <f t="shared" si="32"/>
        <v>19.224549927406461</v>
      </c>
      <c r="R117" s="246">
        <f t="shared" si="38"/>
        <v>0.99998370186564789</v>
      </c>
      <c r="S117" s="269">
        <f t="shared" si="14"/>
        <v>99.998370186564784</v>
      </c>
      <c r="T117" s="250">
        <f t="shared" si="15"/>
        <v>4.7049255791353772E-4</v>
      </c>
      <c r="U117" s="281">
        <f>Berekening!H117*$T117</f>
        <v>1.2475741167412309E-4</v>
      </c>
      <c r="V117" s="282">
        <f>Berekening!I117*$T117</f>
        <v>1.011523656002462E-4</v>
      </c>
      <c r="Y117" s="53">
        <f t="shared" si="20"/>
        <v>41</v>
      </c>
      <c r="Z117" s="6" t="str">
        <f>IF(INVOER!A69=0,"x",INVOER!A69)</f>
        <v>x</v>
      </c>
      <c r="AA117" s="6">
        <f>IF(INVOER!B$29&gt;INVOER!B$30,INVOER!B69,100-INVOER!B69)</f>
        <v>0</v>
      </c>
      <c r="AB117" s="6">
        <f t="shared" si="21"/>
        <v>41</v>
      </c>
      <c r="AC117" s="6">
        <f t="shared" si="16"/>
        <v>0</v>
      </c>
      <c r="AD117" s="54">
        <f>IF(INVOER!A69=0,10000,INVOER!A69)</f>
        <v>10000</v>
      </c>
    </row>
    <row r="118" spans="1:30" x14ac:dyDescent="0.2">
      <c r="A118" s="53">
        <f>A117*Berekening!H$58</f>
        <v>4.5209825411147788</v>
      </c>
      <c r="B118" s="6">
        <f t="shared" si="25"/>
        <v>4.4190325422949375</v>
      </c>
      <c r="C118" s="182">
        <f t="shared" si="22"/>
        <v>3.5308702854168335</v>
      </c>
      <c r="D118" s="212">
        <f t="shared" si="24"/>
        <v>0.25116314627487879</v>
      </c>
      <c r="E118" s="209">
        <f t="shared" si="26"/>
        <v>0.21952996047079915</v>
      </c>
      <c r="F118" s="53">
        <f t="shared" si="27"/>
        <v>0.20190322948997169</v>
      </c>
      <c r="G118" s="169">
        <f t="shared" si="28"/>
        <v>0.17276015382951418</v>
      </c>
      <c r="H118" s="184">
        <f t="shared" si="29"/>
        <v>0.25116314627487879</v>
      </c>
      <c r="I118" s="192">
        <f t="shared" si="30"/>
        <v>0.20190322948997169</v>
      </c>
      <c r="J118" s="160">
        <f>IF(INVOER!$R$35=1,100-H118*100,100-I118*100)</f>
        <v>79.809677051002836</v>
      </c>
      <c r="K118" s="233">
        <f t="shared" si="33"/>
        <v>0</v>
      </c>
      <c r="L118" s="232">
        <f t="shared" si="34"/>
        <v>10</v>
      </c>
      <c r="M118" s="232">
        <f t="shared" si="35"/>
        <v>15</v>
      </c>
      <c r="N118" s="232">
        <f t="shared" si="36"/>
        <v>0.99199999999999999</v>
      </c>
      <c r="O118" s="232">
        <f t="shared" si="37"/>
        <v>0.85199999999999998</v>
      </c>
      <c r="P118" s="45">
        <f t="shared" si="31"/>
        <v>7.3810864638246141</v>
      </c>
      <c r="Q118" s="6">
        <f t="shared" si="32"/>
        <v>19.224549927406461</v>
      </c>
      <c r="R118" s="140">
        <f t="shared" si="38"/>
        <v>0.99997708754021786</v>
      </c>
      <c r="S118" s="232">
        <f t="shared" si="14"/>
        <v>99.997708754021787</v>
      </c>
      <c r="T118" s="248">
        <f t="shared" si="15"/>
        <v>6.614325430032153E-4</v>
      </c>
      <c r="U118" s="281">
        <f>Berekening!H118*$T118</f>
        <v>1.6612747854928163E-4</v>
      </c>
      <c r="V118" s="282">
        <f>Berekening!I118*$T118</f>
        <v>1.3354536652211374E-4</v>
      </c>
      <c r="Y118" s="53">
        <f t="shared" si="20"/>
        <v>42</v>
      </c>
      <c r="Z118" s="6" t="str">
        <f>IF(INVOER!A70=0,"x",INVOER!A70)</f>
        <v>x</v>
      </c>
      <c r="AA118" s="6">
        <f>IF(INVOER!B$29&gt;INVOER!B$30,INVOER!B70,100-INVOER!B70)</f>
        <v>0</v>
      </c>
      <c r="AB118" s="6">
        <f t="shared" si="21"/>
        <v>42</v>
      </c>
      <c r="AC118" s="6">
        <f t="shared" si="16"/>
        <v>0</v>
      </c>
      <c r="AD118" s="54">
        <f>IF(INVOER!A70=0,10000,INVOER!A70)</f>
        <v>10000</v>
      </c>
    </row>
    <row r="119" spans="1:30" x14ac:dyDescent="0.2">
      <c r="A119" s="53">
        <f>A118*Berekening!H$58</f>
        <v>4.7345129334987783</v>
      </c>
      <c r="B119" s="6">
        <f t="shared" si="25"/>
        <v>4.6277477373067786</v>
      </c>
      <c r="C119" s="182">
        <f t="shared" si="22"/>
        <v>3.6976367152018401</v>
      </c>
      <c r="D119" s="212">
        <f t="shared" si="24"/>
        <v>0.23748390388055357</v>
      </c>
      <c r="E119" s="209">
        <f t="shared" si="26"/>
        <v>0.20905712405882723</v>
      </c>
      <c r="F119" s="53">
        <f t="shared" si="27"/>
        <v>0.18922497904212188</v>
      </c>
      <c r="G119" s="169">
        <f t="shared" si="28"/>
        <v>0.16325270976304199</v>
      </c>
      <c r="H119" s="184">
        <f t="shared" si="29"/>
        <v>0.23748390388055357</v>
      </c>
      <c r="I119" s="192">
        <f t="shared" si="30"/>
        <v>0.18922497904212188</v>
      </c>
      <c r="J119" s="160">
        <f>IF(INVOER!$R$35=1,100-H119*100,100-I119*100)</f>
        <v>81.077502095787821</v>
      </c>
      <c r="K119" s="233">
        <f t="shared" si="33"/>
        <v>0</v>
      </c>
      <c r="L119" s="232">
        <f t="shared" si="34"/>
        <v>10</v>
      </c>
      <c r="M119" s="232">
        <f t="shared" si="35"/>
        <v>15</v>
      </c>
      <c r="N119" s="232">
        <f t="shared" si="36"/>
        <v>0.99199999999999999</v>
      </c>
      <c r="O119" s="232">
        <f t="shared" si="37"/>
        <v>0.85199999999999998</v>
      </c>
      <c r="P119" s="45">
        <f t="shared" si="31"/>
        <v>7.3810864638246141</v>
      </c>
      <c r="Q119" s="6">
        <f t="shared" si="32"/>
        <v>19.224549927406461</v>
      </c>
      <c r="R119" s="140">
        <f t="shared" si="38"/>
        <v>0.99996778894459293</v>
      </c>
      <c r="S119" s="232">
        <f t="shared" si="14"/>
        <v>99.996778894459297</v>
      </c>
      <c r="T119" s="248">
        <f t="shared" si="15"/>
        <v>9.2985956249291846E-4</v>
      </c>
      <c r="U119" s="281">
        <f>Berekening!H119*$T119</f>
        <v>2.2082667896148185E-4</v>
      </c>
      <c r="V119" s="282">
        <f>Berekening!I119*$T119</f>
        <v>1.7595265622483912E-4</v>
      </c>
      <c r="Y119" s="53">
        <f t="shared" si="20"/>
        <v>43</v>
      </c>
      <c r="Z119" s="6" t="str">
        <f>IF(INVOER!A71=0,"x",INVOER!A71)</f>
        <v>x</v>
      </c>
      <c r="AA119" s="6">
        <f>IF(INVOER!B$29&gt;INVOER!B$30,INVOER!B71,100-INVOER!B71)</f>
        <v>0</v>
      </c>
      <c r="AB119" s="6">
        <f t="shared" si="21"/>
        <v>43</v>
      </c>
      <c r="AC119" s="6">
        <f t="shared" si="16"/>
        <v>0</v>
      </c>
      <c r="AD119" s="54">
        <f>IF(INVOER!A71=0,10000,INVOER!A71)</f>
        <v>10000</v>
      </c>
    </row>
    <row r="120" spans="1:30" x14ac:dyDescent="0.2">
      <c r="A120" s="53">
        <f>A119*Berekening!H$58</f>
        <v>4.9581285735157898</v>
      </c>
      <c r="B120" s="6">
        <f t="shared" si="25"/>
        <v>4.8463207535072836</v>
      </c>
      <c r="C120" s="182">
        <f t="shared" si="22"/>
        <v>3.8722796852885693</v>
      </c>
      <c r="D120" s="212">
        <f t="shared" si="24"/>
        <v>0.22414076421942924</v>
      </c>
      <c r="E120" s="209">
        <f t="shared" si="26"/>
        <v>0.19875731290390664</v>
      </c>
      <c r="F120" s="53">
        <f t="shared" si="27"/>
        <v>0.17696891592638214</v>
      </c>
      <c r="G120" s="169">
        <f t="shared" si="28"/>
        <v>0.15397546446439772</v>
      </c>
      <c r="H120" s="184">
        <f t="shared" si="29"/>
        <v>0.22414076421942924</v>
      </c>
      <c r="I120" s="192">
        <f t="shared" si="30"/>
        <v>0.17696891592638214</v>
      </c>
      <c r="J120" s="160">
        <f>IF(INVOER!$R$35=1,100-H120*100,100-I120*100)</f>
        <v>82.30310840736179</v>
      </c>
      <c r="K120" s="233">
        <f t="shared" si="33"/>
        <v>0</v>
      </c>
      <c r="L120" s="232">
        <f t="shared" si="34"/>
        <v>10</v>
      </c>
      <c r="M120" s="232">
        <f t="shared" si="35"/>
        <v>15</v>
      </c>
      <c r="N120" s="232">
        <f t="shared" si="36"/>
        <v>0.99199999999999999</v>
      </c>
      <c r="O120" s="232">
        <f t="shared" si="37"/>
        <v>0.85199999999999998</v>
      </c>
      <c r="P120" s="45">
        <f t="shared" si="31"/>
        <v>7.3810864638246141</v>
      </c>
      <c r="Q120" s="6">
        <f t="shared" si="32"/>
        <v>19.224549927406461</v>
      </c>
      <c r="R120" s="140">
        <f t="shared" si="38"/>
        <v>0.99995471677233472</v>
      </c>
      <c r="S120" s="232">
        <f t="shared" si="14"/>
        <v>99.995471677233468</v>
      </c>
      <c r="T120" s="248">
        <f t="shared" si="15"/>
        <v>1.3072172258210557E-3</v>
      </c>
      <c r="U120" s="281">
        <f>Berekening!H120*$T120</f>
        <v>2.9300066799633362E-4</v>
      </c>
      <c r="V120" s="282">
        <f>Berekening!I120*$T120</f>
        <v>2.3133681533384491E-4</v>
      </c>
      <c r="Y120" s="53">
        <f t="shared" si="20"/>
        <v>44</v>
      </c>
      <c r="Z120" s="6" t="str">
        <f>IF(INVOER!A72=0,"x",INVOER!A72)</f>
        <v>x</v>
      </c>
      <c r="AA120" s="6">
        <f>IF(INVOER!B$29&gt;INVOER!B$30,INVOER!B72,100-INVOER!B72)</f>
        <v>0</v>
      </c>
      <c r="AB120" s="6">
        <f t="shared" si="21"/>
        <v>44</v>
      </c>
      <c r="AC120" s="6">
        <f t="shared" si="16"/>
        <v>0</v>
      </c>
      <c r="AD120" s="54">
        <f>IF(INVOER!A72=0,10000,INVOER!A72)</f>
        <v>10000</v>
      </c>
    </row>
    <row r="121" spans="1:30" x14ac:dyDescent="0.2">
      <c r="A121" s="55">
        <f>A120*Berekening!H$58</f>
        <v>5.192305797197811</v>
      </c>
      <c r="B121" s="56">
        <f t="shared" si="25"/>
        <v>5.0752171853568004</v>
      </c>
      <c r="C121" s="195">
        <f t="shared" si="22"/>
        <v>4.0551712123185268</v>
      </c>
      <c r="D121" s="213">
        <f t="shared" si="24"/>
        <v>0.2111482440360859</v>
      </c>
      <c r="E121" s="181">
        <f t="shared" si="26"/>
        <v>0.18864472237722066</v>
      </c>
      <c r="F121" s="55">
        <f t="shared" si="27"/>
        <v>0.16514517800067999</v>
      </c>
      <c r="G121" s="196">
        <f t="shared" si="28"/>
        <v>0.14494046649345096</v>
      </c>
      <c r="H121" s="185">
        <f t="shared" si="29"/>
        <v>0.2111482440360859</v>
      </c>
      <c r="I121" s="245">
        <f t="shared" si="30"/>
        <v>0.16514517800067999</v>
      </c>
      <c r="J121" s="253">
        <f>IF(INVOER!$R$35=1,100-H121*100,100-I121*100)</f>
        <v>83.485482199931994</v>
      </c>
      <c r="K121" s="233">
        <f t="shared" si="33"/>
        <v>0</v>
      </c>
      <c r="L121" s="232">
        <f t="shared" si="34"/>
        <v>10</v>
      </c>
      <c r="M121" s="232">
        <f t="shared" si="35"/>
        <v>15</v>
      </c>
      <c r="N121" s="232">
        <f t="shared" si="36"/>
        <v>0.99199999999999999</v>
      </c>
      <c r="O121" s="232">
        <f t="shared" si="37"/>
        <v>0.85199999999999998</v>
      </c>
      <c r="P121" s="45">
        <f t="shared" si="31"/>
        <v>7.3810864638246141</v>
      </c>
      <c r="Q121" s="6">
        <f t="shared" si="32"/>
        <v>19.224549927406461</v>
      </c>
      <c r="R121" s="140">
        <f t="shared" si="38"/>
        <v>0.99993633970565621</v>
      </c>
      <c r="S121" s="232">
        <f t="shared" si="14"/>
        <v>99.993633970565625</v>
      </c>
      <c r="T121" s="248">
        <f t="shared" si="15"/>
        <v>1.8377066678509912E-3</v>
      </c>
      <c r="U121" s="283">
        <f>Berekening!H121*$T121</f>
        <v>3.8802853597014333E-4</v>
      </c>
      <c r="V121" s="284">
        <f>Berekening!I121*$T121</f>
        <v>3.0348839477528845E-4</v>
      </c>
      <c r="Y121" s="53">
        <f t="shared" si="20"/>
        <v>45</v>
      </c>
      <c r="Z121" s="6" t="str">
        <f>IF(INVOER!A73=0,"x",INVOER!A73)</f>
        <v>x</v>
      </c>
      <c r="AA121" s="6">
        <f>IF(INVOER!B$29&gt;INVOER!B$30,INVOER!B73,100-INVOER!B73)</f>
        <v>0</v>
      </c>
      <c r="AB121" s="6">
        <f t="shared" si="21"/>
        <v>45</v>
      </c>
      <c r="AC121" s="6">
        <f t="shared" si="16"/>
        <v>0</v>
      </c>
      <c r="AD121" s="54">
        <f>IF(INVOER!A73=0,10000,INVOER!A73)</f>
        <v>10000</v>
      </c>
    </row>
    <row r="122" spans="1:30" x14ac:dyDescent="0.2">
      <c r="A122" s="53">
        <f>A121*Berekening!H$58</f>
        <v>5.4375434383898469</v>
      </c>
      <c r="B122" s="6">
        <f t="shared" si="25"/>
        <v>5.314924617793829</v>
      </c>
      <c r="C122" s="182">
        <f t="shared" si="22"/>
        <v>4.2467008836401865</v>
      </c>
      <c r="D122" s="212">
        <f t="shared" si="24"/>
        <v>0.19852018468495891</v>
      </c>
      <c r="E122" s="209">
        <f t="shared" si="26"/>
        <v>0.17873320482540594</v>
      </c>
      <c r="F122" s="53">
        <f t="shared" si="27"/>
        <v>0.15376275696289124</v>
      </c>
      <c r="G122" s="169">
        <f t="shared" si="28"/>
        <v>0.13615907359532436</v>
      </c>
      <c r="H122" s="184">
        <f t="shared" si="29"/>
        <v>0.19852018468495891</v>
      </c>
      <c r="I122" s="192">
        <f t="shared" si="30"/>
        <v>0.15376275696289124</v>
      </c>
      <c r="J122" s="160">
        <f>IF(INVOER!$R$35=1,100-H122*100,100-I122*100)</f>
        <v>84.623724303710873</v>
      </c>
      <c r="K122" s="301">
        <f t="shared" si="33"/>
        <v>0</v>
      </c>
      <c r="L122" s="269">
        <f t="shared" si="34"/>
        <v>10</v>
      </c>
      <c r="M122" s="269">
        <f t="shared" si="35"/>
        <v>15</v>
      </c>
      <c r="N122" s="269">
        <f t="shared" si="36"/>
        <v>0.99199999999999999</v>
      </c>
      <c r="O122" s="269">
        <f t="shared" si="37"/>
        <v>0.85199999999999998</v>
      </c>
      <c r="P122" s="44">
        <f t="shared" si="31"/>
        <v>7.3810864638246141</v>
      </c>
      <c r="Q122" s="5">
        <f t="shared" si="32"/>
        <v>19.224549927406461</v>
      </c>
      <c r="R122" s="246">
        <f t="shared" si="38"/>
        <v>0.99991050509930657</v>
      </c>
      <c r="S122" s="269">
        <f t="shared" si="14"/>
        <v>99.991050509930659</v>
      </c>
      <c r="T122" s="250">
        <f t="shared" si="15"/>
        <v>2.5834606349639522E-3</v>
      </c>
      <c r="U122" s="281">
        <f>Berekening!H122*$T122</f>
        <v>5.1286908237936505E-4</v>
      </c>
      <c r="V122" s="282">
        <f>Berekening!I122*$T122</f>
        <v>3.9724002973715885E-4</v>
      </c>
      <c r="Y122" s="53">
        <f t="shared" si="20"/>
        <v>46</v>
      </c>
      <c r="Z122" s="6" t="str">
        <f>IF(INVOER!A74=0,"x",INVOER!A74)</f>
        <v>x</v>
      </c>
      <c r="AA122" s="6">
        <f>IF(INVOER!B$29&gt;INVOER!B$30,INVOER!B74,100-INVOER!B74)</f>
        <v>0</v>
      </c>
      <c r="AB122" s="6">
        <f t="shared" si="21"/>
        <v>46</v>
      </c>
      <c r="AC122" s="6">
        <f t="shared" si="16"/>
        <v>0</v>
      </c>
      <c r="AD122" s="54">
        <f>IF(INVOER!A74=0,10000,INVOER!A74)</f>
        <v>10000</v>
      </c>
    </row>
    <row r="123" spans="1:30" x14ac:dyDescent="0.2">
      <c r="A123" s="53">
        <f>A122*Berekening!H$58</f>
        <v>5.6943638913434498</v>
      </c>
      <c r="B123" s="6">
        <f t="shared" si="25"/>
        <v>5.5659536648666483</v>
      </c>
      <c r="C123" s="182">
        <f t="shared" si="22"/>
        <v>4.4472766871905289</v>
      </c>
      <c r="D123" s="212">
        <f t="shared" si="24"/>
        <v>0.18626964088383369</v>
      </c>
      <c r="E123" s="209">
        <f t="shared" si="26"/>
        <v>0.16903619124292907</v>
      </c>
      <c r="F123" s="53">
        <f t="shared" si="27"/>
        <v>0.14282940014462209</v>
      </c>
      <c r="G123" s="169">
        <f t="shared" si="28"/>
        <v>0.12764187592932058</v>
      </c>
      <c r="H123" s="184">
        <f t="shared" si="29"/>
        <v>0.18626964088383369</v>
      </c>
      <c r="I123" s="192">
        <f t="shared" si="30"/>
        <v>0.14282940014462209</v>
      </c>
      <c r="J123" s="160">
        <f>IF(INVOER!$R$35=1,100-H123*100,100-I123*100)</f>
        <v>85.717059985537787</v>
      </c>
      <c r="K123" s="233">
        <f t="shared" si="33"/>
        <v>0</v>
      </c>
      <c r="L123" s="232">
        <f t="shared" si="34"/>
        <v>10</v>
      </c>
      <c r="M123" s="232">
        <f t="shared" si="35"/>
        <v>15</v>
      </c>
      <c r="N123" s="232">
        <f t="shared" si="36"/>
        <v>0.99199999999999999</v>
      </c>
      <c r="O123" s="232">
        <f t="shared" si="37"/>
        <v>0.85199999999999998</v>
      </c>
      <c r="P123" s="45">
        <f t="shared" si="31"/>
        <v>7.3810864638246141</v>
      </c>
      <c r="Q123" s="6">
        <f t="shared" si="32"/>
        <v>19.224549927406461</v>
      </c>
      <c r="R123" s="140">
        <f t="shared" si="38"/>
        <v>0.99987418695839725</v>
      </c>
      <c r="S123" s="232">
        <f t="shared" si="14"/>
        <v>99.987418695839722</v>
      </c>
      <c r="T123" s="248">
        <f t="shared" si="15"/>
        <v>3.6318140909319396E-3</v>
      </c>
      <c r="U123" s="281">
        <f>Berekening!H123*$T123</f>
        <v>6.7649670647473934E-4</v>
      </c>
      <c r="V123" s="282">
        <f>Berekening!I123*$T123</f>
        <v>5.1872982804459491E-4</v>
      </c>
      <c r="Y123" s="53">
        <f t="shared" si="20"/>
        <v>47</v>
      </c>
      <c r="Z123" s="6" t="str">
        <f>IF(INVOER!A75=0,"x",INVOER!A75)</f>
        <v>x</v>
      </c>
      <c r="AA123" s="6">
        <f>IF(INVOER!B$29&gt;INVOER!B$30,INVOER!B75,100-INVOER!B75)</f>
        <v>0</v>
      </c>
      <c r="AB123" s="6">
        <f t="shared" si="21"/>
        <v>47</v>
      </c>
      <c r="AC123" s="6">
        <f t="shared" si="16"/>
        <v>0</v>
      </c>
      <c r="AD123" s="54">
        <f>IF(INVOER!A75=0,10000,INVOER!A75)</f>
        <v>10000</v>
      </c>
    </row>
    <row r="124" spans="1:30" x14ac:dyDescent="0.2">
      <c r="A124" s="53">
        <f>A123*Berekening!H$58</f>
        <v>5.9633142234975809</v>
      </c>
      <c r="B124" s="6">
        <f t="shared" si="25"/>
        <v>5.8288390574205149</v>
      </c>
      <c r="C124" s="182">
        <f t="shared" si="22"/>
        <v>4.657325880572694</v>
      </c>
      <c r="D124" s="212">
        <f t="shared" si="24"/>
        <v>0.17440877133292121</v>
      </c>
      <c r="E124" s="209">
        <f t="shared" si="26"/>
        <v>0.15956661198733699</v>
      </c>
      <c r="F124" s="53">
        <f t="shared" si="27"/>
        <v>0.13235152010185469</v>
      </c>
      <c r="G124" s="169">
        <f t="shared" si="28"/>
        <v>0.11939862183803161</v>
      </c>
      <c r="H124" s="184">
        <f t="shared" si="29"/>
        <v>0.17440877133292121</v>
      </c>
      <c r="I124" s="192">
        <f t="shared" si="30"/>
        <v>0.13235152010185469</v>
      </c>
      <c r="J124" s="160">
        <f>IF(INVOER!$R$35=1,100-H124*100,100-I124*100)</f>
        <v>86.764847989814527</v>
      </c>
      <c r="K124" s="233">
        <f t="shared" si="33"/>
        <v>0</v>
      </c>
      <c r="L124" s="232">
        <f t="shared" si="34"/>
        <v>10</v>
      </c>
      <c r="M124" s="232">
        <f t="shared" si="35"/>
        <v>15</v>
      </c>
      <c r="N124" s="232">
        <f t="shared" si="36"/>
        <v>0.99199999999999999</v>
      </c>
      <c r="O124" s="232">
        <f t="shared" si="37"/>
        <v>0.85199999999999998</v>
      </c>
      <c r="P124" s="45">
        <f t="shared" si="31"/>
        <v>7.3810864638246141</v>
      </c>
      <c r="Q124" s="6">
        <f t="shared" si="32"/>
        <v>19.224549927406461</v>
      </c>
      <c r="R124" s="140">
        <f t="shared" si="38"/>
        <v>0.99982313176891502</v>
      </c>
      <c r="S124" s="232">
        <f t="shared" si="14"/>
        <v>99.982313176891495</v>
      </c>
      <c r="T124" s="248">
        <f t="shared" si="15"/>
        <v>5.1055189482229757E-3</v>
      </c>
      <c r="U124" s="281">
        <f>Berekening!H124*$T124</f>
        <v>8.904472867765174E-4</v>
      </c>
      <c r="V124" s="282">
        <f>Berekening!I124*$T124</f>
        <v>6.757231937061332E-4</v>
      </c>
      <c r="Y124" s="53">
        <f t="shared" si="20"/>
        <v>48</v>
      </c>
      <c r="Z124" s="6" t="str">
        <f>IF(INVOER!A76=0,"x",INVOER!A76)</f>
        <v>x</v>
      </c>
      <c r="AA124" s="6">
        <f>IF(INVOER!B$29&gt;INVOER!B$30,INVOER!B76,100-INVOER!B76)</f>
        <v>0</v>
      </c>
      <c r="AB124" s="6">
        <f t="shared" si="21"/>
        <v>48</v>
      </c>
      <c r="AC124" s="6">
        <f t="shared" si="16"/>
        <v>0</v>
      </c>
      <c r="AD124" s="54">
        <f>IF(INVOER!A76=0,10000,INVOER!A76)</f>
        <v>10000</v>
      </c>
    </row>
    <row r="125" spans="1:30" x14ac:dyDescent="0.2">
      <c r="A125" s="53">
        <f>A124*Berekening!H$58</f>
        <v>6.2449673408171948</v>
      </c>
      <c r="B125" s="6">
        <f t="shared" si="25"/>
        <v>6.1041407821573879</v>
      </c>
      <c r="C125" s="182">
        <f t="shared" si="22"/>
        <v>4.8772959011810082</v>
      </c>
      <c r="D125" s="212">
        <f t="shared" si="24"/>
        <v>0.16294873231242946</v>
      </c>
      <c r="E125" s="209">
        <f t="shared" si="26"/>
        <v>0.15033681722552814</v>
      </c>
      <c r="F125" s="53">
        <f t="shared" si="27"/>
        <v>0.12233411330098486</v>
      </c>
      <c r="G125" s="169">
        <f t="shared" si="28"/>
        <v>0.11143814706723552</v>
      </c>
      <c r="H125" s="184">
        <f t="shared" si="29"/>
        <v>0.16294873231242946</v>
      </c>
      <c r="I125" s="192">
        <f t="shared" si="30"/>
        <v>0.12233411330098486</v>
      </c>
      <c r="J125" s="160">
        <f>IF(INVOER!$R$35=1,100-H125*100,100-I125*100)</f>
        <v>87.766588669901509</v>
      </c>
      <c r="K125" s="233">
        <f t="shared" si="33"/>
        <v>0</v>
      </c>
      <c r="L125" s="232">
        <f t="shared" si="34"/>
        <v>10</v>
      </c>
      <c r="M125" s="232">
        <f t="shared" si="35"/>
        <v>15</v>
      </c>
      <c r="N125" s="232">
        <f t="shared" si="36"/>
        <v>0.99199999999999999</v>
      </c>
      <c r="O125" s="232">
        <f t="shared" si="37"/>
        <v>0.85199999999999998</v>
      </c>
      <c r="P125" s="45">
        <f t="shared" si="31"/>
        <v>7.3810864638246141</v>
      </c>
      <c r="Q125" s="6">
        <f t="shared" si="32"/>
        <v>19.224549927406461</v>
      </c>
      <c r="R125" s="140">
        <f t="shared" si="38"/>
        <v>0.99975136085533345</v>
      </c>
      <c r="S125" s="232">
        <f t="shared" si="14"/>
        <v>99.97513608553335</v>
      </c>
      <c r="T125" s="248">
        <f t="shared" si="15"/>
        <v>7.1770913581570284E-3</v>
      </c>
      <c r="U125" s="281">
        <f>Berekening!H125*$T125</f>
        <v>1.1694979385021803E-3</v>
      </c>
      <c r="V125" s="282">
        <f>Berekening!I125*$T125</f>
        <v>8.7800310738030119E-4</v>
      </c>
      <c r="Y125" s="53">
        <f t="shared" si="20"/>
        <v>49</v>
      </c>
      <c r="Z125" s="6" t="str">
        <f>IF(INVOER!A77=0,"x",INVOER!A77)</f>
        <v>x</v>
      </c>
      <c r="AA125" s="6">
        <f>IF(INVOER!B$29&gt;INVOER!B$30,INVOER!B77,100-INVOER!B77)</f>
        <v>0</v>
      </c>
      <c r="AB125" s="6">
        <f t="shared" si="21"/>
        <v>49</v>
      </c>
      <c r="AC125" s="6">
        <f t="shared" si="16"/>
        <v>0</v>
      </c>
      <c r="AD125" s="54">
        <f>IF(INVOER!A77=0,10000,INVOER!A77)</f>
        <v>10000</v>
      </c>
    </row>
    <row r="126" spans="1:30" x14ac:dyDescent="0.2">
      <c r="A126" s="55">
        <f>A125*Berekening!H$58</f>
        <v>6.5399232081718939</v>
      </c>
      <c r="B126" s="56">
        <f t="shared" si="25"/>
        <v>6.3924452744945448</v>
      </c>
      <c r="C126" s="195">
        <f t="shared" si="22"/>
        <v>5.1076553193121068</v>
      </c>
      <c r="D126" s="213">
        <f t="shared" si="24"/>
        <v>0.15189957544831675</v>
      </c>
      <c r="E126" s="181">
        <f t="shared" si="26"/>
        <v>0.14135849786087831</v>
      </c>
      <c r="F126" s="55">
        <f t="shared" si="27"/>
        <v>0.11278068919320378</v>
      </c>
      <c r="G126" s="196">
        <f t="shared" si="28"/>
        <v>0.10376830837229457</v>
      </c>
      <c r="H126" s="185">
        <f t="shared" si="29"/>
        <v>0.15189957544831675</v>
      </c>
      <c r="I126" s="245">
        <f t="shared" si="30"/>
        <v>0.11278068919320378</v>
      </c>
      <c r="J126" s="160">
        <f>IF(INVOER!$R$35=1,100-H126*100,100-I126*100)</f>
        <v>88.721931080679624</v>
      </c>
      <c r="K126" s="233">
        <f t="shared" si="33"/>
        <v>0</v>
      </c>
      <c r="L126" s="232">
        <f t="shared" si="34"/>
        <v>10</v>
      </c>
      <c r="M126" s="232">
        <f t="shared" si="35"/>
        <v>15</v>
      </c>
      <c r="N126" s="232">
        <f t="shared" si="36"/>
        <v>0.99199999999999999</v>
      </c>
      <c r="O126" s="232">
        <f t="shared" si="37"/>
        <v>0.85199999999999998</v>
      </c>
      <c r="P126" s="45">
        <f t="shared" si="31"/>
        <v>7.3810864638246141</v>
      </c>
      <c r="Q126" s="6">
        <f t="shared" si="32"/>
        <v>19.224549927406461</v>
      </c>
      <c r="R126" s="140">
        <f t="shared" si="38"/>
        <v>0.99965047129478457</v>
      </c>
      <c r="S126" s="232">
        <f t="shared" si="14"/>
        <v>99.965047129478464</v>
      </c>
      <c r="T126" s="248">
        <f t="shared" si="15"/>
        <v>1.0088956054887799E-2</v>
      </c>
      <c r="U126" s="283">
        <f>Berekening!H126*$T126</f>
        <v>1.5325081414541814E-3</v>
      </c>
      <c r="V126" s="284">
        <f>Berekening!I126*$T126</f>
        <v>1.1378394171101922E-3</v>
      </c>
      <c r="Y126" s="53">
        <f t="shared" si="20"/>
        <v>50</v>
      </c>
      <c r="Z126" s="6" t="str">
        <f>IF(INVOER!A78=0,"x",INVOER!A78)</f>
        <v>x</v>
      </c>
      <c r="AA126" s="6">
        <f>IF(INVOER!B$29&gt;INVOER!B$30,INVOER!B78,100-INVOER!B78)</f>
        <v>0</v>
      </c>
      <c r="AB126" s="6">
        <f t="shared" si="21"/>
        <v>50</v>
      </c>
      <c r="AC126" s="6">
        <f t="shared" si="16"/>
        <v>0</v>
      </c>
      <c r="AD126" s="54">
        <f>IF(INVOER!A78=0,10000,INVOER!A78)</f>
        <v>10000</v>
      </c>
    </row>
    <row r="127" spans="1:30" x14ac:dyDescent="0.2">
      <c r="A127" s="53">
        <f>A126*Berekening!H$58</f>
        <v>6.8488101273542519</v>
      </c>
      <c r="B127" s="6">
        <f t="shared" si="25"/>
        <v>6.6943666677630729</v>
      </c>
      <c r="C127" s="182">
        <f t="shared" si="22"/>
        <v>5.3488948362924154</v>
      </c>
      <c r="D127" s="212">
        <f t="shared" si="24"/>
        <v>0.14127015089744741</v>
      </c>
      <c r="E127" s="209">
        <f t="shared" si="26"/>
        <v>0.13264260774755374</v>
      </c>
      <c r="F127" s="53">
        <f t="shared" si="27"/>
        <v>0.10369321093692377</v>
      </c>
      <c r="G127" s="169">
        <f t="shared" si="28"/>
        <v>9.6395922458859959E-2</v>
      </c>
      <c r="H127" s="184">
        <f t="shared" si="29"/>
        <v>0.14127015089744741</v>
      </c>
      <c r="I127" s="192">
        <f t="shared" si="30"/>
        <v>0.10369321093692377</v>
      </c>
      <c r="J127" s="162">
        <f>IF(INVOER!$R$35=1,100-H127*100,100-I127*100)</f>
        <v>89.630678906307622</v>
      </c>
      <c r="K127" s="301">
        <f t="shared" si="33"/>
        <v>0</v>
      </c>
      <c r="L127" s="269">
        <f t="shared" si="34"/>
        <v>10</v>
      </c>
      <c r="M127" s="269">
        <f t="shared" si="35"/>
        <v>15</v>
      </c>
      <c r="N127" s="269">
        <f t="shared" si="36"/>
        <v>0.99199999999999999</v>
      </c>
      <c r="O127" s="269">
        <f t="shared" si="37"/>
        <v>0.85199999999999998</v>
      </c>
      <c r="P127" s="44">
        <f t="shared" si="31"/>
        <v>7.3810864638246141</v>
      </c>
      <c r="Q127" s="5">
        <f t="shared" si="32"/>
        <v>19.224549927406461</v>
      </c>
      <c r="R127" s="246">
        <f t="shared" si="38"/>
        <v>0.99950865414055945</v>
      </c>
      <c r="S127" s="269">
        <f t="shared" si="14"/>
        <v>99.95086541405594</v>
      </c>
      <c r="T127" s="250">
        <f t="shared" si="15"/>
        <v>1.418171542251212E-2</v>
      </c>
      <c r="U127" s="281">
        <f>Berekening!H127*$T127</f>
        <v>2.0034530777229445E-3</v>
      </c>
      <c r="V127" s="282">
        <f>Berekening!I127*$T127</f>
        <v>1.4705476087539743E-3</v>
      </c>
      <c r="Y127" s="53">
        <f t="shared" si="20"/>
        <v>51</v>
      </c>
      <c r="Z127" s="6" t="str">
        <f>IF(INVOER!A79=0,"x",INVOER!A79)</f>
        <v>x</v>
      </c>
      <c r="AA127" s="6">
        <f>IF(INVOER!B$29&gt;INVOER!B$30,INVOER!B79,100-INVOER!B79)</f>
        <v>0</v>
      </c>
      <c r="AB127" s="6">
        <f t="shared" si="21"/>
        <v>51</v>
      </c>
      <c r="AC127" s="6">
        <f t="shared" si="16"/>
        <v>0</v>
      </c>
      <c r="AD127" s="54">
        <f>IF(INVOER!A79=0,10000,INVOER!A79)</f>
        <v>10000</v>
      </c>
    </row>
    <row r="128" spans="1:30" x14ac:dyDescent="0.2">
      <c r="A128" s="53">
        <f>A127*Berekening!H$58</f>
        <v>7.1722860754601836</v>
      </c>
      <c r="B128" s="6">
        <f t="shared" si="25"/>
        <v>7.0105481014072177</v>
      </c>
      <c r="C128" s="182">
        <f t="shared" si="22"/>
        <v>5.6015283297481639</v>
      </c>
      <c r="D128" s="212">
        <f t="shared" si="24"/>
        <v>0.13106801724701564</v>
      </c>
      <c r="E128" s="209">
        <f t="shared" si="26"/>
        <v>0.12419928804796806</v>
      </c>
      <c r="F128" s="53">
        <f t="shared" si="27"/>
        <v>9.5072048965169964E-2</v>
      </c>
      <c r="G128" s="169">
        <f t="shared" si="28"/>
        <v>8.9326711203049053E-2</v>
      </c>
      <c r="H128" s="184">
        <f t="shared" si="29"/>
        <v>0.13106801724701564</v>
      </c>
      <c r="I128" s="192">
        <f t="shared" si="30"/>
        <v>9.5072048965169964E-2</v>
      </c>
      <c r="J128" s="160">
        <f>IF(INVOER!$R$35=1,100-H128*100,100-I128*100)</f>
        <v>90.492795103483004</v>
      </c>
      <c r="K128" s="233">
        <f t="shared" si="33"/>
        <v>0</v>
      </c>
      <c r="L128" s="232">
        <f t="shared" si="34"/>
        <v>10</v>
      </c>
      <c r="M128" s="232">
        <f t="shared" si="35"/>
        <v>15</v>
      </c>
      <c r="N128" s="232">
        <f t="shared" si="36"/>
        <v>0.99199999999999999</v>
      </c>
      <c r="O128" s="232">
        <f t="shared" si="37"/>
        <v>0.85199999999999998</v>
      </c>
      <c r="P128" s="45">
        <f t="shared" si="31"/>
        <v>7.3810864638246141</v>
      </c>
      <c r="Q128" s="6">
        <f t="shared" si="32"/>
        <v>19.224549927406461</v>
      </c>
      <c r="R128" s="140">
        <f t="shared" si="38"/>
        <v>0.99930931622817343</v>
      </c>
      <c r="S128" s="232">
        <f t="shared" si="14"/>
        <v>99.93093162281734</v>
      </c>
      <c r="T128" s="248">
        <f t="shared" si="15"/>
        <v>1.9933791238602172E-2</v>
      </c>
      <c r="U128" s="281">
        <f>Berekening!H128*$T128</f>
        <v>2.6126824938595187E-3</v>
      </c>
      <c r="V128" s="282">
        <f>Berekening!I128*$T128</f>
        <v>1.8951463766978618E-3</v>
      </c>
      <c r="Y128" s="53">
        <f t="shared" si="20"/>
        <v>52</v>
      </c>
      <c r="Z128" s="6" t="str">
        <f>IF(INVOER!A80=0,"x",INVOER!A80)</f>
        <v>x</v>
      </c>
      <c r="AA128" s="6">
        <f>IF(INVOER!B$29&gt;INVOER!B$30,INVOER!B80,100-INVOER!B80)</f>
        <v>0</v>
      </c>
      <c r="AB128" s="6">
        <f t="shared" si="21"/>
        <v>52</v>
      </c>
      <c r="AC128" s="6">
        <f t="shared" si="16"/>
        <v>0</v>
      </c>
      <c r="AD128" s="54">
        <f>IF(INVOER!A80=0,10000,INVOER!A80)</f>
        <v>10000</v>
      </c>
    </row>
    <row r="129" spans="1:30" x14ac:dyDescent="0.2">
      <c r="A129" s="53">
        <f>A128*Berekening!H$58</f>
        <v>7.5110401064823149</v>
      </c>
      <c r="B129" s="6">
        <f t="shared" si="25"/>
        <v>7.3416630909712488</v>
      </c>
      <c r="C129" s="182">
        <f t="shared" si="22"/>
        <v>5.8660939482445098</v>
      </c>
      <c r="D129" s="212">
        <f t="shared" si="24"/>
        <v>0.12129935944623997</v>
      </c>
      <c r="E129" s="209">
        <f t="shared" si="26"/>
        <v>0.11603779463033885</v>
      </c>
      <c r="F129" s="53">
        <f t="shared" si="27"/>
        <v>8.6915948501176468E-2</v>
      </c>
      <c r="G129" s="169">
        <f t="shared" si="28"/>
        <v>8.2565254077317476E-2</v>
      </c>
      <c r="H129" s="184">
        <f t="shared" si="29"/>
        <v>0.12129935944623997</v>
      </c>
      <c r="I129" s="192">
        <f t="shared" si="30"/>
        <v>8.6915948501176468E-2</v>
      </c>
      <c r="J129" s="160">
        <f>IF(INVOER!$R$35=1,100-H129*100,100-I129*100)</f>
        <v>91.308405149882347</v>
      </c>
      <c r="K129" s="233">
        <f t="shared" si="33"/>
        <v>0</v>
      </c>
      <c r="L129" s="232">
        <f t="shared" si="34"/>
        <v>10</v>
      </c>
      <c r="M129" s="232">
        <f t="shared" si="35"/>
        <v>15</v>
      </c>
      <c r="N129" s="232">
        <f t="shared" si="36"/>
        <v>0.99199999999999999</v>
      </c>
      <c r="O129" s="232">
        <f t="shared" si="37"/>
        <v>0.85199999999999998</v>
      </c>
      <c r="P129" s="45">
        <f t="shared" si="31"/>
        <v>7.3810864638246141</v>
      </c>
      <c r="Q129" s="6">
        <f t="shared" si="32"/>
        <v>19.224549927406461</v>
      </c>
      <c r="R129" s="140">
        <f t="shared" si="38"/>
        <v>0.99902914665731224</v>
      </c>
      <c r="S129" s="232">
        <f t="shared" si="14"/>
        <v>99.902914665731231</v>
      </c>
      <c r="T129" s="248">
        <f t="shared" si="15"/>
        <v>2.8016957086118843E-2</v>
      </c>
      <c r="U129" s="281">
        <f>Berekening!H129*$T129</f>
        <v>3.3984389481790094E-3</v>
      </c>
      <c r="V129" s="282">
        <f>Berekening!I129*$T129</f>
        <v>2.4351203992567763E-3</v>
      </c>
      <c r="Y129" s="53">
        <f t="shared" si="20"/>
        <v>53</v>
      </c>
      <c r="Z129" s="6" t="str">
        <f>IF(INVOER!A81=0,"x",INVOER!A81)</f>
        <v>x</v>
      </c>
      <c r="AA129" s="6">
        <f>IF(INVOER!B$29&gt;INVOER!B$30,INVOER!B81,100-INVOER!B81)</f>
        <v>0</v>
      </c>
      <c r="AB129" s="6">
        <f t="shared" si="21"/>
        <v>53</v>
      </c>
      <c r="AC129" s="6">
        <f t="shared" si="16"/>
        <v>0</v>
      </c>
      <c r="AD129" s="54">
        <f>IF(INVOER!A81=0,10000,INVOER!A81)</f>
        <v>10000</v>
      </c>
    </row>
    <row r="130" spans="1:30" x14ac:dyDescent="0.2">
      <c r="A130" s="53">
        <f>A129*Berekening!H$58</f>
        <v>7.8657938191019738</v>
      </c>
      <c r="B130" s="6">
        <f t="shared" si="25"/>
        <v>7.6884169627921448</v>
      </c>
      <c r="C130" s="182">
        <f t="shared" si="22"/>
        <v>6.143155257625545</v>
      </c>
      <c r="D130" s="212">
        <f t="shared" si="24"/>
        <v>0.11196891608834096</v>
      </c>
      <c r="E130" s="209">
        <f t="shared" si="26"/>
        <v>0.10816642943387565</v>
      </c>
      <c r="F130" s="53">
        <f t="shared" si="27"/>
        <v>7.9222011999963232E-2</v>
      </c>
      <c r="G130" s="169">
        <f t="shared" si="28"/>
        <v>7.6114948671617652E-2</v>
      </c>
      <c r="H130" s="184">
        <f t="shared" si="29"/>
        <v>0.11196891608834096</v>
      </c>
      <c r="I130" s="192">
        <f t="shared" si="30"/>
        <v>7.9222011999963232E-2</v>
      </c>
      <c r="J130" s="160">
        <f>IF(INVOER!$R$35=1,100-H130*100,100-I130*100)</f>
        <v>92.077798800003677</v>
      </c>
      <c r="K130" s="233">
        <f t="shared" si="33"/>
        <v>0</v>
      </c>
      <c r="L130" s="232">
        <f t="shared" si="34"/>
        <v>10</v>
      </c>
      <c r="M130" s="232">
        <f t="shared" si="35"/>
        <v>15</v>
      </c>
      <c r="N130" s="232">
        <f t="shared" si="36"/>
        <v>0.99199999999999999</v>
      </c>
      <c r="O130" s="232">
        <f t="shared" si="37"/>
        <v>0.85199999999999998</v>
      </c>
      <c r="P130" s="45">
        <f t="shared" si="31"/>
        <v>7.3810864638246141</v>
      </c>
      <c r="Q130" s="6">
        <f t="shared" si="32"/>
        <v>19.224549927406461</v>
      </c>
      <c r="R130" s="140">
        <f t="shared" si="38"/>
        <v>0.99863540647637339</v>
      </c>
      <c r="S130" s="232">
        <f t="shared" si="14"/>
        <v>99.863540647637336</v>
      </c>
      <c r="T130" s="248">
        <f t="shared" si="15"/>
        <v>3.9374018093885077E-2</v>
      </c>
      <c r="U130" s="281">
        <f>Berekening!H130*$T130</f>
        <v>4.4086661280150373E-3</v>
      </c>
      <c r="V130" s="282">
        <f>Berekening!I130*$T130</f>
        <v>3.1192889339205329E-3</v>
      </c>
      <c r="Y130" s="53">
        <f t="shared" si="20"/>
        <v>54</v>
      </c>
      <c r="Z130" s="6" t="str">
        <f>IF(INVOER!A82=0,"x",INVOER!A82)</f>
        <v>x</v>
      </c>
      <c r="AA130" s="6">
        <f>IF(INVOER!B$29&gt;INVOER!B$30,INVOER!B82,100-INVOER!B82)</f>
        <v>0</v>
      </c>
      <c r="AB130" s="6">
        <f t="shared" si="21"/>
        <v>54</v>
      </c>
      <c r="AC130" s="6">
        <f t="shared" si="16"/>
        <v>0</v>
      </c>
      <c r="AD130" s="54">
        <f>IF(INVOER!A82=0,10000,INVOER!A82)</f>
        <v>10000</v>
      </c>
    </row>
    <row r="131" spans="1:30" x14ac:dyDescent="0.2">
      <c r="A131" s="55">
        <f>A130*Berekening!H$58</f>
        <v>8.2373028938064152</v>
      </c>
      <c r="B131" s="56">
        <f t="shared" si="25"/>
        <v>8.0515483564541945</v>
      </c>
      <c r="C131" s="195">
        <f t="shared" si="22"/>
        <v>6.4333024414970321</v>
      </c>
      <c r="D131" s="213">
        <f t="shared" si="24"/>
        <v>0.10307991733532371</v>
      </c>
      <c r="E131" s="181">
        <f t="shared" si="26"/>
        <v>0.10059247674749608</v>
      </c>
      <c r="F131" s="55">
        <f t="shared" si="27"/>
        <v>7.1985697336290635E-2</v>
      </c>
      <c r="G131" s="196">
        <f t="shared" si="28"/>
        <v>6.9977980144006413E-2</v>
      </c>
      <c r="H131" s="185">
        <f t="shared" si="29"/>
        <v>0.10307991733532371</v>
      </c>
      <c r="I131" s="245">
        <f t="shared" si="30"/>
        <v>7.1985697336290635E-2</v>
      </c>
      <c r="J131" s="253">
        <f>IF(INVOER!$R$35=1,100-H131*100,100-I131*100)</f>
        <v>92.801430266370943</v>
      </c>
      <c r="K131" s="233">
        <f t="shared" si="33"/>
        <v>0</v>
      </c>
      <c r="L131" s="232">
        <f t="shared" si="34"/>
        <v>10</v>
      </c>
      <c r="M131" s="232">
        <f t="shared" si="35"/>
        <v>15</v>
      </c>
      <c r="N131" s="232">
        <f t="shared" si="36"/>
        <v>0.99199999999999999</v>
      </c>
      <c r="O131" s="232">
        <f t="shared" si="37"/>
        <v>0.85199999999999998</v>
      </c>
      <c r="P131" s="45">
        <f t="shared" si="31"/>
        <v>7.3810864638246141</v>
      </c>
      <c r="Q131" s="6">
        <f t="shared" si="32"/>
        <v>19.224549927406461</v>
      </c>
      <c r="R131" s="140">
        <f t="shared" si="38"/>
        <v>0.99808213400875345</v>
      </c>
      <c r="S131" s="232">
        <f t="shared" si="14"/>
        <v>99.808213400875346</v>
      </c>
      <c r="T131" s="248">
        <f t="shared" si="15"/>
        <v>5.5327246761993631E-2</v>
      </c>
      <c r="U131" s="283">
        <f>Berekening!H131*$T131</f>
        <v>5.7031280226173594E-3</v>
      </c>
      <c r="V131" s="284">
        <f>Berekening!I131*$T131</f>
        <v>3.9827704398591396E-3</v>
      </c>
      <c r="Y131" s="53">
        <f t="shared" si="20"/>
        <v>55</v>
      </c>
      <c r="Z131" s="6" t="str">
        <f>IF(INVOER!A83=0,"x",INVOER!A83)</f>
        <v>x</v>
      </c>
      <c r="AA131" s="6">
        <f>IF(INVOER!B$29&gt;INVOER!B$30,INVOER!B83,100-INVOER!B83)</f>
        <v>0</v>
      </c>
      <c r="AB131" s="6">
        <f t="shared" si="21"/>
        <v>55</v>
      </c>
      <c r="AC131" s="6">
        <f t="shared" si="16"/>
        <v>0</v>
      </c>
      <c r="AD131" s="54">
        <f>IF(INVOER!A83=0,10000,INVOER!A83)</f>
        <v>10000</v>
      </c>
    </row>
    <row r="132" spans="1:30" x14ac:dyDescent="0.2">
      <c r="A132" s="53">
        <f>A131*Berekening!H$58</f>
        <v>8.6263587026055859</v>
      </c>
      <c r="B132" s="6">
        <f t="shared" si="25"/>
        <v>8.4318307982060006</v>
      </c>
      <c r="C132" s="182">
        <f t="shared" si="22"/>
        <v>6.7371535584091262</v>
      </c>
      <c r="D132" s="212">
        <f t="shared" si="24"/>
        <v>9.4634034724944346E-2</v>
      </c>
      <c r="E132" s="209">
        <f t="shared" si="26"/>
        <v>9.3322145352349312E-2</v>
      </c>
      <c r="F132" s="53">
        <f t="shared" si="27"/>
        <v>6.5200832370725187E-2</v>
      </c>
      <c r="G132" s="169">
        <f t="shared" si="28"/>
        <v>6.4155300359831399E-2</v>
      </c>
      <c r="H132" s="184">
        <f t="shared" si="29"/>
        <v>9.4634034724944346E-2</v>
      </c>
      <c r="I132" s="192">
        <f t="shared" si="30"/>
        <v>6.5200832370725187E-2</v>
      </c>
      <c r="J132" s="160">
        <f>IF(INVOER!$R$35=1,100-H132*100,100-I132*100)</f>
        <v>93.479916762927488</v>
      </c>
      <c r="K132" s="301">
        <f t="shared" si="33"/>
        <v>0</v>
      </c>
      <c r="L132" s="269">
        <f t="shared" si="34"/>
        <v>10</v>
      </c>
      <c r="M132" s="269">
        <f t="shared" si="35"/>
        <v>15</v>
      </c>
      <c r="N132" s="269">
        <f t="shared" si="36"/>
        <v>0.99199999999999999</v>
      </c>
      <c r="O132" s="269">
        <f t="shared" si="37"/>
        <v>0.85199999999999998</v>
      </c>
      <c r="P132" s="44">
        <f t="shared" si="31"/>
        <v>7.3810864638246141</v>
      </c>
      <c r="Q132" s="5">
        <f t="shared" si="32"/>
        <v>19.224549927406461</v>
      </c>
      <c r="R132" s="246">
        <f t="shared" si="38"/>
        <v>0.99730484091945437</v>
      </c>
      <c r="S132" s="269">
        <f t="shared" si="14"/>
        <v>99.730484091945442</v>
      </c>
      <c r="T132" s="250">
        <f>IF(M132="x",0,(R131-R132)*100)</f>
        <v>7.7729308929908036E-2</v>
      </c>
      <c r="U132" s="281">
        <f>Berekening!H132*$T132</f>
        <v>7.3558381204188441E-3</v>
      </c>
      <c r="V132" s="282">
        <f>Berekening!I132*$T132</f>
        <v>5.0680156418312465E-3</v>
      </c>
      <c r="Y132" s="53">
        <f t="shared" si="20"/>
        <v>56</v>
      </c>
      <c r="Z132" s="6" t="str">
        <f>IF(INVOER!A84=0,"x",INVOER!A84)</f>
        <v>x</v>
      </c>
      <c r="AA132" s="6">
        <f>IF(INVOER!B$29&gt;INVOER!B$30,INVOER!B84,100-INVOER!B84)</f>
        <v>0</v>
      </c>
      <c r="AB132" s="6">
        <f t="shared" si="21"/>
        <v>56</v>
      </c>
      <c r="AC132" s="6">
        <f t="shared" si="16"/>
        <v>0</v>
      </c>
      <c r="AD132" s="54">
        <f>IF(INVOER!A84=0,10000,INVOER!A84)</f>
        <v>10000</v>
      </c>
    </row>
    <row r="133" spans="1:30" x14ac:dyDescent="0.2">
      <c r="A133" s="53">
        <f>A132*Berekening!H$58</f>
        <v>9.0337899947773774</v>
      </c>
      <c r="B133" s="6">
        <f t="shared" si="25"/>
        <v>8.8300743486914826</v>
      </c>
      <c r="C133" s="182">
        <f t="shared" si="22"/>
        <v>7.0553558584170446</v>
      </c>
      <c r="D133" s="212">
        <f t="shared" si="24"/>
        <v>8.6631344016744077E-2</v>
      </c>
      <c r="E133" s="209">
        <f t="shared" si="26"/>
        <v>8.6360517467212058E-2</v>
      </c>
      <c r="F133" s="53">
        <f t="shared" si="27"/>
        <v>5.8859646307173434E-2</v>
      </c>
      <c r="G133" s="169">
        <f t="shared" si="28"/>
        <v>5.8646617383635018E-2</v>
      </c>
      <c r="H133" s="184">
        <f t="shared" si="29"/>
        <v>8.6631344016744077E-2</v>
      </c>
      <c r="I133" s="192">
        <f t="shared" si="30"/>
        <v>5.8859646307173434E-2</v>
      </c>
      <c r="J133" s="160">
        <f>IF(INVOER!$R$35=1,100-H133*100,100-I133*100)</f>
        <v>94.114035369282661</v>
      </c>
      <c r="K133" s="233">
        <f t="shared" si="33"/>
        <v>0</v>
      </c>
      <c r="L133" s="232">
        <f t="shared" si="34"/>
        <v>10</v>
      </c>
      <c r="M133" s="232">
        <f t="shared" si="35"/>
        <v>15</v>
      </c>
      <c r="N133" s="232">
        <f t="shared" si="36"/>
        <v>0.99199999999999999</v>
      </c>
      <c r="O133" s="232">
        <f t="shared" si="37"/>
        <v>0.85199999999999998</v>
      </c>
      <c r="P133" s="45">
        <f t="shared" si="31"/>
        <v>7.3810864638246141</v>
      </c>
      <c r="Q133" s="6">
        <f t="shared" si="32"/>
        <v>19.224549927406461</v>
      </c>
      <c r="R133" s="140">
        <f t="shared" si="38"/>
        <v>0.99621311640456456</v>
      </c>
      <c r="S133" s="232">
        <f t="shared" si="14"/>
        <v>99.621311640456454</v>
      </c>
      <c r="T133" s="248">
        <f t="shared" si="15"/>
        <v>0.10917245148898136</v>
      </c>
      <c r="U133" s="281">
        <f>Berekening!H133*$T133</f>
        <v>9.4577562020932478E-3</v>
      </c>
      <c r="V133" s="282">
        <f>Berekening!I133*$T133</f>
        <v>6.4258518811284929E-3</v>
      </c>
      <c r="Y133" s="53">
        <f t="shared" si="20"/>
        <v>57</v>
      </c>
      <c r="Z133" s="6" t="str">
        <f>IF(INVOER!A85=0,"x",INVOER!A85)</f>
        <v>x</v>
      </c>
      <c r="AA133" s="6">
        <f>IF(INVOER!B$29&gt;INVOER!B$30,INVOER!B85,100-INVOER!B85)</f>
        <v>0</v>
      </c>
      <c r="AB133" s="6">
        <f t="shared" si="21"/>
        <v>57</v>
      </c>
      <c r="AC133" s="6">
        <f t="shared" si="16"/>
        <v>0</v>
      </c>
      <c r="AD133" s="54">
        <f>IF(INVOER!A85=0,10000,INVOER!A85)</f>
        <v>10000</v>
      </c>
    </row>
    <row r="134" spans="1:30" x14ac:dyDescent="0.2">
      <c r="A134" s="53">
        <f>A133*Berekening!H$58</f>
        <v>9.4604646622322566</v>
      </c>
      <c r="B134" s="6">
        <f t="shared" si="25"/>
        <v>9.247127328504817</v>
      </c>
      <c r="C134" s="182">
        <f t="shared" si="22"/>
        <v>7.3885871618241712</v>
      </c>
      <c r="D134" s="212">
        <f t="shared" si="24"/>
        <v>7.9070302120976724E-2</v>
      </c>
      <c r="E134" s="209">
        <f t="shared" si="26"/>
        <v>7.9711505407492445E-2</v>
      </c>
      <c r="F134" s="53">
        <f t="shared" si="27"/>
        <v>5.2952818009705534E-2</v>
      </c>
      <c r="G134" s="169">
        <f t="shared" si="28"/>
        <v>5.3450395873020431E-2</v>
      </c>
      <c r="H134" s="184">
        <f t="shared" si="29"/>
        <v>7.9070302120976724E-2</v>
      </c>
      <c r="I134" s="192">
        <f t="shared" si="30"/>
        <v>5.2952818009705534E-2</v>
      </c>
      <c r="J134" s="160">
        <f>IF(INVOER!$R$35=1,100-H134*100,100-I134*100)</f>
        <v>94.704718199029443</v>
      </c>
      <c r="K134" s="233">
        <f t="shared" si="33"/>
        <v>0</v>
      </c>
      <c r="L134" s="232">
        <f t="shared" si="34"/>
        <v>10</v>
      </c>
      <c r="M134" s="232">
        <f t="shared" si="35"/>
        <v>15</v>
      </c>
      <c r="N134" s="232">
        <f t="shared" si="36"/>
        <v>0.99199999999999999</v>
      </c>
      <c r="O134" s="232">
        <f t="shared" si="37"/>
        <v>0.85199999999999998</v>
      </c>
      <c r="P134" s="45">
        <f t="shared" si="31"/>
        <v>7.3810864638246141</v>
      </c>
      <c r="Q134" s="6">
        <f t="shared" si="32"/>
        <v>19.224549927406461</v>
      </c>
      <c r="R134" s="140">
        <f t="shared" si="38"/>
        <v>0.99468034938286332</v>
      </c>
      <c r="S134" s="232">
        <f t="shared" si="14"/>
        <v>99.468034938286337</v>
      </c>
      <c r="T134" s="248">
        <f t="shared" si="15"/>
        <v>0.15327670217012423</v>
      </c>
      <c r="U134" s="281">
        <f>Berekening!H134*$T134</f>
        <v>1.2119635148698692E-2</v>
      </c>
      <c r="V134" s="282">
        <f>Berekening!I134*$T134</f>
        <v>8.1164333151424253E-3</v>
      </c>
      <c r="Y134" s="53">
        <f t="shared" si="20"/>
        <v>58</v>
      </c>
      <c r="Z134" s="6" t="str">
        <f>IF(INVOER!A86=0,"x",INVOER!A86)</f>
        <v>x</v>
      </c>
      <c r="AA134" s="6">
        <f>IF(INVOER!B$29&gt;INVOER!B$30,INVOER!B86,100-INVOER!B86)</f>
        <v>0</v>
      </c>
      <c r="AB134" s="6">
        <f t="shared" si="21"/>
        <v>58</v>
      </c>
      <c r="AC134" s="6">
        <f t="shared" si="16"/>
        <v>0</v>
      </c>
      <c r="AD134" s="54">
        <f>IF(INVOER!A86=0,10000,INVOER!A86)</f>
        <v>10000</v>
      </c>
    </row>
    <row r="135" spans="1:30" x14ac:dyDescent="0.2">
      <c r="A135" s="53">
        <f>A134*Berekening!H$58</f>
        <v>9.9072915882577899</v>
      </c>
      <c r="B135" s="6">
        <f t="shared" si="25"/>
        <v>9.6838781252450232</v>
      </c>
      <c r="C135" s="182">
        <f t="shared" si="22"/>
        <v>7.7375573030445519</v>
      </c>
      <c r="D135" s="212">
        <f t="shared" si="24"/>
        <v>7.1947739010099765E-2</v>
      </c>
      <c r="E135" s="209">
        <f t="shared" si="26"/>
        <v>7.3377816821910746E-2</v>
      </c>
      <c r="F135" s="53">
        <f t="shared" si="27"/>
        <v>4.7469541177427667E-2</v>
      </c>
      <c r="G135" s="169">
        <f t="shared" si="28"/>
        <v>4.8563868789575644E-2</v>
      </c>
      <c r="H135" s="184">
        <f t="shared" si="29"/>
        <v>7.1947739010099765E-2</v>
      </c>
      <c r="I135" s="192">
        <f t="shared" si="30"/>
        <v>4.7469541177427667E-2</v>
      </c>
      <c r="J135" s="160">
        <f>IF(INVOER!$R$35=1,100-H135*100,100-I135*100)</f>
        <v>95.25304588225724</v>
      </c>
      <c r="K135" s="233">
        <f t="shared" si="33"/>
        <v>0</v>
      </c>
      <c r="L135" s="232">
        <f t="shared" si="34"/>
        <v>10</v>
      </c>
      <c r="M135" s="232">
        <f t="shared" si="35"/>
        <v>15</v>
      </c>
      <c r="N135" s="232">
        <f t="shared" si="36"/>
        <v>0.99199999999999999</v>
      </c>
      <c r="O135" s="232">
        <f t="shared" si="37"/>
        <v>0.85199999999999998</v>
      </c>
      <c r="P135" s="45">
        <f t="shared" si="31"/>
        <v>7.3810864638246141</v>
      </c>
      <c r="Q135" s="6">
        <f t="shared" si="32"/>
        <v>19.224549927406461</v>
      </c>
      <c r="R135" s="140">
        <f t="shared" si="38"/>
        <v>0.9925295146780917</v>
      </c>
      <c r="S135" s="232">
        <f t="shared" si="14"/>
        <v>99.252951467809169</v>
      </c>
      <c r="T135" s="248">
        <f t="shared" si="15"/>
        <v>0.21508347047716203</v>
      </c>
      <c r="U135" s="281">
        <f>Berekening!H135*$T135</f>
        <v>1.5474769399277352E-2</v>
      </c>
      <c r="V135" s="282">
        <f>Berekening!I135*$T135</f>
        <v>1.0209913658399692E-2</v>
      </c>
      <c r="Y135" s="53">
        <f t="shared" si="20"/>
        <v>59</v>
      </c>
      <c r="Z135" s="6" t="str">
        <f>IF(INVOER!A87=0,"x",INVOER!A87)</f>
        <v>x</v>
      </c>
      <c r="AA135" s="6">
        <f>IF(INVOER!B$29&gt;INVOER!B$30,INVOER!B87,100-INVOER!B87)</f>
        <v>0</v>
      </c>
      <c r="AB135" s="6">
        <f t="shared" si="21"/>
        <v>59</v>
      </c>
      <c r="AC135" s="6">
        <f t="shared" si="16"/>
        <v>0</v>
      </c>
      <c r="AD135" s="54">
        <f>IF(INVOER!A87=0,10000,INVOER!A87)</f>
        <v>10000</v>
      </c>
    </row>
    <row r="136" spans="1:30" x14ac:dyDescent="0.2">
      <c r="A136" s="55">
        <f>A135*Berekening!H$58</f>
        <v>10.375222583581154</v>
      </c>
      <c r="B136" s="56">
        <f t="shared" si="25"/>
        <v>10.141257085919472</v>
      </c>
      <c r="C136" s="195">
        <f t="shared" si="22"/>
        <v>8.1030096426603979</v>
      </c>
      <c r="D136" s="213">
        <f t="shared" si="24"/>
        <v>6.5258865337458949E-2</v>
      </c>
      <c r="E136" s="181">
        <f t="shared" si="26"/>
        <v>6.7360929304949579E-2</v>
      </c>
      <c r="F136" s="55">
        <f t="shared" si="27"/>
        <v>4.239760598828398E-2</v>
      </c>
      <c r="G136" s="196">
        <f t="shared" si="28"/>
        <v>4.3983060689737362E-2</v>
      </c>
      <c r="H136" s="185">
        <f t="shared" si="29"/>
        <v>6.7360929304949579E-2</v>
      </c>
      <c r="I136" s="245">
        <f t="shared" si="30"/>
        <v>4.3983060689737362E-2</v>
      </c>
      <c r="J136" s="160">
        <f>IF(INVOER!$R$35=1,100-H136*100,100-I136*100)</f>
        <v>95.601693931026261</v>
      </c>
      <c r="K136" s="233">
        <f t="shared" si="33"/>
        <v>1</v>
      </c>
      <c r="L136" s="232">
        <f t="shared" si="34"/>
        <v>10</v>
      </c>
      <c r="M136" s="232">
        <f t="shared" si="35"/>
        <v>15</v>
      </c>
      <c r="N136" s="232">
        <f t="shared" si="36"/>
        <v>0.99199999999999999</v>
      </c>
      <c r="O136" s="232">
        <f t="shared" si="37"/>
        <v>0.85199999999999998</v>
      </c>
      <c r="P136" s="45">
        <f t="shared" si="31"/>
        <v>7.3810864638246141</v>
      </c>
      <c r="Q136" s="6">
        <f t="shared" si="32"/>
        <v>19.224549927406461</v>
      </c>
      <c r="R136" s="140">
        <f t="shared" si="38"/>
        <v>0.98951365241681088</v>
      </c>
      <c r="S136" s="232">
        <f t="shared" si="14"/>
        <v>98.951365241681088</v>
      </c>
      <c r="T136" s="248">
        <f t="shared" si="15"/>
        <v>0.30158622612808106</v>
      </c>
      <c r="U136" s="283">
        <f>Berekening!H136*$T136</f>
        <v>2.0315128457560207E-2</v>
      </c>
      <c r="V136" s="284">
        <f>Berekening!I136*$T136</f>
        <v>1.3264685286980245E-2</v>
      </c>
      <c r="Y136" s="53">
        <f t="shared" si="20"/>
        <v>60</v>
      </c>
      <c r="Z136" s="6" t="str">
        <f>IF(INVOER!A88=0,"x",INVOER!A88)</f>
        <v>x</v>
      </c>
      <c r="AA136" s="6">
        <f>IF(INVOER!B$29&gt;INVOER!B$30,INVOER!B88,100-INVOER!B88)</f>
        <v>0</v>
      </c>
      <c r="AB136" s="6">
        <f t="shared" si="21"/>
        <v>60</v>
      </c>
      <c r="AC136" s="6">
        <f t="shared" si="16"/>
        <v>0</v>
      </c>
      <c r="AD136" s="54">
        <f>IF(INVOER!A88=0,10000,INVOER!A88)</f>
        <v>10000</v>
      </c>
    </row>
    <row r="137" spans="1:30" x14ac:dyDescent="0.2">
      <c r="A137" s="53">
        <f>A136*Berekening!H$58</f>
        <v>10.865254413873766</v>
      </c>
      <c r="B137" s="6">
        <f t="shared" si="25"/>
        <v>10.62023849872746</v>
      </c>
      <c r="C137" s="182">
        <f t="shared" si="22"/>
        <v>8.4857226508955428</v>
      </c>
      <c r="D137" s="212">
        <f t="shared" si="24"/>
        <v>5.8997296282970596E-2</v>
      </c>
      <c r="E137" s="209">
        <f t="shared" si="26"/>
        <v>6.166107509730525E-2</v>
      </c>
      <c r="F137" s="53">
        <f t="shared" si="27"/>
        <v>3.7723496521764419E-2</v>
      </c>
      <c r="G137" s="169">
        <f t="shared" si="28"/>
        <v>3.9702822690037928E-2</v>
      </c>
      <c r="H137" s="184">
        <f t="shared" si="29"/>
        <v>6.166107509730525E-2</v>
      </c>
      <c r="I137" s="192">
        <f t="shared" si="30"/>
        <v>3.9702822690037928E-2</v>
      </c>
      <c r="J137" s="162">
        <f>IF(INVOER!$R$35=1,100-H137*100,100-I137*100)</f>
        <v>96.029717730996211</v>
      </c>
      <c r="K137" s="301">
        <f t="shared" si="33"/>
        <v>1</v>
      </c>
      <c r="L137" s="269">
        <f t="shared" si="34"/>
        <v>10</v>
      </c>
      <c r="M137" s="269">
        <f t="shared" si="35"/>
        <v>15</v>
      </c>
      <c r="N137" s="269">
        <f t="shared" si="36"/>
        <v>0.99199999999999999</v>
      </c>
      <c r="O137" s="269">
        <f t="shared" si="37"/>
        <v>0.85199999999999998</v>
      </c>
      <c r="P137" s="44">
        <f t="shared" si="31"/>
        <v>7.3810864638246141</v>
      </c>
      <c r="Q137" s="5">
        <f t="shared" si="32"/>
        <v>19.224549927406461</v>
      </c>
      <c r="R137" s="246">
        <f t="shared" si="38"/>
        <v>0.98528932959453874</v>
      </c>
      <c r="S137" s="269">
        <f t="shared" si="14"/>
        <v>98.528932959453869</v>
      </c>
      <c r="T137" s="250">
        <f t="shared" si="15"/>
        <v>0.42243228222721418</v>
      </c>
      <c r="U137" s="281">
        <f>Berekening!H137*$T137</f>
        <v>2.6047628677938299E-2</v>
      </c>
      <c r="V137" s="282">
        <f>Berekening!I137*$T137</f>
        <v>1.6771753999815144E-2</v>
      </c>
      <c r="Y137" s="53">
        <f t="shared" si="20"/>
        <v>61</v>
      </c>
      <c r="Z137" s="6" t="str">
        <f>IF(INVOER!A89=0,"x",INVOER!A89)</f>
        <v>x</v>
      </c>
      <c r="AA137" s="6">
        <f>IF(INVOER!B$29&gt;INVOER!B$30,INVOER!B89,100-INVOER!B89)</f>
        <v>0</v>
      </c>
      <c r="AB137" s="6">
        <f t="shared" si="21"/>
        <v>61</v>
      </c>
      <c r="AC137" s="6">
        <f t="shared" si="16"/>
        <v>0</v>
      </c>
      <c r="AD137" s="54">
        <f>IF(INVOER!A89=0,10000,INVOER!A89)</f>
        <v>10000</v>
      </c>
    </row>
    <row r="138" spans="1:30" x14ac:dyDescent="0.2">
      <c r="A138" s="53">
        <f>A137*Berekening!H$58</f>
        <v>11.378430923016925</v>
      </c>
      <c r="B138" s="6">
        <f t="shared" si="25"/>
        <v>11.121842668445346</v>
      </c>
      <c r="C138" s="182">
        <f t="shared" si="22"/>
        <v>8.886511565877889</v>
      </c>
      <c r="D138" s="212">
        <f t="shared" si="24"/>
        <v>5.3155091913062051E-2</v>
      </c>
      <c r="E138" s="209">
        <f t="shared" si="26"/>
        <v>5.6277236480687054E-2</v>
      </c>
      <c r="F138" s="53">
        <f t="shared" si="27"/>
        <v>3.3432502963379018E-2</v>
      </c>
      <c r="G138" s="169">
        <f t="shared" si="28"/>
        <v>3.5716879019000114E-2</v>
      </c>
      <c r="H138" s="184">
        <f t="shared" si="29"/>
        <v>5.6277236480687054E-2</v>
      </c>
      <c r="I138" s="192">
        <f t="shared" si="30"/>
        <v>3.5716879019000114E-2</v>
      </c>
      <c r="J138" s="160">
        <f>IF(INVOER!$R$35=1,100-H138*100,100-I138*100)</f>
        <v>96.428312098099994</v>
      </c>
      <c r="K138" s="233">
        <f t="shared" si="33"/>
        <v>1</v>
      </c>
      <c r="L138" s="232">
        <f t="shared" si="34"/>
        <v>10</v>
      </c>
      <c r="M138" s="232">
        <f t="shared" si="35"/>
        <v>15</v>
      </c>
      <c r="N138" s="232">
        <f t="shared" si="36"/>
        <v>0.99199999999999999</v>
      </c>
      <c r="O138" s="232">
        <f t="shared" si="37"/>
        <v>0.85199999999999998</v>
      </c>
      <c r="P138" s="45">
        <f t="shared" si="31"/>
        <v>7.3810864638246141</v>
      </c>
      <c r="Q138" s="6">
        <f t="shared" si="32"/>
        <v>19.224549927406461</v>
      </c>
      <c r="R138" s="140">
        <f t="shared" si="38"/>
        <v>0.97938109617881497</v>
      </c>
      <c r="S138" s="232">
        <f t="shared" si="14"/>
        <v>97.938109617881494</v>
      </c>
      <c r="T138" s="248">
        <f t="shared" si="15"/>
        <v>0.59082334157237737</v>
      </c>
      <c r="U138" s="281">
        <f>Berekening!H138*$T138</f>
        <v>3.3249904911978427E-2</v>
      </c>
      <c r="V138" s="282">
        <f>Berekening!I138*$T138</f>
        <v>2.1102365812541983E-2</v>
      </c>
      <c r="Y138" s="53">
        <f t="shared" si="20"/>
        <v>62</v>
      </c>
      <c r="Z138" s="6" t="str">
        <f>IF(INVOER!A90=0,"x",INVOER!A90)</f>
        <v>x</v>
      </c>
      <c r="AA138" s="6">
        <f>IF(INVOER!B$29&gt;INVOER!B$30,INVOER!B90,100-INVOER!B90)</f>
        <v>0</v>
      </c>
      <c r="AB138" s="6">
        <f t="shared" si="21"/>
        <v>62</v>
      </c>
      <c r="AC138" s="6">
        <f t="shared" si="16"/>
        <v>0</v>
      </c>
      <c r="AD138" s="54">
        <f>IF(INVOER!A90=0,10000,INVOER!A90)</f>
        <v>10000</v>
      </c>
    </row>
    <row r="139" spans="1:30" x14ac:dyDescent="0.2">
      <c r="A139" s="53">
        <f>A138*Berekening!H$58</f>
        <v>11.915845256651345</v>
      </c>
      <c r="B139" s="6">
        <f t="shared" ref="B139:B174" si="39">(A138+A139)/2</f>
        <v>11.647138089834135</v>
      </c>
      <c r="C139" s="182">
        <f t="shared" si="22"/>
        <v>9.306230130223188</v>
      </c>
      <c r="D139" s="212">
        <f t="shared" si="24"/>
        <v>4.7722814084966432E-2</v>
      </c>
      <c r="E139" s="209">
        <f t="shared" ref="E139:E175" si="40">IF(C139-$K$36&gt;0,EXP(-(((C139-$K$36)/$K$38)^$K$40)),1)</f>
        <v>5.1207152347757239E-2</v>
      </c>
      <c r="F139" s="53">
        <f t="shared" ref="F139:F175" si="41">D139^($B$54*$B$63)</f>
        <v>2.9508847288138778E-2</v>
      </c>
      <c r="G139" s="169">
        <f t="shared" ref="G139:G175" si="42">E139^($B$54*$B$63)</f>
        <v>3.2017884875158886E-2</v>
      </c>
      <c r="H139" s="184">
        <f t="shared" ref="H139:H175" si="43">IF(C139&lt;$K$41,D139,E139)</f>
        <v>5.1207152347757239E-2</v>
      </c>
      <c r="I139" s="192">
        <f t="shared" ref="I139:I175" si="44">IF(C139&lt;$K$41,F139,G139)</f>
        <v>3.2017884875158886E-2</v>
      </c>
      <c r="J139" s="160">
        <f>IF(INVOER!$R$35=1,100-H139*100,100-I139*100)</f>
        <v>96.798211512484116</v>
      </c>
      <c r="K139" s="233">
        <f t="shared" si="33"/>
        <v>1</v>
      </c>
      <c r="L139" s="232">
        <f t="shared" si="34"/>
        <v>10</v>
      </c>
      <c r="M139" s="232">
        <f t="shared" si="35"/>
        <v>15</v>
      </c>
      <c r="N139" s="232">
        <f t="shared" si="36"/>
        <v>0.99199999999999999</v>
      </c>
      <c r="O139" s="232">
        <f t="shared" si="37"/>
        <v>0.85199999999999998</v>
      </c>
      <c r="P139" s="45">
        <f t="shared" ref="P139:P175" si="45">(LN(LN(N139)/LN(O139)))/LN(L139/M139)</f>
        <v>7.3810864638246141</v>
      </c>
      <c r="Q139" s="6">
        <f t="shared" ref="Q139:Q175" si="46">L139/((-LN(N139))^(1/P139))</f>
        <v>19.224549927406461</v>
      </c>
      <c r="R139" s="140">
        <f t="shared" si="38"/>
        <v>0.97113494214954488</v>
      </c>
      <c r="S139" s="232">
        <f t="shared" si="14"/>
        <v>97.113494214954486</v>
      </c>
      <c r="T139" s="248">
        <f t="shared" si="15"/>
        <v>0.82461540292700919</v>
      </c>
      <c r="U139" s="281">
        <f>Berekening!H139*$T139</f>
        <v>4.2226206565990583E-2</v>
      </c>
      <c r="V139" s="282">
        <f>Berekening!I139*$T139</f>
        <v>2.6402441037199739E-2</v>
      </c>
      <c r="Y139" s="53">
        <f t="shared" si="20"/>
        <v>63</v>
      </c>
      <c r="Z139" s="6" t="str">
        <f>IF(INVOER!A91=0,"x",INVOER!A91)</f>
        <v>x</v>
      </c>
      <c r="AA139" s="6">
        <f>IF(INVOER!B$29&gt;INVOER!B$30,INVOER!B91,100-INVOER!B91)</f>
        <v>0</v>
      </c>
      <c r="AB139" s="6">
        <f t="shared" si="21"/>
        <v>63</v>
      </c>
      <c r="AC139" s="6">
        <f t="shared" si="16"/>
        <v>0</v>
      </c>
      <c r="AD139" s="54">
        <f>IF(INVOER!A91=0,10000,INVOER!A91)</f>
        <v>10000</v>
      </c>
    </row>
    <row r="140" spans="1:30" x14ac:dyDescent="0.2">
      <c r="A140" s="53">
        <f>A139*Berekening!H$58</f>
        <v>12.47864219074709</v>
      </c>
      <c r="B140" s="6">
        <f t="shared" si="39"/>
        <v>12.197243723699216</v>
      </c>
      <c r="C140" s="182">
        <f t="shared" si="22"/>
        <v>9.7457724096393719</v>
      </c>
      <c r="D140" s="212">
        <f t="shared" si="24"/>
        <v>4.2689599647872611E-2</v>
      </c>
      <c r="E140" s="209">
        <f t="shared" si="40"/>
        <v>4.6447336283716313E-2</v>
      </c>
      <c r="F140" s="53">
        <f t="shared" si="41"/>
        <v>2.5935820824620936E-2</v>
      </c>
      <c r="G140" s="169">
        <f t="shared" si="42"/>
        <v>2.8597495111070421E-2</v>
      </c>
      <c r="H140" s="184">
        <f t="shared" si="43"/>
        <v>4.6447336283716313E-2</v>
      </c>
      <c r="I140" s="192">
        <f t="shared" si="44"/>
        <v>2.8597495111070421E-2</v>
      </c>
      <c r="J140" s="160">
        <f>IF(INVOER!$R$35=1,100-H140*100,100-I140*100)</f>
        <v>97.14025048889296</v>
      </c>
      <c r="K140" s="233">
        <f t="shared" ref="K140:K171" si="47">VLOOKUP(A140,Z$76:AB$146,3)</f>
        <v>1</v>
      </c>
      <c r="L140" s="232">
        <f t="shared" ref="L140:L171" si="48">IF(K140=0,VLOOKUP(1,Y$77:AA$146,2),VLOOKUP(K140,Y$76:Z$145,2))</f>
        <v>10</v>
      </c>
      <c r="M140" s="232">
        <f t="shared" ref="M140:M171" si="49">IF(K140=0,VLOOKUP(2,Y$77:AA$145,2),VLOOKUP(K140+1,Y$77:Z$145,2))</f>
        <v>15</v>
      </c>
      <c r="N140" s="232">
        <f t="shared" ref="N140:N171" si="50">(VLOOKUP(L140,Z$76:AA$146,2))/100</f>
        <v>0.99199999999999999</v>
      </c>
      <c r="O140" s="232">
        <f t="shared" ref="O140:O171" si="51">(VLOOKUP(M140,Z$76:AA$145,2))/100</f>
        <v>0.85199999999999998</v>
      </c>
      <c r="P140" s="45">
        <f t="shared" si="45"/>
        <v>7.3810864638246141</v>
      </c>
      <c r="Q140" s="6">
        <f t="shared" si="46"/>
        <v>19.224549927406461</v>
      </c>
      <c r="R140" s="140">
        <f t="shared" ref="R140:R171" si="52">EXP(-((A140/Q140)^P140))</f>
        <v>0.95965946687179249</v>
      </c>
      <c r="S140" s="232">
        <f t="shared" si="14"/>
        <v>95.965946687179255</v>
      </c>
      <c r="T140" s="248">
        <f t="shared" si="15"/>
        <v>1.1475475277752389</v>
      </c>
      <c r="U140" s="281">
        <f>Berekening!H140*$T140</f>
        <v>5.3300525924123807E-2</v>
      </c>
      <c r="V140" s="282">
        <f>Berekening!I140*$T140</f>
        <v>3.2816984815273342E-2</v>
      </c>
      <c r="Y140" s="53">
        <f t="shared" si="20"/>
        <v>64</v>
      </c>
      <c r="Z140" s="6" t="str">
        <f>IF(INVOER!A92=0,"x",INVOER!A92)</f>
        <v>x</v>
      </c>
      <c r="AA140" s="6">
        <f>IF(INVOER!B$29&gt;INVOER!B$30,INVOER!B92,100-INVOER!B92)</f>
        <v>0</v>
      </c>
      <c r="AB140" s="6">
        <f t="shared" si="21"/>
        <v>64</v>
      </c>
      <c r="AC140" s="6">
        <f t="shared" si="16"/>
        <v>0</v>
      </c>
      <c r="AD140" s="54">
        <f>IF(INVOER!A92=0,10000,INVOER!A92)</f>
        <v>10000</v>
      </c>
    </row>
    <row r="141" spans="1:30" x14ac:dyDescent="0.2">
      <c r="A141" s="55">
        <f>A140*Berekening!H$58</f>
        <v>13.068020570154133</v>
      </c>
      <c r="B141" s="56">
        <f t="shared" si="39"/>
        <v>12.77333138045061</v>
      </c>
      <c r="C141" s="195">
        <f t="shared" ref="C141:C185" si="53">B141/$B$51</f>
        <v>10.206074697425318</v>
      </c>
      <c r="D141" s="213">
        <f t="shared" si="24"/>
        <v>3.8043249400657009E-2</v>
      </c>
      <c r="E141" s="181">
        <f t="shared" si="40"/>
        <v>4.1993106334548877E-2</v>
      </c>
      <c r="F141" s="55">
        <f t="shared" si="41"/>
        <v>2.2695931824458261E-2</v>
      </c>
      <c r="G141" s="196">
        <f t="shared" si="42"/>
        <v>2.5446443061067432E-2</v>
      </c>
      <c r="H141" s="185">
        <f t="shared" si="43"/>
        <v>4.1993106334548877E-2</v>
      </c>
      <c r="I141" s="245">
        <f t="shared" si="44"/>
        <v>2.5446443061067432E-2</v>
      </c>
      <c r="J141" s="253">
        <f>IF(INVOER!$R$35=1,100-H141*100,100-I141*100)</f>
        <v>97.455355693893253</v>
      </c>
      <c r="K141" s="233">
        <f t="shared" si="47"/>
        <v>1</v>
      </c>
      <c r="L141" s="232">
        <f t="shared" si="48"/>
        <v>10</v>
      </c>
      <c r="M141" s="232">
        <f t="shared" si="49"/>
        <v>15</v>
      </c>
      <c r="N141" s="232">
        <f t="shared" si="50"/>
        <v>0.99199999999999999</v>
      </c>
      <c r="O141" s="232">
        <f t="shared" si="51"/>
        <v>0.85199999999999998</v>
      </c>
      <c r="P141" s="45">
        <f t="shared" si="45"/>
        <v>7.3810864638246141</v>
      </c>
      <c r="Q141" s="6">
        <f t="shared" si="46"/>
        <v>19.224549927406461</v>
      </c>
      <c r="R141" s="140">
        <f t="shared" si="52"/>
        <v>0.94375575667914158</v>
      </c>
      <c r="S141" s="232">
        <f t="shared" ref="S141:S186" si="54">R141*100</f>
        <v>94.375575667914163</v>
      </c>
      <c r="T141" s="248">
        <f t="shared" ref="T141:T181" si="55">IF(M141="x",0,(R140-R141)*100)</f>
        <v>1.5903710192650911</v>
      </c>
      <c r="U141" s="283">
        <f>Berekening!H141*$T141</f>
        <v>6.6784619323383851E-2</v>
      </c>
      <c r="V141" s="284">
        <f>Berekening!I141*$T141</f>
        <v>4.0469285587700916E-2</v>
      </c>
      <c r="Y141" s="53">
        <f t="shared" si="20"/>
        <v>65</v>
      </c>
      <c r="Z141" s="6" t="str">
        <f>IF(INVOER!A93=0,"x",INVOER!A93)</f>
        <v>x</v>
      </c>
      <c r="AA141" s="6">
        <f>IF(INVOER!B$29&gt;INVOER!B$30,INVOER!B93,100-INVOER!B93)</f>
        <v>0</v>
      </c>
      <c r="AB141" s="6">
        <f t="shared" si="21"/>
        <v>65</v>
      </c>
      <c r="AC141" s="6">
        <f t="shared" ref="AC141:AC146" si="56">AA141/100</f>
        <v>0</v>
      </c>
      <c r="AD141" s="54">
        <f>IF(INVOER!A93=0,10000,INVOER!A93)</f>
        <v>10000</v>
      </c>
    </row>
    <row r="142" spans="1:30" x14ac:dyDescent="0.2">
      <c r="A142" s="53">
        <f>A141*Berekening!H$58</f>
        <v>13.685235862328017</v>
      </c>
      <c r="B142" s="6">
        <f t="shared" si="39"/>
        <v>13.376628216241075</v>
      </c>
      <c r="C142" s="182">
        <f t="shared" si="53"/>
        <v>10.688117508920953</v>
      </c>
      <c r="D142" s="212">
        <f t="shared" si="24"/>
        <v>3.3770331964281287E-2</v>
      </c>
      <c r="E142" s="209">
        <f t="shared" si="40"/>
        <v>3.7838626460433039E-2</v>
      </c>
      <c r="F142" s="53">
        <f t="shared" si="41"/>
        <v>1.9771060913499814E-2</v>
      </c>
      <c r="G142" s="169">
        <f t="shared" si="42"/>
        <v>2.2554628630795551E-2</v>
      </c>
      <c r="H142" s="184">
        <f t="shared" si="43"/>
        <v>3.7838626460433039E-2</v>
      </c>
      <c r="I142" s="192">
        <f t="shared" si="44"/>
        <v>2.2554628630795551E-2</v>
      </c>
      <c r="J142" s="160">
        <f>IF(INVOER!$R$35=1,100-H142*100,100-I142*100)</f>
        <v>97.744537136920442</v>
      </c>
      <c r="K142" s="301">
        <f t="shared" si="47"/>
        <v>1</v>
      </c>
      <c r="L142" s="269">
        <f t="shared" si="48"/>
        <v>10</v>
      </c>
      <c r="M142" s="269">
        <f t="shared" si="49"/>
        <v>15</v>
      </c>
      <c r="N142" s="269">
        <f t="shared" si="50"/>
        <v>0.99199999999999999</v>
      </c>
      <c r="O142" s="269">
        <f t="shared" si="51"/>
        <v>0.85199999999999998</v>
      </c>
      <c r="P142" s="44">
        <f t="shared" si="45"/>
        <v>7.3810864638246141</v>
      </c>
      <c r="Q142" s="5">
        <f t="shared" si="46"/>
        <v>19.224549927406461</v>
      </c>
      <c r="R142" s="246">
        <f t="shared" si="52"/>
        <v>0.92184242484869494</v>
      </c>
      <c r="S142" s="269">
        <f t="shared" si="54"/>
        <v>92.1842424848695</v>
      </c>
      <c r="T142" s="250">
        <f t="shared" si="55"/>
        <v>2.1913331830446636</v>
      </c>
      <c r="U142" s="281">
        <f>Berekening!H142*$T142</f>
        <v>8.2917037763578769E-2</v>
      </c>
      <c r="V142" s="282">
        <f>Berekening!I142*$T142</f>
        <v>4.942470614991152E-2</v>
      </c>
      <c r="Y142" s="53">
        <f>Y141+1</f>
        <v>66</v>
      </c>
      <c r="Z142" s="6" t="str">
        <f>IF(INVOER!A94=0,"x",INVOER!A94)</f>
        <v>x</v>
      </c>
      <c r="AA142" s="6">
        <f>IF(INVOER!B$29&gt;INVOER!B$30,INVOER!B94,100-INVOER!B94)</f>
        <v>0</v>
      </c>
      <c r="AB142" s="6">
        <f>IF(Z142=0,AB141,Y142)</f>
        <v>66</v>
      </c>
      <c r="AC142" s="6">
        <f t="shared" si="56"/>
        <v>0</v>
      </c>
      <c r="AD142" s="54">
        <f>IF(INVOER!A94=0,10000,INVOER!A94)</f>
        <v>10000</v>
      </c>
    </row>
    <row r="143" spans="1:30" x14ac:dyDescent="0.2">
      <c r="A143" s="53">
        <f>A142*Berekening!H$58</f>
        <v>14.331602831670468</v>
      </c>
      <c r="B143" s="6">
        <f t="shared" si="39"/>
        <v>14.008419346999244</v>
      </c>
      <c r="C143" s="182">
        <f t="shared" si="53"/>
        <v>11.192927670157152</v>
      </c>
      <c r="D143" s="212">
        <f t="shared" si="24"/>
        <v>2.9856301423668824E-2</v>
      </c>
      <c r="E143" s="209">
        <f t="shared" si="40"/>
        <v>3.3976959484121362E-2</v>
      </c>
      <c r="F143" s="53">
        <f t="shared" si="41"/>
        <v>1.714262208957042E-2</v>
      </c>
      <c r="G143" s="169">
        <f t="shared" si="42"/>
        <v>1.9911214574479977E-2</v>
      </c>
      <c r="H143" s="184">
        <f t="shared" si="43"/>
        <v>3.3976959484121362E-2</v>
      </c>
      <c r="I143" s="192">
        <f t="shared" si="44"/>
        <v>1.9911214574479977E-2</v>
      </c>
      <c r="J143" s="160">
        <f>IF(INVOER!$R$35=1,100-H143*100,100-I143*100)</f>
        <v>98.008878542551997</v>
      </c>
      <c r="K143" s="233">
        <f t="shared" si="47"/>
        <v>1</v>
      </c>
      <c r="L143" s="232">
        <f t="shared" si="48"/>
        <v>10</v>
      </c>
      <c r="M143" s="232">
        <f t="shared" si="49"/>
        <v>15</v>
      </c>
      <c r="N143" s="232">
        <f t="shared" si="50"/>
        <v>0.99199999999999999</v>
      </c>
      <c r="O143" s="232">
        <f t="shared" si="51"/>
        <v>0.85199999999999998</v>
      </c>
      <c r="P143" s="45">
        <f t="shared" si="45"/>
        <v>7.3810864638246141</v>
      </c>
      <c r="Q143" s="6">
        <f t="shared" si="46"/>
        <v>19.224549927406461</v>
      </c>
      <c r="R143" s="140">
        <f t="shared" si="52"/>
        <v>0.89189357585378715</v>
      </c>
      <c r="S143" s="232">
        <f t="shared" si="54"/>
        <v>89.189357585378715</v>
      </c>
      <c r="T143" s="248">
        <f t="shared" si="55"/>
        <v>2.9948848994907795</v>
      </c>
      <c r="U143" s="281">
        <f>Berekening!H143*$T143</f>
        <v>0.1017570828896051</v>
      </c>
      <c r="V143" s="282">
        <f>Berekening!I143*$T143</f>
        <v>5.9631795859630812E-2</v>
      </c>
      <c r="Y143" s="53">
        <f>Y142+1</f>
        <v>67</v>
      </c>
      <c r="Z143" s="6" t="str">
        <f>IF(INVOER!A95=0,"x",INVOER!A95)</f>
        <v>x</v>
      </c>
      <c r="AA143" s="6">
        <f>IF(INVOER!B$29&gt;INVOER!B$30,INVOER!B95,100-INVOER!B95)</f>
        <v>0</v>
      </c>
      <c r="AB143" s="6">
        <f>IF(Z143=0,AB142,Y143)</f>
        <v>67</v>
      </c>
      <c r="AC143" s="6">
        <f t="shared" si="56"/>
        <v>0</v>
      </c>
      <c r="AD143" s="54">
        <f>IF(INVOER!A95=0,10000,INVOER!A95)</f>
        <v>10000</v>
      </c>
    </row>
    <row r="144" spans="1:30" x14ac:dyDescent="0.2">
      <c r="A144" s="53">
        <f>A143*Berekening!H$58</f>
        <v>15.008498340181688</v>
      </c>
      <c r="B144" s="6">
        <f t="shared" si="39"/>
        <v>14.670050585926077</v>
      </c>
      <c r="C144" s="182">
        <f t="shared" si="53"/>
        <v>11.721580505154618</v>
      </c>
      <c r="D144" s="212">
        <f t="shared" si="24"/>
        <v>2.6285627297037047E-2</v>
      </c>
      <c r="E144" s="209">
        <f t="shared" si="40"/>
        <v>3.0400131146698723E-2</v>
      </c>
      <c r="F144" s="53">
        <f t="shared" si="41"/>
        <v>1.4791726766400164E-2</v>
      </c>
      <c r="G144" s="169">
        <f t="shared" si="42"/>
        <v>1.7504729706938272E-2</v>
      </c>
      <c r="H144" s="184">
        <f t="shared" si="43"/>
        <v>3.0400131146698723E-2</v>
      </c>
      <c r="I144" s="192">
        <f t="shared" si="44"/>
        <v>1.7504729706938272E-2</v>
      </c>
      <c r="J144" s="160">
        <f>IF(INVOER!$R$35=1,100-H144*100,100-I144*100)</f>
        <v>98.249527029306179</v>
      </c>
      <c r="K144" s="233">
        <f t="shared" si="47"/>
        <v>2</v>
      </c>
      <c r="L144" s="232">
        <f t="shared" si="48"/>
        <v>15</v>
      </c>
      <c r="M144" s="232">
        <f t="shared" si="49"/>
        <v>20</v>
      </c>
      <c r="N144" s="232">
        <f t="shared" si="50"/>
        <v>0.85199999999999998</v>
      </c>
      <c r="O144" s="232">
        <f t="shared" si="51"/>
        <v>0.57499999999999996</v>
      </c>
      <c r="P144" s="45">
        <f t="shared" si="45"/>
        <v>4.3097104427899451</v>
      </c>
      <c r="Q144" s="6">
        <f t="shared" si="46"/>
        <v>22.94332595049125</v>
      </c>
      <c r="R144" s="140">
        <f t="shared" si="52"/>
        <v>0.85166655017069481</v>
      </c>
      <c r="S144" s="232">
        <f t="shared" si="54"/>
        <v>85.166655017069488</v>
      </c>
      <c r="T144" s="248">
        <f t="shared" si="55"/>
        <v>4.0227025683092332</v>
      </c>
      <c r="U144" s="281">
        <f>Berekening!H144*$T144</f>
        <v>0.12229068564076247</v>
      </c>
      <c r="V144" s="282">
        <f>Berekening!I144*$T144</f>
        <v>7.0416321149659525E-2</v>
      </c>
      <c r="Y144" s="53">
        <f>Y143+1</f>
        <v>68</v>
      </c>
      <c r="Z144" s="6" t="str">
        <f>IF(INVOER!A96=0,"x",INVOER!A96)</f>
        <v>x</v>
      </c>
      <c r="AA144" s="6">
        <f>IF(INVOER!B$29&gt;INVOER!B$30,INVOER!B96,100-INVOER!B96)</f>
        <v>0</v>
      </c>
      <c r="AB144" s="6">
        <f>IF(Z144=0,AB143,Y144)</f>
        <v>68</v>
      </c>
      <c r="AC144" s="6">
        <f t="shared" si="56"/>
        <v>0</v>
      </c>
      <c r="AD144" s="54">
        <f>IF(INVOER!A96=0,10000,INVOER!A96)</f>
        <v>10000</v>
      </c>
    </row>
    <row r="145" spans="1:30" x14ac:dyDescent="0.2">
      <c r="A145" s="53">
        <f>A144*Berekening!H$58</f>
        <v>15.717364280390203</v>
      </c>
      <c r="B145" s="6">
        <f t="shared" si="39"/>
        <v>15.362931310285946</v>
      </c>
      <c r="C145" s="182">
        <f t="shared" si="53"/>
        <v>12.275202126531008</v>
      </c>
      <c r="D145" s="212">
        <f t="shared" si="24"/>
        <v>2.3041935108919494E-2</v>
      </c>
      <c r="E145" s="209">
        <f t="shared" si="40"/>
        <v>2.7099204681111419E-2</v>
      </c>
      <c r="F145" s="53">
        <f t="shared" si="41"/>
        <v>1.2699348251746111E-2</v>
      </c>
      <c r="G145" s="169">
        <f t="shared" si="42"/>
        <v>1.5323177637189435E-2</v>
      </c>
      <c r="H145" s="184">
        <f t="shared" si="43"/>
        <v>2.7099204681111419E-2</v>
      </c>
      <c r="I145" s="192">
        <f t="shared" si="44"/>
        <v>1.5323177637189435E-2</v>
      </c>
      <c r="J145" s="160">
        <f>IF(INVOER!$R$35=1,100-H145*100,100-I145*100)</f>
        <v>98.46768223628105</v>
      </c>
      <c r="K145" s="233">
        <f t="shared" si="47"/>
        <v>2</v>
      </c>
      <c r="L145" s="232">
        <f t="shared" si="48"/>
        <v>15</v>
      </c>
      <c r="M145" s="232">
        <f t="shared" si="49"/>
        <v>20</v>
      </c>
      <c r="N145" s="232">
        <f t="shared" si="50"/>
        <v>0.85199999999999998</v>
      </c>
      <c r="O145" s="232">
        <f t="shared" si="51"/>
        <v>0.57499999999999996</v>
      </c>
      <c r="P145" s="45">
        <f t="shared" si="45"/>
        <v>4.3097104427899451</v>
      </c>
      <c r="Q145" s="6">
        <f t="shared" si="46"/>
        <v>22.94332595049125</v>
      </c>
      <c r="R145" s="140">
        <f t="shared" si="52"/>
        <v>0.82210158078000428</v>
      </c>
      <c r="S145" s="232">
        <f t="shared" si="54"/>
        <v>82.210158078000433</v>
      </c>
      <c r="T145" s="248">
        <f t="shared" si="55"/>
        <v>2.9564969390690532</v>
      </c>
      <c r="U145" s="281">
        <f>Berekening!H145*$T145</f>
        <v>8.0118715690911668E-2</v>
      </c>
      <c r="V145" s="282">
        <f>Berekening!I145*$T145</f>
        <v>4.5302927781161934E-2</v>
      </c>
      <c r="Y145" s="53">
        <f>Y144+1</f>
        <v>69</v>
      </c>
      <c r="Z145" s="6" t="str">
        <f>IF(INVOER!A97=0,"x",INVOER!A97)</f>
        <v>x</v>
      </c>
      <c r="AA145" s="6">
        <f>IF(INVOER!B$29&gt;INVOER!B$30,INVOER!B97,100-INVOER!B97)</f>
        <v>0</v>
      </c>
      <c r="AB145" s="6">
        <f>IF(Z145=0,AB144,Y145)</f>
        <v>69</v>
      </c>
      <c r="AC145" s="6">
        <f t="shared" si="56"/>
        <v>0</v>
      </c>
      <c r="AD145" s="54">
        <f>IF(INVOER!A97=0,10000,INVOER!A97)</f>
        <v>10000</v>
      </c>
    </row>
    <row r="146" spans="1:30" x14ac:dyDescent="0.2">
      <c r="A146" s="55">
        <f>A145*Berekening!H$58</f>
        <v>16.459710646807807</v>
      </c>
      <c r="B146" s="56">
        <f t="shared" si="39"/>
        <v>16.088537463599003</v>
      </c>
      <c r="C146" s="195">
        <f t="shared" si="53"/>
        <v>12.854971834295629</v>
      </c>
      <c r="D146" s="213">
        <f t="shared" si="24"/>
        <v>2.0108155585478158E-2</v>
      </c>
      <c r="E146" s="181">
        <f t="shared" si="40"/>
        <v>2.4064365111879839E-2</v>
      </c>
      <c r="F146" s="55">
        <f t="shared" si="41"/>
        <v>1.0846483996592691E-2</v>
      </c>
      <c r="G146" s="196">
        <f t="shared" si="42"/>
        <v>1.3354149474619312E-2</v>
      </c>
      <c r="H146" s="185">
        <f t="shared" si="43"/>
        <v>2.4064365111879839E-2</v>
      </c>
      <c r="I146" s="245">
        <f t="shared" si="44"/>
        <v>1.3354149474619312E-2</v>
      </c>
      <c r="J146" s="160">
        <f>IF(INVOER!$R$35=1,100-H146*100,100-I146*100)</f>
        <v>98.664585052538072</v>
      </c>
      <c r="K146" s="233">
        <f t="shared" si="47"/>
        <v>2</v>
      </c>
      <c r="L146" s="232">
        <f t="shared" si="48"/>
        <v>15</v>
      </c>
      <c r="M146" s="232">
        <f t="shared" si="49"/>
        <v>20</v>
      </c>
      <c r="N146" s="232">
        <f t="shared" si="50"/>
        <v>0.85199999999999998</v>
      </c>
      <c r="O146" s="232">
        <f t="shared" si="51"/>
        <v>0.57499999999999996</v>
      </c>
      <c r="P146" s="45">
        <f t="shared" si="45"/>
        <v>4.3097104427899451</v>
      </c>
      <c r="Q146" s="6">
        <f t="shared" si="46"/>
        <v>22.94332595049125</v>
      </c>
      <c r="R146" s="140">
        <f t="shared" si="52"/>
        <v>0.78741724295533422</v>
      </c>
      <c r="S146" s="232">
        <f t="shared" si="54"/>
        <v>78.741724295533416</v>
      </c>
      <c r="T146" s="248">
        <f t="shared" si="55"/>
        <v>3.4684337824670064</v>
      </c>
      <c r="U146" s="283">
        <f>Berekening!H146*$T146</f>
        <v>8.3465656907664457E-2</v>
      </c>
      <c r="V146" s="284">
        <f>Berekening!I146*$T146</f>
        <v>4.6317983173883644E-2</v>
      </c>
      <c r="Y146" s="53">
        <f>Y145+1</f>
        <v>70</v>
      </c>
      <c r="Z146" s="6" t="str">
        <f>IF(INVOER!A98=0,"x",INVOER!A98)</f>
        <v>x</v>
      </c>
      <c r="AA146" s="6">
        <f>IF(INVOER!B$29&gt;INVOER!B$30,INVOER!B98,100-INVOER!B98)</f>
        <v>0</v>
      </c>
      <c r="AB146" s="6">
        <f>IF(Z146=0,AB145,Y146)</f>
        <v>70</v>
      </c>
      <c r="AC146" s="6">
        <f t="shared" si="56"/>
        <v>0</v>
      </c>
      <c r="AD146" s="54">
        <f>IF(INVOER!A98=0,10000,INVOER!A98)</f>
        <v>10000</v>
      </c>
    </row>
    <row r="147" spans="1:30" x14ac:dyDescent="0.2">
      <c r="A147" s="53">
        <f>A146*Berekening!H$58</f>
        <v>17.237118752452322</v>
      </c>
      <c r="B147" s="6">
        <f t="shared" si="39"/>
        <v>16.848414699630062</v>
      </c>
      <c r="C147" s="182">
        <f t="shared" si="53"/>
        <v>13.462124627941581</v>
      </c>
      <c r="D147" s="212">
        <f t="shared" si="24"/>
        <v>1.7466680266253889E-2</v>
      </c>
      <c r="E147" s="209">
        <f t="shared" si="40"/>
        <v>2.1285012292549008E-2</v>
      </c>
      <c r="F147" s="53">
        <f t="shared" si="41"/>
        <v>9.2143129665655608E-3</v>
      </c>
      <c r="G147" s="169">
        <f t="shared" si="42"/>
        <v>1.158493885224649E-2</v>
      </c>
      <c r="H147" s="184">
        <f t="shared" si="43"/>
        <v>2.1285012292549008E-2</v>
      </c>
      <c r="I147" s="192">
        <f t="shared" si="44"/>
        <v>1.158493885224649E-2</v>
      </c>
      <c r="J147" s="162">
        <f>IF(INVOER!$R$35=1,100-H147*100,100-I147*100)</f>
        <v>98.841506114775356</v>
      </c>
      <c r="K147" s="301">
        <f t="shared" si="47"/>
        <v>2</v>
      </c>
      <c r="L147" s="269">
        <f t="shared" si="48"/>
        <v>15</v>
      </c>
      <c r="M147" s="269">
        <f t="shared" si="49"/>
        <v>20</v>
      </c>
      <c r="N147" s="269">
        <f t="shared" si="50"/>
        <v>0.85199999999999998</v>
      </c>
      <c r="O147" s="269">
        <f t="shared" si="51"/>
        <v>0.57499999999999996</v>
      </c>
      <c r="P147" s="44">
        <f t="shared" si="45"/>
        <v>4.3097104427899451</v>
      </c>
      <c r="Q147" s="5">
        <f t="shared" si="46"/>
        <v>22.94332595049125</v>
      </c>
      <c r="R147" s="246">
        <f t="shared" si="52"/>
        <v>0.74707622771715232</v>
      </c>
      <c r="S147" s="269">
        <f t="shared" si="54"/>
        <v>74.707622771715236</v>
      </c>
      <c r="T147" s="250">
        <f t="shared" si="55"/>
        <v>4.0341015238181903</v>
      </c>
      <c r="U147" s="281">
        <f>Berekening!H147*$T147</f>
        <v>8.5865900523860866E-2</v>
      </c>
      <c r="V147" s="282">
        <f>Berekening!I147*$T147</f>
        <v>4.6734819477188119E-2</v>
      </c>
      <c r="Y147" s="55"/>
      <c r="Z147" s="56"/>
      <c r="AA147" s="56"/>
      <c r="AB147" s="56"/>
      <c r="AC147" s="56"/>
      <c r="AD147" s="60"/>
    </row>
    <row r="148" spans="1:30" x14ac:dyDescent="0.2">
      <c r="A148" s="53">
        <f>A147*Berekening!H$58</f>
        <v>18.051244597289841</v>
      </c>
      <c r="B148" s="6">
        <f t="shared" si="39"/>
        <v>17.644181674871081</v>
      </c>
      <c r="C148" s="182">
        <f t="shared" si="53"/>
        <v>14.097953837186406</v>
      </c>
      <c r="D148" s="212">
        <f t="shared" si="24"/>
        <v>1.5099521144000136E-2</v>
      </c>
      <c r="E148" s="209">
        <f t="shared" si="40"/>
        <v>1.8749861506128482E-2</v>
      </c>
      <c r="F148" s="53">
        <f t="shared" si="41"/>
        <v>7.7843455692970407E-3</v>
      </c>
      <c r="G148" s="169">
        <f t="shared" si="42"/>
        <v>1.0002657539354979E-2</v>
      </c>
      <c r="H148" s="184">
        <f t="shared" si="43"/>
        <v>1.8749861506128482E-2</v>
      </c>
      <c r="I148" s="192">
        <f t="shared" si="44"/>
        <v>1.0002657539354979E-2</v>
      </c>
      <c r="J148" s="160">
        <f>IF(INVOER!$R$35=1,100-H148*100,100-I148*100)</f>
        <v>98.999734246064506</v>
      </c>
      <c r="K148" s="233">
        <f t="shared" si="47"/>
        <v>2</v>
      </c>
      <c r="L148" s="232">
        <f t="shared" si="48"/>
        <v>15</v>
      </c>
      <c r="M148" s="232">
        <f t="shared" si="49"/>
        <v>20</v>
      </c>
      <c r="N148" s="232">
        <f t="shared" si="50"/>
        <v>0.85199999999999998</v>
      </c>
      <c r="O148" s="232">
        <f t="shared" si="51"/>
        <v>0.57499999999999996</v>
      </c>
      <c r="P148" s="45">
        <f t="shared" si="45"/>
        <v>4.3097104427899451</v>
      </c>
      <c r="Q148" s="6">
        <f t="shared" si="46"/>
        <v>22.94332595049125</v>
      </c>
      <c r="R148" s="140">
        <f t="shared" si="52"/>
        <v>0.70064655924127439</v>
      </c>
      <c r="S148" s="232">
        <f t="shared" si="54"/>
        <v>70.064655924127436</v>
      </c>
      <c r="T148" s="248">
        <f t="shared" si="55"/>
        <v>4.6429668475877932</v>
      </c>
      <c r="U148" s="281">
        <f>Berekening!H148*$T148</f>
        <v>8.7054985369817067E-2</v>
      </c>
      <c r="V148" s="282">
        <f>Berekening!I148*$T148</f>
        <v>4.6442007342999261E-2</v>
      </c>
    </row>
    <row r="149" spans="1:30" x14ac:dyDescent="0.2">
      <c r="A149" s="53">
        <f>A148*Berekening!H$58</f>
        <v>18.903822395771765</v>
      </c>
      <c r="B149" s="6">
        <f t="shared" si="39"/>
        <v>18.477533496530803</v>
      </c>
      <c r="C149" s="182">
        <f t="shared" si="53"/>
        <v>14.763813876965203</v>
      </c>
      <c r="D149" s="212">
        <f t="shared" si="24"/>
        <v>1.2988471811792236E-2</v>
      </c>
      <c r="E149" s="209">
        <f t="shared" si="40"/>
        <v>1.6447050283618442E-2</v>
      </c>
      <c r="F149" s="53">
        <f t="shared" si="41"/>
        <v>6.5385637231056039E-3</v>
      </c>
      <c r="G149" s="169">
        <f t="shared" si="42"/>
        <v>8.5943498815110805E-3</v>
      </c>
      <c r="H149" s="184">
        <f t="shared" si="43"/>
        <v>1.6447050283618442E-2</v>
      </c>
      <c r="I149" s="192">
        <f t="shared" si="44"/>
        <v>8.5943498815110805E-3</v>
      </c>
      <c r="J149" s="160">
        <f>IF(INVOER!$R$35=1,100-H149*100,100-I149*100)</f>
        <v>99.140565011848892</v>
      </c>
      <c r="K149" s="233">
        <f t="shared" si="47"/>
        <v>2</v>
      </c>
      <c r="L149" s="232">
        <f t="shared" si="48"/>
        <v>15</v>
      </c>
      <c r="M149" s="232">
        <f t="shared" si="49"/>
        <v>20</v>
      </c>
      <c r="N149" s="232">
        <f t="shared" si="50"/>
        <v>0.85199999999999998</v>
      </c>
      <c r="O149" s="232">
        <f t="shared" si="51"/>
        <v>0.57499999999999996</v>
      </c>
      <c r="P149" s="45">
        <f t="shared" si="45"/>
        <v>4.3097104427899451</v>
      </c>
      <c r="Q149" s="6">
        <f t="shared" si="46"/>
        <v>22.94332595049125</v>
      </c>
      <c r="R149" s="140">
        <f t="shared" si="52"/>
        <v>0.64788988743623876</v>
      </c>
      <c r="S149" s="232">
        <f t="shared" si="54"/>
        <v>64.788988743623875</v>
      </c>
      <c r="T149" s="248">
        <f t="shared" si="55"/>
        <v>5.2756671805035626</v>
      </c>
      <c r="U149" s="281">
        <f>Berekening!H149*$T149</f>
        <v>8.6769163397377627E-2</v>
      </c>
      <c r="V149" s="282">
        <f>Berekening!I149*$T149</f>
        <v>4.5340929607652687E-2</v>
      </c>
    </row>
    <row r="150" spans="1:30" x14ac:dyDescent="0.2">
      <c r="A150" s="53">
        <f>A149*Berekening!H$58</f>
        <v>19.796668270980845</v>
      </c>
      <c r="B150" s="6">
        <f t="shared" si="39"/>
        <v>19.350245333376307</v>
      </c>
      <c r="C150" s="182">
        <f t="shared" si="53"/>
        <v>15.461123132544717</v>
      </c>
      <c r="D150" s="212">
        <f t="shared" si="24"/>
        <v>1.111526752123005E-2</v>
      </c>
      <c r="E150" s="209">
        <f t="shared" si="40"/>
        <v>1.4364249947317413E-2</v>
      </c>
      <c r="F150" s="53">
        <f t="shared" si="41"/>
        <v>5.45954887113152E-3</v>
      </c>
      <c r="G150" s="169">
        <f t="shared" si="42"/>
        <v>7.3471043126761958E-3</v>
      </c>
      <c r="H150" s="184">
        <f t="shared" si="43"/>
        <v>1.4364249947317413E-2</v>
      </c>
      <c r="I150" s="192">
        <f t="shared" si="44"/>
        <v>7.3471043126761958E-3</v>
      </c>
      <c r="J150" s="160">
        <f>IF(INVOER!$R$35=1,100-H150*100,100-I150*100)</f>
        <v>99.265289568732385</v>
      </c>
      <c r="K150" s="233">
        <f t="shared" si="47"/>
        <v>2</v>
      </c>
      <c r="L150" s="232">
        <f t="shared" si="48"/>
        <v>15</v>
      </c>
      <c r="M150" s="232">
        <f t="shared" si="49"/>
        <v>20</v>
      </c>
      <c r="N150" s="232">
        <f t="shared" si="50"/>
        <v>0.85199999999999998</v>
      </c>
      <c r="O150" s="232">
        <f t="shared" si="51"/>
        <v>0.57499999999999996</v>
      </c>
      <c r="P150" s="45">
        <f t="shared" si="45"/>
        <v>4.3097104427899451</v>
      </c>
      <c r="Q150" s="6">
        <f t="shared" si="46"/>
        <v>22.94332595049125</v>
      </c>
      <c r="R150" s="140">
        <f t="shared" si="52"/>
        <v>0.58887379532425954</v>
      </c>
      <c r="S150" s="232">
        <f t="shared" si="54"/>
        <v>58.887379532425953</v>
      </c>
      <c r="T150" s="248">
        <f t="shared" si="55"/>
        <v>5.9016092111979219</v>
      </c>
      <c r="U150" s="281">
        <f>Berekening!H150*$T150</f>
        <v>8.4772189801037706E-2</v>
      </c>
      <c r="V150" s="282">
        <f>Berekening!I150*$T150</f>
        <v>4.3359738487321817E-2</v>
      </c>
    </row>
    <row r="151" spans="1:30" x14ac:dyDescent="0.2">
      <c r="A151" s="55">
        <f>A150*Berekening!H$58</f>
        <v>20.731684123255313</v>
      </c>
      <c r="B151" s="56">
        <f t="shared" si="39"/>
        <v>20.264176197118079</v>
      </c>
      <c r="C151" s="195">
        <f t="shared" si="53"/>
        <v>16.191366980904181</v>
      </c>
      <c r="D151" s="213">
        <f t="shared" si="24"/>
        <v>9.4617415428184543E-3</v>
      </c>
      <c r="E151" s="181">
        <f t="shared" si="40"/>
        <v>1.2488780264337095E-2</v>
      </c>
      <c r="F151" s="55">
        <f t="shared" si="41"/>
        <v>4.530596026480779E-3</v>
      </c>
      <c r="G151" s="196">
        <f t="shared" si="42"/>
        <v>6.2481602334815275E-3</v>
      </c>
      <c r="H151" s="185">
        <f t="shared" si="43"/>
        <v>1.2488780264337095E-2</v>
      </c>
      <c r="I151" s="245">
        <f t="shared" si="44"/>
        <v>6.2481602334815275E-3</v>
      </c>
      <c r="J151" s="253">
        <f>IF(INVOER!$R$35=1,100-H151*100,100-I151*100)</f>
        <v>99.37518397665184</v>
      </c>
      <c r="K151" s="233">
        <f t="shared" si="47"/>
        <v>3</v>
      </c>
      <c r="L151" s="232">
        <f t="shared" si="48"/>
        <v>20</v>
      </c>
      <c r="M151" s="232">
        <f t="shared" si="49"/>
        <v>30</v>
      </c>
      <c r="N151" s="232">
        <f t="shared" si="50"/>
        <v>0.57499999999999996</v>
      </c>
      <c r="O151" s="232">
        <f t="shared" si="51"/>
        <v>0.154</v>
      </c>
      <c r="P151" s="45">
        <f t="shared" si="45"/>
        <v>3.0041264709815292</v>
      </c>
      <c r="Q151" s="6">
        <f t="shared" si="46"/>
        <v>24.353972603848007</v>
      </c>
      <c r="R151" s="140">
        <f t="shared" si="52"/>
        <v>0.53985150545030181</v>
      </c>
      <c r="S151" s="232">
        <f t="shared" si="54"/>
        <v>53.98515054503018</v>
      </c>
      <c r="T151" s="248">
        <f t="shared" si="55"/>
        <v>4.9022289873957732</v>
      </c>
      <c r="U151" s="283">
        <f>Berekening!H151*$T151</f>
        <v>6.1222860629049553E-2</v>
      </c>
      <c r="V151" s="284">
        <f>Berekening!I151*$T151</f>
        <v>3.0629912214466686E-2</v>
      </c>
    </row>
    <row r="152" spans="1:30" x14ac:dyDescent="0.2">
      <c r="A152" s="53">
        <f>A151*Berekening!H$58</f>
        <v>21.710861681531899</v>
      </c>
      <c r="B152" s="6">
        <f t="shared" si="39"/>
        <v>21.221272902393608</v>
      </c>
      <c r="C152" s="182">
        <f t="shared" si="53"/>
        <v>16.956100954818911</v>
      </c>
      <c r="D152" s="212">
        <f t="shared" si="24"/>
        <v>8.0099752732464419E-3</v>
      </c>
      <c r="E152" s="209">
        <f t="shared" si="40"/>
        <v>1.0807725506574157E-2</v>
      </c>
      <c r="F152" s="53">
        <f t="shared" si="41"/>
        <v>3.7358122707842533E-3</v>
      </c>
      <c r="G152" s="169">
        <f t="shared" si="42"/>
        <v>5.2850086421147389E-3</v>
      </c>
      <c r="H152" s="184">
        <f t="shared" si="43"/>
        <v>1.0807725506574157E-2</v>
      </c>
      <c r="I152" s="192">
        <f t="shared" si="44"/>
        <v>5.2850086421147389E-3</v>
      </c>
      <c r="J152" s="160">
        <f>IF(INVOER!$R$35=1,100-H152*100,100-I152*100)</f>
        <v>99.47149913578852</v>
      </c>
      <c r="K152" s="301">
        <f t="shared" si="47"/>
        <v>3</v>
      </c>
      <c r="L152" s="269">
        <f t="shared" si="48"/>
        <v>20</v>
      </c>
      <c r="M152" s="269">
        <f t="shared" si="49"/>
        <v>30</v>
      </c>
      <c r="N152" s="269">
        <f t="shared" si="50"/>
        <v>0.57499999999999996</v>
      </c>
      <c r="O152" s="269">
        <f t="shared" si="51"/>
        <v>0.154</v>
      </c>
      <c r="P152" s="44">
        <f t="shared" si="45"/>
        <v>3.0041264709815292</v>
      </c>
      <c r="Q152" s="5">
        <f t="shared" si="46"/>
        <v>24.353972603848007</v>
      </c>
      <c r="R152" s="246">
        <f t="shared" si="52"/>
        <v>0.49256212940869676</v>
      </c>
      <c r="S152" s="269">
        <f t="shared" si="54"/>
        <v>49.256212940869673</v>
      </c>
      <c r="T152" s="250">
        <f t="shared" si="55"/>
        <v>4.7289376041605049</v>
      </c>
      <c r="U152" s="281">
        <f>Berekening!H152*$T152</f>
        <v>5.1109059563483168E-2</v>
      </c>
      <c r="V152" s="282">
        <f>Berekening!I152*$T152</f>
        <v>2.4992476106009638E-2</v>
      </c>
    </row>
    <row r="153" spans="1:30" x14ac:dyDescent="0.2">
      <c r="A153" s="53">
        <f>A152*Berekening!H$58</f>
        <v>22.736286746037706</v>
      </c>
      <c r="B153" s="6">
        <f t="shared" si="39"/>
        <v>22.223574213784801</v>
      </c>
      <c r="C153" s="182">
        <f t="shared" si="53"/>
        <v>17.756954056386608</v>
      </c>
      <c r="D153" s="212">
        <f t="shared" si="24"/>
        <v>6.7424396558524056E-3</v>
      </c>
      <c r="E153" s="209">
        <f t="shared" si="40"/>
        <v>9.3080501606006075E-3</v>
      </c>
      <c r="F153" s="53">
        <f t="shared" si="41"/>
        <v>3.060198511165995E-3</v>
      </c>
      <c r="G153" s="169">
        <f t="shared" si="42"/>
        <v>4.4454850385644926E-3</v>
      </c>
      <c r="H153" s="184">
        <f t="shared" si="43"/>
        <v>9.3080501606006075E-3</v>
      </c>
      <c r="I153" s="192">
        <f t="shared" si="44"/>
        <v>4.4454850385644926E-3</v>
      </c>
      <c r="J153" s="160">
        <f>IF(INVOER!$R$35=1,100-H153*100,100-I153*100)</f>
        <v>99.555451496143547</v>
      </c>
      <c r="K153" s="233">
        <f t="shared" si="47"/>
        <v>3</v>
      </c>
      <c r="L153" s="232">
        <f t="shared" si="48"/>
        <v>20</v>
      </c>
      <c r="M153" s="232">
        <f t="shared" si="49"/>
        <v>30</v>
      </c>
      <c r="N153" s="232">
        <f t="shared" si="50"/>
        <v>0.57499999999999996</v>
      </c>
      <c r="O153" s="232">
        <f t="shared" si="51"/>
        <v>0.154</v>
      </c>
      <c r="P153" s="45">
        <f t="shared" si="45"/>
        <v>3.0041264709815292</v>
      </c>
      <c r="Q153" s="6">
        <f t="shared" si="46"/>
        <v>24.353972603848007</v>
      </c>
      <c r="R153" s="140">
        <f t="shared" si="52"/>
        <v>0.44332999059506473</v>
      </c>
      <c r="S153" s="232">
        <f t="shared" si="54"/>
        <v>44.33299905950647</v>
      </c>
      <c r="T153" s="248">
        <f t="shared" si="55"/>
        <v>4.9232138813632034</v>
      </c>
      <c r="U153" s="281">
        <f>Berekening!H153*$T153</f>
        <v>4.5825521759093907E-2</v>
      </c>
      <c r="V153" s="282">
        <f>Berekening!I153*$T153</f>
        <v>2.1886073651253144E-2</v>
      </c>
    </row>
    <row r="154" spans="1:30" x14ac:dyDescent="0.2">
      <c r="A154" s="53">
        <f>A153*Berekening!H$58</f>
        <v>23.810143631368533</v>
      </c>
      <c r="B154" s="6">
        <f t="shared" si="39"/>
        <v>23.273215188703119</v>
      </c>
      <c r="C154" s="182">
        <f t="shared" si="53"/>
        <v>18.595632227054782</v>
      </c>
      <c r="D154" s="212">
        <f t="shared" ref="D154:D185" si="57">IF(C154-$K$35&gt;0,EXP(-(((C154-$K$35)/$K$37)^$K$39)),1)</f>
        <v>5.6421256692036244E-3</v>
      </c>
      <c r="E154" s="209">
        <f t="shared" si="40"/>
        <v>7.9767125179486739E-3</v>
      </c>
      <c r="F154" s="53">
        <f t="shared" si="41"/>
        <v>2.4897137169710578E-3</v>
      </c>
      <c r="G154" s="169">
        <f t="shared" si="42"/>
        <v>3.7178532965166399E-3</v>
      </c>
      <c r="H154" s="184">
        <f t="shared" si="43"/>
        <v>7.9767125179486739E-3</v>
      </c>
      <c r="I154" s="192">
        <f t="shared" si="44"/>
        <v>3.7178532965166399E-3</v>
      </c>
      <c r="J154" s="160">
        <f>IF(INVOER!$R$35=1,100-H154*100,100-I154*100)</f>
        <v>99.628214670348342</v>
      </c>
      <c r="K154" s="233">
        <f t="shared" si="47"/>
        <v>3</v>
      </c>
      <c r="L154" s="232">
        <f t="shared" si="48"/>
        <v>20</v>
      </c>
      <c r="M154" s="232">
        <f t="shared" si="49"/>
        <v>30</v>
      </c>
      <c r="N154" s="232">
        <f t="shared" si="50"/>
        <v>0.57499999999999996</v>
      </c>
      <c r="O154" s="232">
        <f t="shared" si="51"/>
        <v>0.154</v>
      </c>
      <c r="P154" s="45">
        <f t="shared" si="45"/>
        <v>3.0041264709815292</v>
      </c>
      <c r="Q154" s="6">
        <f t="shared" si="46"/>
        <v>24.353972603848007</v>
      </c>
      <c r="R154" s="140">
        <f t="shared" si="52"/>
        <v>0.3928186945558742</v>
      </c>
      <c r="S154" s="232">
        <f t="shared" si="54"/>
        <v>39.281869455587419</v>
      </c>
      <c r="T154" s="248">
        <f t="shared" si="55"/>
        <v>5.0511296039190521</v>
      </c>
      <c r="U154" s="281">
        <f>Berekening!H154*$T154</f>
        <v>4.0291408741362229E-2</v>
      </c>
      <c r="V154" s="282">
        <f>Berekening!I154*$T154</f>
        <v>1.8779358849063236E-2</v>
      </c>
    </row>
    <row r="155" spans="1:30" x14ac:dyDescent="0.2">
      <c r="A155" s="53">
        <f>A154*Berekening!H$58</f>
        <v>24.934719819418103</v>
      </c>
      <c r="B155" s="6">
        <f t="shared" si="39"/>
        <v>24.372431725393319</v>
      </c>
      <c r="C155" s="182">
        <f t="shared" si="53"/>
        <v>19.473921981540865</v>
      </c>
      <c r="D155" s="212">
        <f t="shared" si="57"/>
        <v>4.6926618909896717E-3</v>
      </c>
      <c r="E155" s="209">
        <f t="shared" si="40"/>
        <v>6.8007744053992965E-3</v>
      </c>
      <c r="F155" s="53">
        <f t="shared" si="41"/>
        <v>2.0113212939388302E-3</v>
      </c>
      <c r="G155" s="169">
        <f t="shared" si="42"/>
        <v>3.0908794057872392E-3</v>
      </c>
      <c r="H155" s="184">
        <f t="shared" si="43"/>
        <v>6.8007744053992965E-3</v>
      </c>
      <c r="I155" s="192">
        <f t="shared" si="44"/>
        <v>3.0908794057872392E-3</v>
      </c>
      <c r="J155" s="160">
        <f>IF(INVOER!$R$35=1,100-H155*100,100-I155*100)</f>
        <v>99.690912059421279</v>
      </c>
      <c r="K155" s="233">
        <f t="shared" si="47"/>
        <v>3</v>
      </c>
      <c r="L155" s="232">
        <f t="shared" si="48"/>
        <v>20</v>
      </c>
      <c r="M155" s="232">
        <f t="shared" si="49"/>
        <v>30</v>
      </c>
      <c r="N155" s="232">
        <f t="shared" si="50"/>
        <v>0.57499999999999996</v>
      </c>
      <c r="O155" s="232">
        <f t="shared" si="51"/>
        <v>0.154</v>
      </c>
      <c r="P155" s="45">
        <f t="shared" si="45"/>
        <v>3.0041264709815292</v>
      </c>
      <c r="Q155" s="6">
        <f t="shared" si="46"/>
        <v>24.353972603848007</v>
      </c>
      <c r="R155" s="140">
        <f t="shared" si="52"/>
        <v>0.34185721227562177</v>
      </c>
      <c r="S155" s="232">
        <f t="shared" si="54"/>
        <v>34.185721227562176</v>
      </c>
      <c r="T155" s="248">
        <f t="shared" si="55"/>
        <v>5.0961482280252435</v>
      </c>
      <c r="U155" s="281">
        <f>Berekening!H155*$T155</f>
        <v>3.4657754435275051E-2</v>
      </c>
      <c r="V155" s="282">
        <f>Berekening!I155*$T155</f>
        <v>1.5751579606842356E-2</v>
      </c>
    </row>
    <row r="156" spans="1:30" x14ac:dyDescent="0.2">
      <c r="A156" s="55">
        <f>A155*Berekening!H$58</f>
        <v>26.112410832069653</v>
      </c>
      <c r="B156" s="56">
        <f t="shared" si="39"/>
        <v>25.523565325743878</v>
      </c>
      <c r="C156" s="195">
        <f t="shared" si="53"/>
        <v>20.393694213385952</v>
      </c>
      <c r="D156" s="213">
        <f t="shared" si="57"/>
        <v>3.8784174542532768E-3</v>
      </c>
      <c r="E156" s="181">
        <f t="shared" si="40"/>
        <v>5.7675053871656086E-3</v>
      </c>
      <c r="F156" s="55">
        <f t="shared" si="41"/>
        <v>1.6130176947528438E-3</v>
      </c>
      <c r="G156" s="196">
        <f t="shared" si="42"/>
        <v>2.5538942261306191E-3</v>
      </c>
      <c r="H156" s="185">
        <f t="shared" si="43"/>
        <v>5.7675053871656086E-3</v>
      </c>
      <c r="I156" s="245">
        <f t="shared" si="44"/>
        <v>2.5538942261306191E-3</v>
      </c>
      <c r="J156" s="160">
        <f>IF(INVOER!$R$35=1,100-H156*100,100-I156*100)</f>
        <v>99.744610577386936</v>
      </c>
      <c r="K156" s="233">
        <f t="shared" si="47"/>
        <v>3</v>
      </c>
      <c r="L156" s="232">
        <f t="shared" si="48"/>
        <v>20</v>
      </c>
      <c r="M156" s="232">
        <f t="shared" si="49"/>
        <v>30</v>
      </c>
      <c r="N156" s="232">
        <f t="shared" si="50"/>
        <v>0.57499999999999996</v>
      </c>
      <c r="O156" s="232">
        <f t="shared" si="51"/>
        <v>0.154</v>
      </c>
      <c r="P156" s="45">
        <f t="shared" si="45"/>
        <v>3.0041264709815292</v>
      </c>
      <c r="Q156" s="6">
        <f t="shared" si="46"/>
        <v>24.353972603848007</v>
      </c>
      <c r="R156" s="140">
        <f t="shared" si="52"/>
        <v>0.29142253106221733</v>
      </c>
      <c r="S156" s="232">
        <f t="shared" si="54"/>
        <v>29.142253106221734</v>
      </c>
      <c r="T156" s="248">
        <f t="shared" si="55"/>
        <v>5.0434681213404442</v>
      </c>
      <c r="U156" s="283">
        <f>Berekening!H156*$T156</f>
        <v>2.9088229559829024E-2</v>
      </c>
      <c r="V156" s="284">
        <f>Berekening!I156*$T156</f>
        <v>1.2880484114765202E-2</v>
      </c>
    </row>
    <row r="157" spans="1:30" x14ac:dyDescent="0.2">
      <c r="A157" s="53">
        <f>A156*Berekening!H$58</f>
        <v>27.345725334029478</v>
      </c>
      <c r="B157" s="6">
        <f t="shared" si="39"/>
        <v>26.729068083049565</v>
      </c>
      <c r="C157" s="182">
        <f t="shared" si="53"/>
        <v>21.356908180248524</v>
      </c>
      <c r="D157" s="212">
        <f t="shared" si="57"/>
        <v>3.1845890717270122E-3</v>
      </c>
      <c r="E157" s="209">
        <f t="shared" si="40"/>
        <v>4.8644798858991593E-3</v>
      </c>
      <c r="F157" s="53">
        <f t="shared" si="41"/>
        <v>1.2838437953695734E-3</v>
      </c>
      <c r="G157" s="169">
        <f t="shared" si="42"/>
        <v>2.0968446535759139E-3</v>
      </c>
      <c r="H157" s="184">
        <f t="shared" si="43"/>
        <v>4.8644798858991593E-3</v>
      </c>
      <c r="I157" s="192">
        <f t="shared" si="44"/>
        <v>2.0968446535759139E-3</v>
      </c>
      <c r="J157" s="162">
        <f>IF(INVOER!$R$35=1,100-H157*100,100-I157*100)</f>
        <v>99.790315534642403</v>
      </c>
      <c r="K157" s="301">
        <f t="shared" si="47"/>
        <v>3</v>
      </c>
      <c r="L157" s="269">
        <f t="shared" si="48"/>
        <v>20</v>
      </c>
      <c r="M157" s="269">
        <f t="shared" si="49"/>
        <v>30</v>
      </c>
      <c r="N157" s="269">
        <f t="shared" si="50"/>
        <v>0.57499999999999996</v>
      </c>
      <c r="O157" s="269">
        <f t="shared" si="51"/>
        <v>0.154</v>
      </c>
      <c r="P157" s="44">
        <f t="shared" si="45"/>
        <v>3.0041264709815292</v>
      </c>
      <c r="Q157" s="5">
        <f t="shared" si="46"/>
        <v>24.353972603848007</v>
      </c>
      <c r="R157" s="246">
        <f t="shared" si="52"/>
        <v>0.24260108293193194</v>
      </c>
      <c r="S157" s="269">
        <f t="shared" si="54"/>
        <v>24.260108293193195</v>
      </c>
      <c r="T157" s="250">
        <f t="shared" si="55"/>
        <v>4.8821448130285381</v>
      </c>
      <c r="U157" s="281">
        <f>Berekening!H157*$T157</f>
        <v>2.3749095243024234E-2</v>
      </c>
      <c r="V157" s="282">
        <f>Berekening!I157*$T157</f>
        <v>1.023709924918227E-2</v>
      </c>
    </row>
    <row r="158" spans="1:30" x14ac:dyDescent="0.2">
      <c r="A158" s="53">
        <f>A157*Berekening!H$58</f>
        <v>28.637290476672252</v>
      </c>
      <c r="B158" s="6">
        <f t="shared" si="39"/>
        <v>27.991507905350865</v>
      </c>
      <c r="C158" s="182">
        <f t="shared" si="53"/>
        <v>22.365615677427456</v>
      </c>
      <c r="D158" s="212">
        <f t="shared" si="57"/>
        <v>2.5972712007437631E-3</v>
      </c>
      <c r="E158" s="209">
        <f t="shared" si="40"/>
        <v>4.0796658253092364E-3</v>
      </c>
      <c r="F158" s="53">
        <f t="shared" si="41"/>
        <v>1.0138799706678695E-3</v>
      </c>
      <c r="G158" s="169">
        <f t="shared" si="42"/>
        <v>1.7103328750296767E-3</v>
      </c>
      <c r="H158" s="184">
        <f t="shared" si="43"/>
        <v>4.0796658253092364E-3</v>
      </c>
      <c r="I158" s="192">
        <f t="shared" si="44"/>
        <v>1.7103328750296767E-3</v>
      </c>
      <c r="J158" s="160">
        <f>IF(INVOER!$R$35=1,100-H158*100,100-I158*100)</f>
        <v>99.828966712497035</v>
      </c>
      <c r="K158" s="233">
        <f t="shared" si="47"/>
        <v>3</v>
      </c>
      <c r="L158" s="232">
        <f t="shared" si="48"/>
        <v>20</v>
      </c>
      <c r="M158" s="232">
        <f t="shared" si="49"/>
        <v>30</v>
      </c>
      <c r="N158" s="232">
        <f t="shared" si="50"/>
        <v>0.57499999999999996</v>
      </c>
      <c r="O158" s="232">
        <f t="shared" si="51"/>
        <v>0.154</v>
      </c>
      <c r="P158" s="45">
        <f t="shared" si="45"/>
        <v>3.0041264709815292</v>
      </c>
      <c r="Q158" s="6">
        <f t="shared" si="46"/>
        <v>24.353972603848007</v>
      </c>
      <c r="R158" s="140">
        <f t="shared" si="52"/>
        <v>0.19652624893525888</v>
      </c>
      <c r="S158" s="232">
        <f t="shared" si="54"/>
        <v>19.652624893525889</v>
      </c>
      <c r="T158" s="248">
        <f t="shared" si="55"/>
        <v>4.6074833996673057</v>
      </c>
      <c r="U158" s="281">
        <f>Berekening!H158*$T158</f>
        <v>1.8796992566302326E-2</v>
      </c>
      <c r="V158" s="282">
        <f>Berekening!I158*$T158</f>
        <v>7.8803303296044926E-3</v>
      </c>
    </row>
    <row r="159" spans="1:30" x14ac:dyDescent="0.2">
      <c r="A159" s="53">
        <f>A158*Berekening!H$58</f>
        <v>29.989857494281349</v>
      </c>
      <c r="B159" s="6">
        <f t="shared" si="39"/>
        <v>29.3135739854768</v>
      </c>
      <c r="C159" s="182">
        <f t="shared" si="53"/>
        <v>23.421965408504548</v>
      </c>
      <c r="D159" s="212">
        <f t="shared" si="57"/>
        <v>2.1035088429036219E-3</v>
      </c>
      <c r="E159" s="209">
        <f t="shared" si="40"/>
        <v>3.4015035903937063E-3</v>
      </c>
      <c r="F159" s="53">
        <f t="shared" si="41"/>
        <v>7.9422616610979788E-4</v>
      </c>
      <c r="G159" s="169">
        <f t="shared" si="42"/>
        <v>1.3856436668564778E-3</v>
      </c>
      <c r="H159" s="184">
        <f t="shared" si="43"/>
        <v>3.4015035903937063E-3</v>
      </c>
      <c r="I159" s="192">
        <f t="shared" si="44"/>
        <v>1.3856436668564778E-3</v>
      </c>
      <c r="J159" s="160">
        <f>IF(INVOER!$R$35=1,100-H159*100,100-I159*100)</f>
        <v>99.861435633314358</v>
      </c>
      <c r="K159" s="233">
        <f t="shared" si="47"/>
        <v>3</v>
      </c>
      <c r="L159" s="232">
        <f t="shared" si="48"/>
        <v>20</v>
      </c>
      <c r="M159" s="232">
        <f t="shared" si="49"/>
        <v>30</v>
      </c>
      <c r="N159" s="232">
        <f t="shared" si="50"/>
        <v>0.57499999999999996</v>
      </c>
      <c r="O159" s="232">
        <f t="shared" si="51"/>
        <v>0.154</v>
      </c>
      <c r="P159" s="45">
        <f t="shared" si="45"/>
        <v>3.0041264709815292</v>
      </c>
      <c r="Q159" s="6">
        <f t="shared" si="46"/>
        <v>24.353972603848007</v>
      </c>
      <c r="R159" s="140">
        <f t="shared" si="52"/>
        <v>0.15429279004343111</v>
      </c>
      <c r="S159" s="232">
        <f t="shared" si="54"/>
        <v>15.42927900434311</v>
      </c>
      <c r="T159" s="248">
        <f t="shared" si="55"/>
        <v>4.2233458891827782</v>
      </c>
      <c r="U159" s="281">
        <f>Berekening!H159*$T159</f>
        <v>1.4365726205529721E-2</v>
      </c>
      <c r="V159" s="282">
        <f>Berekening!I159*$T159</f>
        <v>5.8520524842904566E-3</v>
      </c>
    </row>
    <row r="160" spans="1:30" x14ac:dyDescent="0.2">
      <c r="A160" s="53">
        <f>A159*Berekening!H$58</f>
        <v>31.406307564605022</v>
      </c>
      <c r="B160" s="6">
        <f t="shared" si="39"/>
        <v>30.698082529443184</v>
      </c>
      <c r="C160" s="182">
        <f t="shared" si="53"/>
        <v>24.528207562416785</v>
      </c>
      <c r="D160" s="212">
        <f t="shared" si="57"/>
        <v>1.6913329050008796E-3</v>
      </c>
      <c r="E160" s="209">
        <f t="shared" si="40"/>
        <v>2.8189743268252207E-3</v>
      </c>
      <c r="F160" s="53">
        <f t="shared" si="41"/>
        <v>6.1696857127728358E-4</v>
      </c>
      <c r="G160" s="169">
        <f t="shared" si="42"/>
        <v>1.1147599692042998E-3</v>
      </c>
      <c r="H160" s="184">
        <f t="shared" si="43"/>
        <v>2.8189743268252207E-3</v>
      </c>
      <c r="I160" s="192">
        <f t="shared" si="44"/>
        <v>1.1147599692042998E-3</v>
      </c>
      <c r="J160" s="160">
        <f>IF(INVOER!$R$35=1,100-H160*100,100-I160*100)</f>
        <v>99.888524003079567</v>
      </c>
      <c r="K160" s="233">
        <f t="shared" si="47"/>
        <v>4</v>
      </c>
      <c r="L160" s="232">
        <f t="shared" si="48"/>
        <v>30</v>
      </c>
      <c r="M160" s="232">
        <f t="shared" si="49"/>
        <v>40</v>
      </c>
      <c r="N160" s="232">
        <f t="shared" si="50"/>
        <v>0.154</v>
      </c>
      <c r="O160" s="232">
        <f t="shared" si="51"/>
        <v>0.1</v>
      </c>
      <c r="P160" s="45">
        <f t="shared" si="45"/>
        <v>0.7218554354171729</v>
      </c>
      <c r="Q160" s="6">
        <f t="shared" si="46"/>
        <v>12.597249781110918</v>
      </c>
      <c r="R160" s="140">
        <f t="shared" si="52"/>
        <v>0.14461172380134835</v>
      </c>
      <c r="S160" s="232">
        <f t="shared" si="54"/>
        <v>14.461172380134835</v>
      </c>
      <c r="T160" s="248">
        <f t="shared" si="55"/>
        <v>0.96810662420827587</v>
      </c>
      <c r="U160" s="281">
        <f>Berekening!H160*$T160</f>
        <v>2.7290677192725612E-3</v>
      </c>
      <c r="V160" s="282">
        <f>Berekening!I160*$T160</f>
        <v>1.0792065105888963E-3</v>
      </c>
    </row>
    <row r="161" spans="1:22" x14ac:dyDescent="0.2">
      <c r="A161" s="55">
        <f>A160*Berekening!H$58</f>
        <v>32.889657946212353</v>
      </c>
      <c r="B161" s="56">
        <f t="shared" si="39"/>
        <v>32.147982755408691</v>
      </c>
      <c r="C161" s="195">
        <f t="shared" si="53"/>
        <v>25.686698606708145</v>
      </c>
      <c r="D161" s="213">
        <f t="shared" si="57"/>
        <v>1.3497784753696885E-3</v>
      </c>
      <c r="E161" s="181">
        <f t="shared" si="40"/>
        <v>2.3216568525101203E-3</v>
      </c>
      <c r="F161" s="55">
        <f t="shared" si="41"/>
        <v>4.7513474573542799E-4</v>
      </c>
      <c r="G161" s="196">
        <f t="shared" si="42"/>
        <v>8.9036723065018968E-4</v>
      </c>
      <c r="H161" s="185">
        <f t="shared" si="43"/>
        <v>2.3216568525101203E-3</v>
      </c>
      <c r="I161" s="245">
        <f t="shared" si="44"/>
        <v>8.9036723065018968E-4</v>
      </c>
      <c r="J161" s="253">
        <f>IF(INVOER!$R$35=1,100-H161*100,100-I161*100)</f>
        <v>99.910963276934979</v>
      </c>
      <c r="K161" s="233">
        <f t="shared" si="47"/>
        <v>4</v>
      </c>
      <c r="L161" s="232">
        <f t="shared" si="48"/>
        <v>30</v>
      </c>
      <c r="M161" s="232">
        <f t="shared" si="49"/>
        <v>40</v>
      </c>
      <c r="N161" s="232">
        <f t="shared" si="50"/>
        <v>0.154</v>
      </c>
      <c r="O161" s="232">
        <f t="shared" si="51"/>
        <v>0.1</v>
      </c>
      <c r="P161" s="45">
        <f t="shared" si="45"/>
        <v>0.7218554354171729</v>
      </c>
      <c r="Q161" s="6">
        <f t="shared" si="46"/>
        <v>12.597249781110918</v>
      </c>
      <c r="R161" s="140">
        <f t="shared" si="52"/>
        <v>0.13544279948777929</v>
      </c>
      <c r="S161" s="232">
        <f t="shared" si="54"/>
        <v>13.544279948777929</v>
      </c>
      <c r="T161" s="248">
        <f t="shared" si="55"/>
        <v>0.91689243135690546</v>
      </c>
      <c r="U161" s="283">
        <f>Berekening!H161*$T161</f>
        <v>2.1287095962744247E-3</v>
      </c>
      <c r="V161" s="284">
        <f>Berekening!I161*$T161</f>
        <v>8.1637097491136709E-4</v>
      </c>
    </row>
    <row r="162" spans="1:22" x14ac:dyDescent="0.2">
      <c r="A162" s="53">
        <f>A161*Berekening!H$58</f>
        <v>34.443068405722457</v>
      </c>
      <c r="B162" s="6">
        <f t="shared" si="39"/>
        <v>33.666363175967405</v>
      </c>
      <c r="C162" s="182">
        <f t="shared" si="53"/>
        <v>26.899906307171296</v>
      </c>
      <c r="D162" s="212">
        <f t="shared" si="57"/>
        <v>1.0688867773738476E-3</v>
      </c>
      <c r="E162" s="209">
        <f t="shared" si="40"/>
        <v>1.8997727241121924E-3</v>
      </c>
      <c r="F162" s="53">
        <f t="shared" si="41"/>
        <v>3.626392200335549E-4</v>
      </c>
      <c r="G162" s="169">
        <f t="shared" si="42"/>
        <v>7.0584725838441966E-4</v>
      </c>
      <c r="H162" s="184">
        <f t="shared" si="43"/>
        <v>1.8997727241121924E-3</v>
      </c>
      <c r="I162" s="192">
        <f t="shared" si="44"/>
        <v>7.0584725838441966E-4</v>
      </c>
      <c r="J162" s="160">
        <f>IF(INVOER!$R$35=1,100-H162*100,100-I162*100)</f>
        <v>99.929415274161556</v>
      </c>
      <c r="K162" s="301">
        <f t="shared" si="47"/>
        <v>4</v>
      </c>
      <c r="L162" s="269">
        <f t="shared" si="48"/>
        <v>30</v>
      </c>
      <c r="M162" s="269">
        <f t="shared" si="49"/>
        <v>40</v>
      </c>
      <c r="N162" s="269">
        <f t="shared" si="50"/>
        <v>0.154</v>
      </c>
      <c r="O162" s="269">
        <f t="shared" si="51"/>
        <v>0.1</v>
      </c>
      <c r="P162" s="44">
        <f t="shared" si="45"/>
        <v>0.7218554354171729</v>
      </c>
      <c r="Q162" s="5">
        <f t="shared" si="46"/>
        <v>12.597249781110918</v>
      </c>
      <c r="R162" s="246">
        <f t="shared" si="52"/>
        <v>0.12657405578380773</v>
      </c>
      <c r="S162" s="269">
        <f t="shared" si="54"/>
        <v>12.657405578380773</v>
      </c>
      <c r="T162" s="250">
        <f t="shared" si="55"/>
        <v>0.886874370397156</v>
      </c>
      <c r="U162" s="281">
        <f>Berekening!H162*$T162</f>
        <v>1.6848597385946905E-3</v>
      </c>
      <c r="V162" s="282">
        <f>Berekening!I162*$T162</f>
        <v>6.2599784287624091E-4</v>
      </c>
    </row>
    <row r="163" spans="1:22" x14ac:dyDescent="0.2">
      <c r="A163" s="53">
        <f>A162*Berekening!H$58</f>
        <v>36.069847948597968</v>
      </c>
      <c r="B163" s="6">
        <f t="shared" si="39"/>
        <v>35.256458177160212</v>
      </c>
      <c r="C163" s="182">
        <f t="shared" si="53"/>
        <v>28.170414984571938</v>
      </c>
      <c r="D163" s="212">
        <f t="shared" si="57"/>
        <v>8.3969193442296917E-4</v>
      </c>
      <c r="E163" s="209">
        <f t="shared" si="40"/>
        <v>1.5442192808422816E-3</v>
      </c>
      <c r="F163" s="53">
        <f t="shared" si="41"/>
        <v>2.7422169055441834E-4</v>
      </c>
      <c r="G163" s="169">
        <f t="shared" si="42"/>
        <v>5.5526251955217228E-4</v>
      </c>
      <c r="H163" s="184">
        <f t="shared" si="43"/>
        <v>1.5442192808422816E-3</v>
      </c>
      <c r="I163" s="192">
        <f t="shared" si="44"/>
        <v>5.5526251955217228E-4</v>
      </c>
      <c r="J163" s="160">
        <f>IF(INVOER!$R$35=1,100-H163*100,100-I163*100)</f>
        <v>99.944473748044786</v>
      </c>
      <c r="K163" s="233">
        <f t="shared" si="47"/>
        <v>4</v>
      </c>
      <c r="L163" s="232">
        <f t="shared" si="48"/>
        <v>30</v>
      </c>
      <c r="M163" s="232">
        <f t="shared" si="49"/>
        <v>40</v>
      </c>
      <c r="N163" s="232">
        <f t="shared" si="50"/>
        <v>0.154</v>
      </c>
      <c r="O163" s="232">
        <f t="shared" si="51"/>
        <v>0.1</v>
      </c>
      <c r="P163" s="45">
        <f t="shared" si="45"/>
        <v>0.7218554354171729</v>
      </c>
      <c r="Q163" s="6">
        <f t="shared" si="46"/>
        <v>12.597249781110918</v>
      </c>
      <c r="R163" s="140">
        <f t="shared" si="52"/>
        <v>0.11801499276092733</v>
      </c>
      <c r="S163" s="232">
        <f t="shared" si="54"/>
        <v>11.801499276092734</v>
      </c>
      <c r="T163" s="248">
        <f t="shared" si="55"/>
        <v>0.85590630228803977</v>
      </c>
      <c r="U163" s="281">
        <f>Berekening!H163*$T163</f>
        <v>1.3217070145876133E-3</v>
      </c>
      <c r="V163" s="282">
        <f>Berekening!I163*$T163</f>
        <v>4.7525268990904017E-4</v>
      </c>
    </row>
    <row r="164" spans="1:22" x14ac:dyDescent="0.2">
      <c r="A164" s="53">
        <f>A163*Berekening!H$58</f>
        <v>37.773461867840439</v>
      </c>
      <c r="B164" s="6">
        <f t="shared" si="39"/>
        <v>36.921654908219203</v>
      </c>
      <c r="C164" s="182">
        <f t="shared" si="53"/>
        <v>29.500931019653223</v>
      </c>
      <c r="D164" s="212">
        <f t="shared" si="57"/>
        <v>6.5419400519255199E-4</v>
      </c>
      <c r="E164" s="209">
        <f t="shared" si="40"/>
        <v>1.2465907678787373E-3</v>
      </c>
      <c r="F164" s="53">
        <f t="shared" si="41"/>
        <v>2.0537994577167213E-4</v>
      </c>
      <c r="G164" s="169">
        <f t="shared" si="42"/>
        <v>4.3333201269744155E-4</v>
      </c>
      <c r="H164" s="184">
        <f t="shared" si="43"/>
        <v>1.2465907678787373E-3</v>
      </c>
      <c r="I164" s="192">
        <f t="shared" si="44"/>
        <v>4.3333201269744155E-4</v>
      </c>
      <c r="J164" s="160">
        <f>IF(INVOER!$R$35=1,100-H164*100,100-I164*100)</f>
        <v>99.956666798730254</v>
      </c>
      <c r="K164" s="233">
        <f t="shared" si="47"/>
        <v>4</v>
      </c>
      <c r="L164" s="232">
        <f t="shared" si="48"/>
        <v>30</v>
      </c>
      <c r="M164" s="232">
        <f t="shared" si="49"/>
        <v>40</v>
      </c>
      <c r="N164" s="232">
        <f t="shared" si="50"/>
        <v>0.154</v>
      </c>
      <c r="O164" s="232">
        <f t="shared" si="51"/>
        <v>0.1</v>
      </c>
      <c r="P164" s="45">
        <f t="shared" si="45"/>
        <v>0.7218554354171729</v>
      </c>
      <c r="Q164" s="6">
        <f t="shared" si="46"/>
        <v>12.597249781110918</v>
      </c>
      <c r="R164" s="140">
        <f t="shared" si="52"/>
        <v>0.1097740371159459</v>
      </c>
      <c r="S164" s="232">
        <f t="shared" si="54"/>
        <v>10.97740371159459</v>
      </c>
      <c r="T164" s="248">
        <f t="shared" si="55"/>
        <v>0.82409556449814381</v>
      </c>
      <c r="U164" s="281">
        <f>Berekening!H164*$T164</f>
        <v>1.0273099225532026E-3</v>
      </c>
      <c r="V164" s="282">
        <f>Berekening!I164*$T164</f>
        <v>3.5710698961901493E-4</v>
      </c>
    </row>
    <row r="165" spans="1:22" x14ac:dyDescent="0.2">
      <c r="A165" s="53">
        <f>A164*Berekening!H$58</f>
        <v>39.55753912560246</v>
      </c>
      <c r="B165" s="6">
        <f t="shared" si="39"/>
        <v>38.66550049672145</v>
      </c>
      <c r="C165" s="182">
        <f t="shared" si="53"/>
        <v>30.894288618146977</v>
      </c>
      <c r="D165" s="212">
        <f t="shared" si="57"/>
        <v>5.0532001229708628E-4</v>
      </c>
      <c r="E165" s="209">
        <f t="shared" si="40"/>
        <v>9.9918791300425327E-4</v>
      </c>
      <c r="F165" s="53">
        <f t="shared" si="41"/>
        <v>1.5229960634788862E-4</v>
      </c>
      <c r="G165" s="169">
        <f t="shared" si="42"/>
        <v>3.3539995926862802E-4</v>
      </c>
      <c r="H165" s="184">
        <f t="shared" si="43"/>
        <v>9.9918791300425327E-4</v>
      </c>
      <c r="I165" s="192">
        <f t="shared" si="44"/>
        <v>3.3539995926862802E-4</v>
      </c>
      <c r="J165" s="160">
        <f>IF(INVOER!$R$35=1,100-H165*100,100-I165*100)</f>
        <v>99.966460004073141</v>
      </c>
      <c r="K165" s="233">
        <f t="shared" si="47"/>
        <v>4</v>
      </c>
      <c r="L165" s="232">
        <f t="shared" si="48"/>
        <v>30</v>
      </c>
      <c r="M165" s="232">
        <f t="shared" si="49"/>
        <v>40</v>
      </c>
      <c r="N165" s="232">
        <f t="shared" si="50"/>
        <v>0.154</v>
      </c>
      <c r="O165" s="232">
        <f t="shared" si="51"/>
        <v>0.1</v>
      </c>
      <c r="P165" s="45">
        <f t="shared" si="45"/>
        <v>0.7218554354171729</v>
      </c>
      <c r="Q165" s="6">
        <f t="shared" si="46"/>
        <v>12.597249781110918</v>
      </c>
      <c r="R165" s="140">
        <f t="shared" si="52"/>
        <v>0.10185847304206426</v>
      </c>
      <c r="S165" s="232">
        <f t="shared" si="54"/>
        <v>10.185847304206426</v>
      </c>
      <c r="T165" s="248">
        <f t="shared" si="55"/>
        <v>0.79155640738816369</v>
      </c>
      <c r="U165" s="281">
        <f>Berekening!H165*$T165</f>
        <v>7.9091359472332372E-4</v>
      </c>
      <c r="V165" s="282">
        <f>Berekening!I165*$T165</f>
        <v>2.6548798679681165E-4</v>
      </c>
    </row>
    <row r="166" spans="1:22" x14ac:dyDescent="0.2">
      <c r="A166" s="55">
        <f>A165*Berekening!H$58</f>
        <v>41.425880083440475</v>
      </c>
      <c r="B166" s="56">
        <f t="shared" si="39"/>
        <v>40.491709604521468</v>
      </c>
      <c r="C166" s="195">
        <f t="shared" si="53"/>
        <v>32.353455848071917</v>
      </c>
      <c r="D166" s="213">
        <f t="shared" si="57"/>
        <v>3.8687488387396588E-4</v>
      </c>
      <c r="E166" s="181">
        <f t="shared" si="40"/>
        <v>7.9501658322623137E-4</v>
      </c>
      <c r="F166" s="55">
        <f t="shared" si="41"/>
        <v>1.1178263892120209E-4</v>
      </c>
      <c r="G166" s="196">
        <f t="shared" si="42"/>
        <v>2.5739865048274324E-4</v>
      </c>
      <c r="H166" s="185">
        <f t="shared" si="43"/>
        <v>7.9501658322623137E-4</v>
      </c>
      <c r="I166" s="245">
        <f t="shared" si="44"/>
        <v>2.5739865048274324E-4</v>
      </c>
      <c r="J166" s="160">
        <f>IF(INVOER!$R$35=1,100-H166*100,100-I166*100)</f>
        <v>99.97426013495172</v>
      </c>
      <c r="K166" s="233">
        <f t="shared" si="47"/>
        <v>5</v>
      </c>
      <c r="L166" s="232">
        <f t="shared" si="48"/>
        <v>40</v>
      </c>
      <c r="M166" s="232">
        <f t="shared" si="49"/>
        <v>50</v>
      </c>
      <c r="N166" s="232">
        <f t="shared" si="50"/>
        <v>0.1</v>
      </c>
      <c r="O166" s="232">
        <f t="shared" si="51"/>
        <v>6.7000000000000004E-2</v>
      </c>
      <c r="P166" s="45">
        <f t="shared" si="45"/>
        <v>0.71860917482057307</v>
      </c>
      <c r="Q166" s="6">
        <f t="shared" si="46"/>
        <v>12.531670570374313</v>
      </c>
      <c r="R166" s="140">
        <f t="shared" si="52"/>
        <v>9.4299696501706901E-2</v>
      </c>
      <c r="S166" s="232">
        <f t="shared" si="54"/>
        <v>9.4299696501706904</v>
      </c>
      <c r="T166" s="248">
        <f t="shared" si="55"/>
        <v>0.75587765403573592</v>
      </c>
      <c r="U166" s="283">
        <f>Berekening!H166*$T166</f>
        <v>6.0093526984855022E-4</v>
      </c>
      <c r="V166" s="284">
        <f>Berekening!I166*$T166</f>
        <v>1.9456188807886031E-4</v>
      </c>
    </row>
    <row r="167" spans="1:22" x14ac:dyDescent="0.2">
      <c r="A167" s="53">
        <f>A166*Berekening!H$58</f>
        <v>43.382464597674947</v>
      </c>
      <c r="B167" s="6">
        <f t="shared" si="39"/>
        <v>42.404172340557707</v>
      </c>
      <c r="C167" s="182">
        <f t="shared" si="53"/>
        <v>33.881540962179372</v>
      </c>
      <c r="D167" s="212">
        <f t="shared" si="57"/>
        <v>2.9348434995292769E-4</v>
      </c>
      <c r="E167" s="209">
        <f t="shared" si="40"/>
        <v>6.2777637473099995E-4</v>
      </c>
      <c r="F167" s="53">
        <f t="shared" si="41"/>
        <v>8.1176422922492637E-5</v>
      </c>
      <c r="G167" s="169">
        <f t="shared" si="42"/>
        <v>1.9580682318182674E-4</v>
      </c>
      <c r="H167" s="184">
        <f t="shared" si="43"/>
        <v>6.2777637473099995E-4</v>
      </c>
      <c r="I167" s="192">
        <f t="shared" si="44"/>
        <v>1.9580682318182674E-4</v>
      </c>
      <c r="J167" s="162">
        <f>IF(INVOER!$R$35=1,100-H167*100,100-I167*100)</f>
        <v>99.980419317681822</v>
      </c>
      <c r="K167" s="301">
        <f t="shared" si="47"/>
        <v>5</v>
      </c>
      <c r="L167" s="269">
        <f t="shared" si="48"/>
        <v>40</v>
      </c>
      <c r="M167" s="269">
        <f t="shared" si="49"/>
        <v>50</v>
      </c>
      <c r="N167" s="269">
        <f t="shared" si="50"/>
        <v>0.1</v>
      </c>
      <c r="O167" s="269">
        <f t="shared" si="51"/>
        <v>6.7000000000000004E-2</v>
      </c>
      <c r="P167" s="44">
        <f t="shared" si="45"/>
        <v>0.71860917482057307</v>
      </c>
      <c r="Q167" s="5">
        <f t="shared" si="46"/>
        <v>12.531670570374313</v>
      </c>
      <c r="R167" s="246">
        <f t="shared" si="52"/>
        <v>8.7082581848109519E-2</v>
      </c>
      <c r="S167" s="269">
        <f t="shared" si="54"/>
        <v>8.7082581848109513</v>
      </c>
      <c r="T167" s="250">
        <f t="shared" si="55"/>
        <v>0.72171146535973807</v>
      </c>
      <c r="U167" s="281">
        <f>Berekening!H167*$T167</f>
        <v>4.5307340732533402E-4</v>
      </c>
      <c r="V167" s="282">
        <f>Berekening!I167*$T167</f>
        <v>1.413160292859913E-4</v>
      </c>
    </row>
    <row r="168" spans="1:22" x14ac:dyDescent="0.2">
      <c r="A168" s="53">
        <f>A167*Berekening!H$58</f>
        <v>45.431460497102229</v>
      </c>
      <c r="B168" s="6">
        <f t="shared" si="39"/>
        <v>44.406962547388588</v>
      </c>
      <c r="C168" s="182">
        <f t="shared" si="53"/>
        <v>35.481799019014254</v>
      </c>
      <c r="D168" s="212">
        <f t="shared" si="57"/>
        <v>2.2053188220241197E-4</v>
      </c>
      <c r="E168" s="209">
        <f t="shared" si="40"/>
        <v>4.9184018200776943E-4</v>
      </c>
      <c r="F168" s="53">
        <f t="shared" si="41"/>
        <v>5.8304923257085044E-5</v>
      </c>
      <c r="G168" s="169">
        <f t="shared" si="42"/>
        <v>1.4760493043122357E-4</v>
      </c>
      <c r="H168" s="184">
        <f t="shared" si="43"/>
        <v>4.9184018200776943E-4</v>
      </c>
      <c r="I168" s="192">
        <f t="shared" si="44"/>
        <v>1.4760493043122357E-4</v>
      </c>
      <c r="J168" s="160">
        <f>IF(INVOER!$R$35=1,100-H168*100,100-I168*100)</f>
        <v>99.985239506956873</v>
      </c>
      <c r="K168" s="233">
        <f t="shared" si="47"/>
        <v>5</v>
      </c>
      <c r="L168" s="232">
        <f t="shared" si="48"/>
        <v>40</v>
      </c>
      <c r="M168" s="232">
        <f t="shared" si="49"/>
        <v>50</v>
      </c>
      <c r="N168" s="232">
        <f t="shared" si="50"/>
        <v>0.1</v>
      </c>
      <c r="O168" s="232">
        <f t="shared" si="51"/>
        <v>6.7000000000000004E-2</v>
      </c>
      <c r="P168" s="45">
        <f t="shared" si="45"/>
        <v>0.71860917482057307</v>
      </c>
      <c r="Q168" s="6">
        <f t="shared" si="46"/>
        <v>12.531670570374313</v>
      </c>
      <c r="R168" s="140">
        <f t="shared" si="52"/>
        <v>8.020220561107573E-2</v>
      </c>
      <c r="S168" s="232">
        <f t="shared" si="54"/>
        <v>8.020220561107573</v>
      </c>
      <c r="T168" s="248">
        <f t="shared" si="55"/>
        <v>0.68803762370337895</v>
      </c>
      <c r="U168" s="281">
        <f>Berekening!H168*$T168</f>
        <v>3.3840455007046308E-4</v>
      </c>
      <c r="V168" s="282">
        <f>Berekening!I168*$T168</f>
        <v>1.0155774558080162E-4</v>
      </c>
    </row>
    <row r="169" spans="1:22" x14ac:dyDescent="0.2">
      <c r="A169" s="53">
        <f>A168*Berekening!H$58</f>
        <v>47.577232461117021</v>
      </c>
      <c r="B169" s="6">
        <f t="shared" si="39"/>
        <v>46.504346479109628</v>
      </c>
      <c r="C169" s="182">
        <f t="shared" si="53"/>
        <v>37.157638816695084</v>
      </c>
      <c r="D169" s="212">
        <f t="shared" si="57"/>
        <v>1.6409173836885052E-4</v>
      </c>
      <c r="E169" s="209">
        <f t="shared" si="40"/>
        <v>3.8222594430573602E-4</v>
      </c>
      <c r="F169" s="53">
        <f t="shared" si="41"/>
        <v>4.140326270353925E-5</v>
      </c>
      <c r="G169" s="169">
        <f t="shared" si="42"/>
        <v>1.1022862132494633E-4</v>
      </c>
      <c r="H169" s="184">
        <f t="shared" si="43"/>
        <v>3.8222594430573602E-4</v>
      </c>
      <c r="I169" s="192">
        <f t="shared" si="44"/>
        <v>1.1022862132494633E-4</v>
      </c>
      <c r="J169" s="160">
        <f>IF(INVOER!$R$35=1,100-H169*100,100-I169*100)</f>
        <v>99.988977137867508</v>
      </c>
      <c r="K169" s="233">
        <f t="shared" si="47"/>
        <v>5</v>
      </c>
      <c r="L169" s="232">
        <f t="shared" si="48"/>
        <v>40</v>
      </c>
      <c r="M169" s="232">
        <f t="shared" si="49"/>
        <v>50</v>
      </c>
      <c r="N169" s="232">
        <f t="shared" si="50"/>
        <v>0.1</v>
      </c>
      <c r="O169" s="232">
        <f t="shared" si="51"/>
        <v>6.7000000000000004E-2</v>
      </c>
      <c r="P169" s="45">
        <f t="shared" si="45"/>
        <v>0.71860917482057307</v>
      </c>
      <c r="Q169" s="6">
        <f t="shared" si="46"/>
        <v>12.531670570374313</v>
      </c>
      <c r="R169" s="140">
        <f t="shared" si="52"/>
        <v>7.3660730935369026E-2</v>
      </c>
      <c r="S169" s="232">
        <f t="shared" si="54"/>
        <v>7.3660730935369028</v>
      </c>
      <c r="T169" s="248">
        <f t="shared" si="55"/>
        <v>0.65414746757067044</v>
      </c>
      <c r="U169" s="281">
        <f>Berekening!H169*$T169</f>
        <v>2.5003213350740535E-4</v>
      </c>
      <c r="V169" s="282">
        <f>Berekening!I169*$T169</f>
        <v>7.2105773493520036E-5</v>
      </c>
    </row>
    <row r="170" spans="1:22" x14ac:dyDescent="0.2">
      <c r="A170" s="53">
        <f>A169*Berekening!H$58</f>
        <v>49.824351317157117</v>
      </c>
      <c r="B170" s="6">
        <f t="shared" si="39"/>
        <v>48.700791889137065</v>
      </c>
      <c r="C170" s="182">
        <f t="shared" si="53"/>
        <v>38.912630154183283</v>
      </c>
      <c r="D170" s="212">
        <f t="shared" si="57"/>
        <v>1.2086007665386535E-4</v>
      </c>
      <c r="E170" s="209">
        <f t="shared" si="40"/>
        <v>2.9456187545145345E-4</v>
      </c>
      <c r="F170" s="53">
        <f t="shared" si="41"/>
        <v>2.9056710695943211E-5</v>
      </c>
      <c r="G170" s="169">
        <f t="shared" si="42"/>
        <v>8.1521654455149153E-5</v>
      </c>
      <c r="H170" s="184">
        <f t="shared" si="43"/>
        <v>2.9456187545145345E-4</v>
      </c>
      <c r="I170" s="192">
        <f t="shared" si="44"/>
        <v>8.1521654455149153E-5</v>
      </c>
      <c r="J170" s="160">
        <f>IF(INVOER!$R$35=1,100-H170*100,100-I170*100)</f>
        <v>99.991847834554491</v>
      </c>
      <c r="K170" s="233">
        <f t="shared" si="47"/>
        <v>5</v>
      </c>
      <c r="L170" s="232">
        <f t="shared" si="48"/>
        <v>40</v>
      </c>
      <c r="M170" s="232">
        <f t="shared" si="49"/>
        <v>50</v>
      </c>
      <c r="N170" s="232">
        <f t="shared" si="50"/>
        <v>0.1</v>
      </c>
      <c r="O170" s="232">
        <f t="shared" si="51"/>
        <v>6.7000000000000004E-2</v>
      </c>
      <c r="P170" s="45">
        <f t="shared" si="45"/>
        <v>0.71860917482057307</v>
      </c>
      <c r="Q170" s="6">
        <f t="shared" si="46"/>
        <v>12.531670570374313</v>
      </c>
      <c r="R170" s="140">
        <f t="shared" si="52"/>
        <v>6.7458983240678727E-2</v>
      </c>
      <c r="S170" s="232">
        <f t="shared" si="54"/>
        <v>6.7458983240678725</v>
      </c>
      <c r="T170" s="248">
        <f t="shared" si="55"/>
        <v>0.62017476946902983</v>
      </c>
      <c r="U170" s="281">
        <f>Berekening!H170*$T170</f>
        <v>1.8267984320247021E-4</v>
      </c>
      <c r="V170" s="282">
        <f>Berekening!I170*$T170</f>
        <v>5.0557673258456036E-5</v>
      </c>
    </row>
    <row r="171" spans="1:22" x14ac:dyDescent="0.2">
      <c r="A171" s="55">
        <f>A170*Berekening!H$58</f>
        <v>52.177603777275543</v>
      </c>
      <c r="B171" s="56">
        <f t="shared" si="39"/>
        <v>51.00097754721633</v>
      </c>
      <c r="C171" s="195">
        <f t="shared" si="53"/>
        <v>40.750511435509218</v>
      </c>
      <c r="D171" s="213">
        <f t="shared" si="57"/>
        <v>8.8085948741637221E-5</v>
      </c>
      <c r="E171" s="181">
        <f t="shared" si="40"/>
        <v>2.2504654412710848E-4</v>
      </c>
      <c r="F171" s="55">
        <f t="shared" si="41"/>
        <v>2.0144823882802702E-5</v>
      </c>
      <c r="G171" s="196">
        <f t="shared" si="42"/>
        <v>5.9689347009095385E-5</v>
      </c>
      <c r="H171" s="185">
        <f t="shared" si="43"/>
        <v>2.2504654412710848E-4</v>
      </c>
      <c r="I171" s="245">
        <f t="shared" si="44"/>
        <v>5.9689347009095385E-5</v>
      </c>
      <c r="J171" s="253">
        <f>IF(INVOER!$R$35=1,100-H171*100,100-I171*100)</f>
        <v>99.994031065299097</v>
      </c>
      <c r="K171" s="233">
        <f t="shared" si="47"/>
        <v>6</v>
      </c>
      <c r="L171" s="232">
        <f t="shared" si="48"/>
        <v>50</v>
      </c>
      <c r="M171" s="232">
        <f t="shared" si="49"/>
        <v>60</v>
      </c>
      <c r="N171" s="232">
        <f t="shared" si="50"/>
        <v>6.7000000000000004E-2</v>
      </c>
      <c r="O171" s="232">
        <f t="shared" si="51"/>
        <v>4.4999999999999998E-2</v>
      </c>
      <c r="P171" s="45">
        <f t="shared" si="45"/>
        <v>0.75344416707092621</v>
      </c>
      <c r="Q171" s="6">
        <f t="shared" si="46"/>
        <v>13.359616924545369</v>
      </c>
      <c r="R171" s="140">
        <f t="shared" si="52"/>
        <v>6.134182903361321E-2</v>
      </c>
      <c r="S171" s="232">
        <f t="shared" si="54"/>
        <v>6.1341829033613209</v>
      </c>
      <c r="T171" s="248">
        <f t="shared" si="55"/>
        <v>0.61171542070655172</v>
      </c>
      <c r="U171" s="283">
        <f>Berekening!H171*$T171</f>
        <v>1.3766444141926972E-4</v>
      </c>
      <c r="V171" s="284">
        <f>Berekening!I171*$T171</f>
        <v>3.6512894017368137E-5</v>
      </c>
    </row>
    <row r="172" spans="1:22" x14ac:dyDescent="0.2">
      <c r="A172" s="53">
        <f>A171*Berekening!H$58</f>
        <v>54.642002634580415</v>
      </c>
      <c r="B172" s="6">
        <f t="shared" si="39"/>
        <v>53.409803205927979</v>
      </c>
      <c r="C172" s="182">
        <f t="shared" si="53"/>
        <v>42.675197633153189</v>
      </c>
      <c r="D172" s="212">
        <f t="shared" si="57"/>
        <v>6.3503774111041563E-5</v>
      </c>
      <c r="E172" s="209">
        <f t="shared" si="40"/>
        <v>1.7040518576199256E-4</v>
      </c>
      <c r="F172" s="53">
        <f t="shared" si="41"/>
        <v>1.3791201615638293E-5</v>
      </c>
      <c r="G172" s="169">
        <f t="shared" si="42"/>
        <v>4.3253513890239316E-5</v>
      </c>
      <c r="H172" s="184">
        <f t="shared" si="43"/>
        <v>1.7040518576199256E-4</v>
      </c>
      <c r="I172" s="192">
        <f t="shared" si="44"/>
        <v>4.3253513890239316E-5</v>
      </c>
      <c r="J172" s="160">
        <f>IF(INVOER!$R$35=1,100-H172*100,100-I172*100)</f>
        <v>99.995674648610972</v>
      </c>
      <c r="K172" s="301">
        <f t="shared" ref="K172:K186" si="58">VLOOKUP(A172,Z$76:AB$146,3)</f>
        <v>6</v>
      </c>
      <c r="L172" s="269">
        <f t="shared" ref="L172:L186" si="59">IF(K172=0,VLOOKUP(1,Y$77:AA$146,2),VLOOKUP(K172,Y$76:Z$145,2))</f>
        <v>50</v>
      </c>
      <c r="M172" s="269">
        <f t="shared" ref="M172:M186" si="60">IF(K172=0,VLOOKUP(2,Y$77:AA$145,2),VLOOKUP(K172+1,Y$77:Z$145,2))</f>
        <v>60</v>
      </c>
      <c r="N172" s="269">
        <f t="shared" ref="N172:N186" si="61">(VLOOKUP(L172,Z$76:AA$146,2))/100</f>
        <v>6.7000000000000004E-2</v>
      </c>
      <c r="O172" s="269">
        <f t="shared" ref="O172:O186" si="62">(VLOOKUP(M172,Z$76:AA$145,2))/100</f>
        <v>4.4999999999999998E-2</v>
      </c>
      <c r="P172" s="44">
        <f t="shared" si="45"/>
        <v>0.75344416707092621</v>
      </c>
      <c r="Q172" s="5">
        <f t="shared" si="46"/>
        <v>13.359616924545369</v>
      </c>
      <c r="R172" s="246">
        <f t="shared" ref="R172:R186" si="63">EXP(-((A172/Q172)^P172))</f>
        <v>5.5573062278249326E-2</v>
      </c>
      <c r="S172" s="269">
        <f t="shared" si="54"/>
        <v>5.5573062278249328</v>
      </c>
      <c r="T172" s="250">
        <f t="shared" si="55"/>
        <v>0.57687667553638844</v>
      </c>
      <c r="U172" s="281">
        <f>Berekening!H172*$T172</f>
        <v>9.8302777056538982E-5</v>
      </c>
      <c r="V172" s="282">
        <f>Berekening!I172*$T172</f>
        <v>2.4951943298268258E-5</v>
      </c>
    </row>
    <row r="173" spans="1:22" x14ac:dyDescent="0.2">
      <c r="A173" s="53">
        <f>A172*Berekening!H$58</f>
        <v>57.222797441262522</v>
      </c>
      <c r="B173" s="6">
        <f t="shared" si="39"/>
        <v>55.932400037921468</v>
      </c>
      <c r="C173" s="182">
        <f t="shared" si="53"/>
        <v>44.690788627544642</v>
      </c>
      <c r="D173" s="212">
        <f t="shared" si="57"/>
        <v>4.5268655427800637E-5</v>
      </c>
      <c r="E173" s="209">
        <f t="shared" si="40"/>
        <v>1.2784359608073383E-4</v>
      </c>
      <c r="F173" s="53">
        <f t="shared" si="41"/>
        <v>9.3190677026715347E-6</v>
      </c>
      <c r="G173" s="169">
        <f t="shared" si="42"/>
        <v>3.1009686754596083E-5</v>
      </c>
      <c r="H173" s="184">
        <f t="shared" si="43"/>
        <v>1.2784359608073383E-4</v>
      </c>
      <c r="I173" s="192">
        <f t="shared" si="44"/>
        <v>3.1009686754596083E-5</v>
      </c>
      <c r="J173" s="160">
        <f>IF(INVOER!$R$35=1,100-H173*100,100-I173*100)</f>
        <v>99.996899031324546</v>
      </c>
      <c r="K173" s="233">
        <f t="shared" si="58"/>
        <v>6</v>
      </c>
      <c r="L173" s="232">
        <f t="shared" si="59"/>
        <v>50</v>
      </c>
      <c r="M173" s="232">
        <f t="shared" si="60"/>
        <v>60</v>
      </c>
      <c r="N173" s="232">
        <f t="shared" si="61"/>
        <v>6.7000000000000004E-2</v>
      </c>
      <c r="O173" s="232">
        <f t="shared" si="62"/>
        <v>4.4999999999999998E-2</v>
      </c>
      <c r="P173" s="45">
        <f t="shared" si="45"/>
        <v>0.75344416707092621</v>
      </c>
      <c r="Q173" s="6">
        <f t="shared" si="46"/>
        <v>13.359616924545369</v>
      </c>
      <c r="R173" s="140">
        <f t="shared" si="63"/>
        <v>5.0171176947747614E-2</v>
      </c>
      <c r="S173" s="232">
        <f t="shared" si="54"/>
        <v>5.0171176947747611</v>
      </c>
      <c r="T173" s="248">
        <f t="shared" si="55"/>
        <v>0.54018853305017112</v>
      </c>
      <c r="U173" s="281">
        <f>Berekening!H173*$T173</f>
        <v>6.905964462671021E-5</v>
      </c>
      <c r="V173" s="282">
        <f>Berekening!I173*$T173</f>
        <v>1.6751077198310579E-5</v>
      </c>
    </row>
    <row r="174" spans="1:22" x14ac:dyDescent="0.2">
      <c r="A174" s="53">
        <f>A173*Berekening!H$58</f>
        <v>59.925485690956585</v>
      </c>
      <c r="B174" s="6">
        <f t="shared" si="39"/>
        <v>58.574141566109553</v>
      </c>
      <c r="C174" s="182">
        <f t="shared" si="53"/>
        <v>46.801577940444076</v>
      </c>
      <c r="D174" s="212">
        <f t="shared" si="57"/>
        <v>3.1895629031756688E-5</v>
      </c>
      <c r="E174" s="209">
        <f t="shared" si="40"/>
        <v>9.500088390926332E-5</v>
      </c>
      <c r="F174" s="53">
        <f t="shared" si="41"/>
        <v>6.2126674558443928E-6</v>
      </c>
      <c r="G174" s="169">
        <f t="shared" si="42"/>
        <v>2.1987229779681317E-5</v>
      </c>
      <c r="H174" s="184">
        <f t="shared" si="43"/>
        <v>9.500088390926332E-5</v>
      </c>
      <c r="I174" s="192">
        <f t="shared" si="44"/>
        <v>2.1987229779681317E-5</v>
      </c>
      <c r="J174" s="160">
        <f>IF(INVOER!$R$35=1,100-H174*100,100-I174*100)</f>
        <v>99.997801277022035</v>
      </c>
      <c r="K174" s="233">
        <f t="shared" si="58"/>
        <v>6</v>
      </c>
      <c r="L174" s="232">
        <f t="shared" si="59"/>
        <v>50</v>
      </c>
      <c r="M174" s="232">
        <f t="shared" si="60"/>
        <v>60</v>
      </c>
      <c r="N174" s="232">
        <f t="shared" si="61"/>
        <v>6.7000000000000004E-2</v>
      </c>
      <c r="O174" s="232">
        <f t="shared" si="62"/>
        <v>4.4999999999999998E-2</v>
      </c>
      <c r="P174" s="45">
        <f t="shared" si="45"/>
        <v>0.75344416707092621</v>
      </c>
      <c r="Q174" s="6">
        <f t="shared" si="46"/>
        <v>13.359616924545369</v>
      </c>
      <c r="R174" s="140">
        <f t="shared" si="63"/>
        <v>4.5130786719145555E-2</v>
      </c>
      <c r="S174" s="232">
        <f t="shared" si="54"/>
        <v>4.5130786719145553</v>
      </c>
      <c r="T174" s="248">
        <f t="shared" si="55"/>
        <v>0.50403902286020597</v>
      </c>
      <c r="U174" s="281">
        <f>Berekening!H174*$T174</f>
        <v>4.7884152696480945E-5</v>
      </c>
      <c r="V174" s="282">
        <f>Berekening!I174*$T174</f>
        <v>1.1082421813553392E-5</v>
      </c>
    </row>
    <row r="175" spans="1:22" x14ac:dyDescent="0.2">
      <c r="A175" s="53">
        <f>A174*Berekening!H$58</f>
        <v>62.755824529256216</v>
      </c>
      <c r="B175" s="6">
        <f>(A174+A175)/2</f>
        <v>61.340655110106397</v>
      </c>
      <c r="C175" s="182">
        <f t="shared" si="53"/>
        <v>49.012061880810975</v>
      </c>
      <c r="D175" s="212">
        <f t="shared" si="57"/>
        <v>2.2203669797212208E-5</v>
      </c>
      <c r="E175" s="209">
        <f t="shared" si="40"/>
        <v>6.990225261183646E-5</v>
      </c>
      <c r="F175" s="53">
        <f t="shared" si="41"/>
        <v>4.0842826862629759E-6</v>
      </c>
      <c r="G175" s="169">
        <f t="shared" si="42"/>
        <v>1.5412795463820973E-5</v>
      </c>
      <c r="H175" s="184">
        <f t="shared" si="43"/>
        <v>6.990225261183646E-5</v>
      </c>
      <c r="I175" s="192">
        <f t="shared" si="44"/>
        <v>1.5412795463820973E-5</v>
      </c>
      <c r="J175" s="160">
        <f>IF(INVOER!$R$35=1,100-H175*100,100-I175*100)</f>
        <v>99.998458720453613</v>
      </c>
      <c r="K175" s="233">
        <f t="shared" si="58"/>
        <v>7</v>
      </c>
      <c r="L175" s="232">
        <f t="shared" si="59"/>
        <v>60</v>
      </c>
      <c r="M175" s="232">
        <f t="shared" si="60"/>
        <v>80</v>
      </c>
      <c r="N175" s="232">
        <f t="shared" si="61"/>
        <v>4.4999999999999998E-2</v>
      </c>
      <c r="O175" s="232">
        <f t="shared" si="62"/>
        <v>0.02</v>
      </c>
      <c r="P175" s="45">
        <f t="shared" si="45"/>
        <v>0.8074888674381826</v>
      </c>
      <c r="Q175" s="6">
        <f t="shared" si="46"/>
        <v>14.772562902677503</v>
      </c>
      <c r="R175" s="140">
        <f t="shared" si="63"/>
        <v>4.0130942785835594E-2</v>
      </c>
      <c r="S175" s="232">
        <f t="shared" si="54"/>
        <v>4.0130942785835595</v>
      </c>
      <c r="T175" s="248">
        <f t="shared" si="55"/>
        <v>0.49998439333099609</v>
      </c>
      <c r="U175" s="281">
        <f>Berekening!H175*$T175</f>
        <v>3.4950035364599089E-5</v>
      </c>
      <c r="V175" s="282">
        <f>Berekening!I175*$T175</f>
        <v>7.7061571895132575E-6</v>
      </c>
    </row>
    <row r="176" spans="1:22" x14ac:dyDescent="0.2">
      <c r="A176" s="55">
        <f>A175*Berekening!H$58</f>
        <v>65.719843017327904</v>
      </c>
      <c r="B176" s="56">
        <f t="shared" ref="B176:B185" si="64">(A175+A176)/2</f>
        <v>64.237833773292067</v>
      </c>
      <c r="C176" s="195">
        <f t="shared" si="53"/>
        <v>51.326949122640023</v>
      </c>
      <c r="D176" s="213">
        <f t="shared" si="57"/>
        <v>1.5264999242438374E-5</v>
      </c>
      <c r="E176" s="181">
        <f t="shared" ref="E176:E185" si="65">IF(C176-$K$36&gt;0,EXP(-(((C176-$K$36)/$K$38)^$K$40)),1)</f>
        <v>5.0912842443476134E-5</v>
      </c>
      <c r="F176" s="55">
        <f t="shared" ref="F176:F185" si="66">D176^($B$54*$B$63)</f>
        <v>2.6465204809567946E-6</v>
      </c>
      <c r="G176" s="196">
        <f t="shared" ref="G176:G185" si="67">E176^($B$54*$B$63)</f>
        <v>1.0677397217415835E-5</v>
      </c>
      <c r="H176" s="185">
        <f t="shared" ref="H176:H185" si="68">IF(C176&lt;$K$41,D176,E176)</f>
        <v>5.0912842443476134E-5</v>
      </c>
      <c r="I176" s="245">
        <f t="shared" ref="I176:I185" si="69">IF(C176&lt;$K$41,F176,G176)</f>
        <v>1.0677397217415835E-5</v>
      </c>
      <c r="J176" s="160">
        <f>IF(INVOER!$R$35=1,100-H176*100,100-I176*100)</f>
        <v>99.998932260278252</v>
      </c>
      <c r="K176" s="233">
        <f t="shared" si="58"/>
        <v>7</v>
      </c>
      <c r="L176" s="232">
        <f t="shared" si="59"/>
        <v>60</v>
      </c>
      <c r="M176" s="232">
        <f t="shared" si="60"/>
        <v>80</v>
      </c>
      <c r="N176" s="232">
        <f t="shared" si="61"/>
        <v>4.4999999999999998E-2</v>
      </c>
      <c r="O176" s="232">
        <f t="shared" si="62"/>
        <v>0.02</v>
      </c>
      <c r="P176" s="45">
        <f t="shared" ref="P176:P185" si="70">(LN(LN(N176)/LN(O176)))/LN(L176/M176)</f>
        <v>0.8074888674381826</v>
      </c>
      <c r="Q176" s="6">
        <f t="shared" ref="Q176:Q185" si="71">L176/((-LN(N176))^(1/P176))</f>
        <v>14.772562902677503</v>
      </c>
      <c r="R176" s="140">
        <f t="shared" si="63"/>
        <v>3.5518604219535593E-2</v>
      </c>
      <c r="S176" s="232">
        <f t="shared" si="54"/>
        <v>3.5518604219535592</v>
      </c>
      <c r="T176" s="248">
        <f t="shared" si="55"/>
        <v>0.46123385663000005</v>
      </c>
      <c r="U176" s="283">
        <f>Berekening!H176*$T176</f>
        <v>2.3482726672200054E-5</v>
      </c>
      <c r="V176" s="284">
        <f>Berekening!I176*$T176</f>
        <v>4.924777097359137E-6</v>
      </c>
    </row>
    <row r="177" spans="1:24" x14ac:dyDescent="0.2">
      <c r="A177" s="53">
        <f>A176*Berekening!H$58</f>
        <v>68.823854974747363</v>
      </c>
      <c r="B177" s="6">
        <f t="shared" si="64"/>
        <v>67.271848996037633</v>
      </c>
      <c r="C177" s="182">
        <f t="shared" si="53"/>
        <v>53.751170735167733</v>
      </c>
      <c r="D177" s="212">
        <f t="shared" si="57"/>
        <v>1.0359991532300677E-5</v>
      </c>
      <c r="E177" s="209">
        <f t="shared" si="65"/>
        <v>3.6693508025183257E-5</v>
      </c>
      <c r="F177" s="53">
        <f t="shared" si="66"/>
        <v>1.6894252119530452E-6</v>
      </c>
      <c r="G177" s="169">
        <f t="shared" si="67"/>
        <v>7.307222312435694E-6</v>
      </c>
      <c r="H177" s="184">
        <f t="shared" si="68"/>
        <v>3.6693508025183257E-5</v>
      </c>
      <c r="I177" s="192">
        <f t="shared" si="69"/>
        <v>7.307222312435694E-6</v>
      </c>
      <c r="J177" s="162">
        <f>IF(INVOER!$R$35=1,100-H177*100,100-I177*100)</f>
        <v>99.999269277768761</v>
      </c>
      <c r="K177" s="301">
        <f t="shared" si="58"/>
        <v>7</v>
      </c>
      <c r="L177" s="269">
        <f t="shared" si="59"/>
        <v>60</v>
      </c>
      <c r="M177" s="269">
        <f t="shared" si="60"/>
        <v>80</v>
      </c>
      <c r="N177" s="269">
        <f t="shared" si="61"/>
        <v>4.4999999999999998E-2</v>
      </c>
      <c r="O177" s="269">
        <f t="shared" si="62"/>
        <v>0.02</v>
      </c>
      <c r="P177" s="44">
        <f t="shared" si="70"/>
        <v>0.8074888674381826</v>
      </c>
      <c r="Q177" s="5">
        <f t="shared" si="71"/>
        <v>14.772562902677503</v>
      </c>
      <c r="R177" s="246">
        <f t="shared" si="63"/>
        <v>3.1290983222386423E-2</v>
      </c>
      <c r="S177" s="269">
        <f t="shared" si="54"/>
        <v>3.1290983222386424</v>
      </c>
      <c r="T177" s="250">
        <f t="shared" si="55"/>
        <v>0.42276209971491702</v>
      </c>
      <c r="U177" s="281">
        <f>Berekening!H177*$T177</f>
        <v>1.5512624498632633E-5</v>
      </c>
      <c r="V177" s="282">
        <f>Berekening!I177*$T177</f>
        <v>3.0892166478890055E-6</v>
      </c>
    </row>
    <row r="178" spans="1:24" x14ac:dyDescent="0.2">
      <c r="A178" s="53">
        <f>A177*Berekening!H$58</f>
        <v>72.074472428915541</v>
      </c>
      <c r="B178" s="6">
        <f t="shared" si="64"/>
        <v>70.449163701831452</v>
      </c>
      <c r="C178" s="182">
        <f t="shared" si="53"/>
        <v>56.289890686815596</v>
      </c>
      <c r="D178" s="212">
        <f t="shared" si="57"/>
        <v>6.9377437109618271E-6</v>
      </c>
      <c r="E178" s="209">
        <f t="shared" si="65"/>
        <v>2.6159234431159962E-5</v>
      </c>
      <c r="F178" s="53">
        <f t="shared" si="66"/>
        <v>1.0618957243721324E-6</v>
      </c>
      <c r="G178" s="169">
        <f t="shared" si="67"/>
        <v>4.9381739055196624E-6</v>
      </c>
      <c r="H178" s="184">
        <f t="shared" si="68"/>
        <v>2.6159234431159962E-5</v>
      </c>
      <c r="I178" s="192">
        <f t="shared" si="69"/>
        <v>4.9381739055196624E-6</v>
      </c>
      <c r="J178" s="160">
        <f>IF(INVOER!$R$35=1,100-H178*100,100-I178*100)</f>
        <v>99.999506182609451</v>
      </c>
      <c r="K178" s="233">
        <f t="shared" si="58"/>
        <v>7</v>
      </c>
      <c r="L178" s="232">
        <f t="shared" si="59"/>
        <v>60</v>
      </c>
      <c r="M178" s="232">
        <f t="shared" si="60"/>
        <v>80</v>
      </c>
      <c r="N178" s="232">
        <f t="shared" si="61"/>
        <v>4.4999999999999998E-2</v>
      </c>
      <c r="O178" s="232">
        <f t="shared" si="62"/>
        <v>0.02</v>
      </c>
      <c r="P178" s="45">
        <f t="shared" si="70"/>
        <v>0.8074888674381826</v>
      </c>
      <c r="Q178" s="6">
        <f t="shared" si="71"/>
        <v>14.772562902677503</v>
      </c>
      <c r="R178" s="140">
        <f t="shared" si="63"/>
        <v>2.7434236677230418E-2</v>
      </c>
      <c r="S178" s="232">
        <f t="shared" si="54"/>
        <v>2.7434236677230417</v>
      </c>
      <c r="T178" s="248">
        <f t="shared" si="55"/>
        <v>0.38567465451560046</v>
      </c>
      <c r="U178" s="281">
        <f>Berekening!H178*$T178</f>
        <v>1.0088953701630219E-5</v>
      </c>
      <c r="V178" s="282">
        <f>Berekening!I178*$T178</f>
        <v>1.9045285149492493E-6</v>
      </c>
    </row>
    <row r="179" spans="1:24" x14ac:dyDescent="0.2">
      <c r="A179" s="53">
        <f>A178*Berekening!H$58</f>
        <v>75.478619699703557</v>
      </c>
      <c r="B179" s="6">
        <f t="shared" si="64"/>
        <v>73.776546064309542</v>
      </c>
      <c r="C179" s="182">
        <f t="shared" si="53"/>
        <v>58.948516845244512</v>
      </c>
      <c r="D179" s="212">
        <f t="shared" si="57"/>
        <v>4.582181365043828E-6</v>
      </c>
      <c r="E179" s="209">
        <f t="shared" si="65"/>
        <v>1.8440720348541538E-5</v>
      </c>
      <c r="F179" s="53">
        <f t="shared" si="66"/>
        <v>6.5685744050808424E-7</v>
      </c>
      <c r="G179" s="169">
        <f t="shared" si="67"/>
        <v>3.2940178216021505E-6</v>
      </c>
      <c r="H179" s="184">
        <f t="shared" si="68"/>
        <v>1.8440720348541538E-5</v>
      </c>
      <c r="I179" s="192">
        <f t="shared" si="69"/>
        <v>3.2940178216021505E-6</v>
      </c>
      <c r="J179" s="160">
        <f>IF(INVOER!$R$35=1,100-H179*100,100-I179*100)</f>
        <v>99.999670598217847</v>
      </c>
      <c r="K179" s="233">
        <f t="shared" si="58"/>
        <v>7</v>
      </c>
      <c r="L179" s="232">
        <f t="shared" si="59"/>
        <v>60</v>
      </c>
      <c r="M179" s="232">
        <f t="shared" si="60"/>
        <v>80</v>
      </c>
      <c r="N179" s="232">
        <f t="shared" si="61"/>
        <v>4.4999999999999998E-2</v>
      </c>
      <c r="O179" s="232">
        <f t="shared" si="62"/>
        <v>0.02</v>
      </c>
      <c r="P179" s="45">
        <f t="shared" si="70"/>
        <v>0.8074888674381826</v>
      </c>
      <c r="Q179" s="6">
        <f t="shared" si="71"/>
        <v>14.772562902677503</v>
      </c>
      <c r="R179" s="140">
        <f t="shared" si="63"/>
        <v>2.3933023346300382E-2</v>
      </c>
      <c r="S179" s="232">
        <f t="shared" si="54"/>
        <v>2.3933023346300382</v>
      </c>
      <c r="T179" s="248">
        <f t="shared" si="55"/>
        <v>0.35012133309300364</v>
      </c>
      <c r="U179" s="281">
        <f>Berekening!H179*$T179</f>
        <v>6.4564895916266417E-6</v>
      </c>
      <c r="V179" s="282">
        <f>Berekening!I179*$T179</f>
        <v>1.1533059109314568E-6</v>
      </c>
    </row>
    <row r="180" spans="1:24" x14ac:dyDescent="0.2">
      <c r="A180" s="53">
        <f>A179*Berekening!H$58</f>
        <v>79.043548149329084</v>
      </c>
      <c r="B180" s="6">
        <f t="shared" si="64"/>
        <v>77.261083924516328</v>
      </c>
      <c r="C180" s="182">
        <f t="shared" si="53"/>
        <v>61.732712496952594</v>
      </c>
      <c r="D180" s="212">
        <f t="shared" si="57"/>
        <v>2.9834134702591693E-6</v>
      </c>
      <c r="E180" s="209">
        <f t="shared" si="65"/>
        <v>1.2849485274280988E-5</v>
      </c>
      <c r="F180" s="53">
        <f t="shared" si="66"/>
        <v>3.9963713337219641E-7</v>
      </c>
      <c r="G180" s="169">
        <f t="shared" si="67"/>
        <v>2.1679204781357925E-6</v>
      </c>
      <c r="H180" s="184">
        <f t="shared" si="68"/>
        <v>1.2849485274280988E-5</v>
      </c>
      <c r="I180" s="192">
        <f t="shared" si="69"/>
        <v>2.1679204781357925E-6</v>
      </c>
      <c r="J180" s="160">
        <f>IF(INVOER!$R$35=1,100-H180*100,100-I180*100)</f>
        <v>99.999783207952191</v>
      </c>
      <c r="K180" s="233">
        <f t="shared" si="58"/>
        <v>7</v>
      </c>
      <c r="L180" s="232">
        <f t="shared" si="59"/>
        <v>60</v>
      </c>
      <c r="M180" s="232">
        <f t="shared" si="60"/>
        <v>80</v>
      </c>
      <c r="N180" s="232">
        <f t="shared" si="61"/>
        <v>4.4999999999999998E-2</v>
      </c>
      <c r="O180" s="232">
        <f t="shared" si="62"/>
        <v>0.02</v>
      </c>
      <c r="P180" s="45">
        <f t="shared" si="70"/>
        <v>0.8074888674381826</v>
      </c>
      <c r="Q180" s="6">
        <f t="shared" si="71"/>
        <v>14.772562902677503</v>
      </c>
      <c r="R180" s="140">
        <f t="shared" si="63"/>
        <v>2.0770689204652016E-2</v>
      </c>
      <c r="S180" s="232">
        <f t="shared" si="54"/>
        <v>2.0770689204652015</v>
      </c>
      <c r="T180" s="248">
        <f t="shared" si="55"/>
        <v>0.31623341416483658</v>
      </c>
      <c r="U180" s="281">
        <f>Berekening!H180*$T180</f>
        <v>4.0634365985466682E-6</v>
      </c>
      <c r="V180" s="282">
        <f>Berekening!I180*$T180</f>
        <v>6.8556889443874663E-7</v>
      </c>
    </row>
    <row r="181" spans="1:24" x14ac:dyDescent="0.2">
      <c r="A181" s="55">
        <f>A180*Berekening!H$58</f>
        <v>82.776851628883776</v>
      </c>
      <c r="B181" s="56">
        <f t="shared" si="64"/>
        <v>80.910199889106423</v>
      </c>
      <c r="C181" s="195">
        <f t="shared" si="53"/>
        <v>64.64840841095463</v>
      </c>
      <c r="D181" s="213">
        <f t="shared" si="57"/>
        <v>1.9139322119336997E-6</v>
      </c>
      <c r="E181" s="181">
        <f t="shared" si="65"/>
        <v>8.8466966921522413E-6</v>
      </c>
      <c r="F181" s="55">
        <f t="shared" si="66"/>
        <v>2.390103925614783E-7</v>
      </c>
      <c r="G181" s="196">
        <f t="shared" si="67"/>
        <v>1.4070991261349267E-6</v>
      </c>
      <c r="H181" s="185">
        <f t="shared" si="68"/>
        <v>8.8466966921522413E-6</v>
      </c>
      <c r="I181" s="245">
        <f t="shared" si="69"/>
        <v>1.4070991261349267E-6</v>
      </c>
      <c r="J181" s="253">
        <f>IF(INVOER!$R$35=1,100-H181*100,100-I181*100)</f>
        <v>99.999859290087386</v>
      </c>
      <c r="K181" s="233">
        <f t="shared" si="58"/>
        <v>8</v>
      </c>
      <c r="L181" s="232">
        <f t="shared" si="59"/>
        <v>80</v>
      </c>
      <c r="M181" s="232" t="str">
        <f t="shared" si="60"/>
        <v>x</v>
      </c>
      <c r="N181" s="232">
        <f t="shared" si="61"/>
        <v>0.02</v>
      </c>
      <c r="O181" s="232">
        <f t="shared" si="62"/>
        <v>0</v>
      </c>
      <c r="P181" s="45" t="e">
        <f t="shared" si="70"/>
        <v>#NUM!</v>
      </c>
      <c r="Q181" s="6" t="e">
        <f t="shared" si="71"/>
        <v>#NUM!</v>
      </c>
      <c r="R181" s="140" t="e">
        <f t="shared" si="63"/>
        <v>#NUM!</v>
      </c>
      <c r="S181" s="232" t="e">
        <f t="shared" si="54"/>
        <v>#NUM!</v>
      </c>
      <c r="T181" s="248">
        <f t="shared" si="55"/>
        <v>0</v>
      </c>
      <c r="U181" s="283">
        <f>Berekening!H181*$T181</f>
        <v>0</v>
      </c>
      <c r="V181" s="284">
        <f>Berekening!I181*$T181</f>
        <v>0</v>
      </c>
    </row>
    <row r="182" spans="1:24" x14ac:dyDescent="0.2">
      <c r="A182" s="53">
        <f>A181*Berekening!H$58</f>
        <v>86.686482654415073</v>
      </c>
      <c r="B182" s="6">
        <f t="shared" si="64"/>
        <v>84.731667141649424</v>
      </c>
      <c r="C182" s="182">
        <f t="shared" si="53"/>
        <v>67.701815472240995</v>
      </c>
      <c r="D182" s="212">
        <f t="shared" si="57"/>
        <v>1.2091743711011214E-6</v>
      </c>
      <c r="E182" s="209">
        <f t="shared" si="65"/>
        <v>6.0157683318013877E-6</v>
      </c>
      <c r="F182" s="53">
        <f t="shared" si="66"/>
        <v>1.404320172078098E-7</v>
      </c>
      <c r="G182" s="169">
        <f t="shared" si="67"/>
        <v>9.0026350857560225E-7</v>
      </c>
      <c r="H182" s="184">
        <f t="shared" si="68"/>
        <v>6.0157683318013877E-6</v>
      </c>
      <c r="I182" s="192">
        <f t="shared" si="69"/>
        <v>9.0026350857560225E-7</v>
      </c>
      <c r="J182" s="162">
        <f>IF(INVOER!$R$35=1,100-H182*100,100-I182*100)</f>
        <v>99.999909973649139</v>
      </c>
      <c r="K182" s="301">
        <f t="shared" si="58"/>
        <v>8</v>
      </c>
      <c r="L182" s="269">
        <f t="shared" si="59"/>
        <v>80</v>
      </c>
      <c r="M182" s="269" t="str">
        <f t="shared" si="60"/>
        <v>x</v>
      </c>
      <c r="N182" s="269">
        <f t="shared" si="61"/>
        <v>0.02</v>
      </c>
      <c r="O182" s="269">
        <f t="shared" si="62"/>
        <v>0</v>
      </c>
      <c r="P182" s="44" t="e">
        <f t="shared" si="70"/>
        <v>#NUM!</v>
      </c>
      <c r="Q182" s="5" t="e">
        <f t="shared" si="71"/>
        <v>#NUM!</v>
      </c>
      <c r="R182" s="246" t="e">
        <f t="shared" si="63"/>
        <v>#NUM!</v>
      </c>
      <c r="S182" s="269" t="e">
        <f t="shared" si="54"/>
        <v>#NUM!</v>
      </c>
      <c r="T182" s="250">
        <f>IF(M182="x",0,(R181-R182)*100)</f>
        <v>0</v>
      </c>
      <c r="U182" s="281">
        <f>Berekening!H182*$T182</f>
        <v>0</v>
      </c>
      <c r="V182" s="282">
        <f>Berekening!I182*$T182</f>
        <v>0</v>
      </c>
    </row>
    <row r="183" spans="1:24" x14ac:dyDescent="0.2">
      <c r="A183" s="53">
        <f>A182*Berekening!H$58</f>
        <v>90.78076934702014</v>
      </c>
      <c r="B183" s="6">
        <f t="shared" si="64"/>
        <v>88.733626000717607</v>
      </c>
      <c r="C183" s="182">
        <f t="shared" si="53"/>
        <v>70.899437911926881</v>
      </c>
      <c r="D183" s="212">
        <f t="shared" si="57"/>
        <v>7.5191757082421541E-7</v>
      </c>
      <c r="E183" s="209">
        <f t="shared" si="65"/>
        <v>4.0386561956817679E-6</v>
      </c>
      <c r="F183" s="53">
        <f t="shared" si="66"/>
        <v>8.1011584267199572E-8</v>
      </c>
      <c r="G183" s="169">
        <f t="shared" si="67"/>
        <v>5.6750699863799056E-7</v>
      </c>
      <c r="H183" s="184">
        <f t="shared" si="68"/>
        <v>4.0386561956817679E-6</v>
      </c>
      <c r="I183" s="192">
        <f t="shared" si="69"/>
        <v>5.6750699863799056E-7</v>
      </c>
      <c r="J183" s="160">
        <f>IF(INVOER!$R$35=1,100-H183*100,100-I183*100)</f>
        <v>99.999943249300131</v>
      </c>
      <c r="K183" s="233">
        <f t="shared" si="58"/>
        <v>8</v>
      </c>
      <c r="L183" s="232">
        <f t="shared" si="59"/>
        <v>80</v>
      </c>
      <c r="M183" s="232" t="str">
        <f t="shared" si="60"/>
        <v>x</v>
      </c>
      <c r="N183" s="232">
        <f t="shared" si="61"/>
        <v>0.02</v>
      </c>
      <c r="O183" s="232">
        <f t="shared" si="62"/>
        <v>0</v>
      </c>
      <c r="P183" s="45" t="e">
        <f>(LN(LN(N183)/LN(O183)))/LN(L183/M183)</f>
        <v>#NUM!</v>
      </c>
      <c r="Q183" s="6" t="e">
        <f t="shared" si="71"/>
        <v>#NUM!</v>
      </c>
      <c r="R183" s="140" t="e">
        <f t="shared" si="63"/>
        <v>#NUM!</v>
      </c>
      <c r="S183" s="232" t="e">
        <f t="shared" si="54"/>
        <v>#NUM!</v>
      </c>
      <c r="T183" s="248">
        <f>IF(M183="x",0,(R182-R183)*100)</f>
        <v>0</v>
      </c>
      <c r="U183" s="281">
        <f>Berekening!H183*$T183</f>
        <v>0</v>
      </c>
      <c r="V183" s="282">
        <f>Berekening!I183*$T183</f>
        <v>0</v>
      </c>
    </row>
    <row r="184" spans="1:24" x14ac:dyDescent="0.2">
      <c r="A184" s="53">
        <f>A183*Berekening!H$58</f>
        <v>95.06843317303678</v>
      </c>
      <c r="B184" s="6">
        <f t="shared" si="64"/>
        <v>92.924601260028453</v>
      </c>
      <c r="C184" s="182">
        <f t="shared" si="53"/>
        <v>74.24808716227453</v>
      </c>
      <c r="D184" s="212">
        <f t="shared" si="57"/>
        <v>4.5997277446098504E-7</v>
      </c>
      <c r="E184" s="209">
        <f t="shared" si="65"/>
        <v>2.675677719559997E-6</v>
      </c>
      <c r="F184" s="53">
        <f t="shared" si="66"/>
        <v>4.5854691507152282E-8</v>
      </c>
      <c r="G184" s="169">
        <f t="shared" si="67"/>
        <v>3.5230236574360853E-7</v>
      </c>
      <c r="H184" s="184">
        <f t="shared" si="68"/>
        <v>2.675677719559997E-6</v>
      </c>
      <c r="I184" s="192">
        <f t="shared" si="69"/>
        <v>3.5230236574360853E-7</v>
      </c>
      <c r="J184" s="160">
        <f>IF(INVOER!$R$35=1,100-H184*100,100-I184*100)</f>
        <v>99.999964769763423</v>
      </c>
      <c r="K184" s="233">
        <f t="shared" si="58"/>
        <v>8</v>
      </c>
      <c r="L184" s="232">
        <f t="shared" si="59"/>
        <v>80</v>
      </c>
      <c r="M184" s="232" t="str">
        <f t="shared" si="60"/>
        <v>x</v>
      </c>
      <c r="N184" s="232">
        <f t="shared" si="61"/>
        <v>0.02</v>
      </c>
      <c r="O184" s="232">
        <f t="shared" si="62"/>
        <v>0</v>
      </c>
      <c r="P184" s="45" t="e">
        <f t="shared" si="70"/>
        <v>#NUM!</v>
      </c>
      <c r="Q184" s="6" t="e">
        <f t="shared" si="71"/>
        <v>#NUM!</v>
      </c>
      <c r="R184" s="140" t="e">
        <f t="shared" si="63"/>
        <v>#NUM!</v>
      </c>
      <c r="S184" s="232" t="e">
        <f t="shared" si="54"/>
        <v>#NUM!</v>
      </c>
      <c r="T184" s="248">
        <f>IF(M184="x",0,(R183-R184)*100)</f>
        <v>0</v>
      </c>
      <c r="U184" s="281">
        <f>Berekening!H184*$T184</f>
        <v>0</v>
      </c>
      <c r="V184" s="282">
        <f>Berekening!I184*$T184</f>
        <v>0</v>
      </c>
    </row>
    <row r="185" spans="1:24" x14ac:dyDescent="0.2">
      <c r="A185" s="53">
        <f>A184*Berekening!H$58</f>
        <v>99.55860752212088</v>
      </c>
      <c r="B185" s="6">
        <f t="shared" si="64"/>
        <v>97.31352034757883</v>
      </c>
      <c r="C185" s="182">
        <f t="shared" si="53"/>
        <v>77.754896366101406</v>
      </c>
      <c r="D185" s="212">
        <f t="shared" si="57"/>
        <v>2.7664832548881032E-7</v>
      </c>
      <c r="E185" s="209">
        <f t="shared" si="65"/>
        <v>1.7486023126463844E-6</v>
      </c>
      <c r="F185" s="53">
        <f t="shared" si="66"/>
        <v>2.5450162450649181E-8</v>
      </c>
      <c r="G185" s="169">
        <f t="shared" si="67"/>
        <v>2.1526910275957896E-7</v>
      </c>
      <c r="H185" s="184">
        <f t="shared" si="68"/>
        <v>1.7486023126463844E-6</v>
      </c>
      <c r="I185" s="192">
        <f t="shared" si="69"/>
        <v>2.1526910275957896E-7</v>
      </c>
      <c r="J185" s="160">
        <f>IF(INVOER!$R$35=1,100-H185*100,100-I185*100)</f>
        <v>99.999978473089726</v>
      </c>
      <c r="K185" s="233">
        <f t="shared" si="58"/>
        <v>8</v>
      </c>
      <c r="L185" s="232">
        <f t="shared" si="59"/>
        <v>80</v>
      </c>
      <c r="M185" s="232" t="str">
        <f t="shared" si="60"/>
        <v>x</v>
      </c>
      <c r="N185" s="232">
        <f t="shared" si="61"/>
        <v>0.02</v>
      </c>
      <c r="O185" s="232">
        <f t="shared" si="62"/>
        <v>0</v>
      </c>
      <c r="P185" s="45" t="e">
        <f t="shared" si="70"/>
        <v>#NUM!</v>
      </c>
      <c r="Q185" s="6" t="e">
        <f t="shared" si="71"/>
        <v>#NUM!</v>
      </c>
      <c r="R185" s="140" t="e">
        <f t="shared" si="63"/>
        <v>#NUM!</v>
      </c>
      <c r="S185" s="232" t="e">
        <f t="shared" si="54"/>
        <v>#NUM!</v>
      </c>
      <c r="T185" s="248">
        <f>IF(M185="x",0,(R184-R185)*100)</f>
        <v>0</v>
      </c>
      <c r="U185" s="281">
        <f>Berekening!H185*$T185</f>
        <v>0</v>
      </c>
      <c r="V185" s="282">
        <f>Berekening!I185*$T185</f>
        <v>0</v>
      </c>
    </row>
    <row r="186" spans="1:24" x14ac:dyDescent="0.2">
      <c r="A186" s="183">
        <f>Berekening!K56</f>
        <v>104.26085716278493</v>
      </c>
      <c r="B186" s="56">
        <f>(A185+A186)/2</f>
        <v>101.90973234245291</v>
      </c>
      <c r="C186" s="195">
        <f>B186/$B$51</f>
        <v>81.427335571482161</v>
      </c>
      <c r="D186" s="213">
        <f>IF(C186-$K$35&gt;0,EXP(-(((C186-$K$35)/$K$37)^$K$39)),1)</f>
        <v>1.6349440512639622E-7</v>
      </c>
      <c r="E186" s="181">
        <f>IF(C186-$K$36&gt;0,EXP(-(((C186-$K$36)/$K$38)^$K$40)),1)</f>
        <v>1.1267082579200255E-6</v>
      </c>
      <c r="F186" s="55">
        <f>D186^($B$54*$B$63)</f>
        <v>1.3841146678538084E-8</v>
      </c>
      <c r="G186" s="196">
        <f>E186^($B$54*$B$63)</f>
        <v>1.2940210746376902E-7</v>
      </c>
      <c r="H186" s="185">
        <f>IF(C186&lt;$K$41,D186,E186)</f>
        <v>1.1267082579200255E-6</v>
      </c>
      <c r="I186" s="245">
        <f>IF(C186&lt;$K$41,F186,G186)</f>
        <v>1.2940210746376902E-7</v>
      </c>
      <c r="J186" s="253">
        <f>IF(INVOER!$R$35=1,100-H186*100,100-I186*100)</f>
        <v>99.999987059789248</v>
      </c>
      <c r="K186" s="303">
        <f t="shared" si="58"/>
        <v>8</v>
      </c>
      <c r="L186" s="270">
        <f t="shared" si="59"/>
        <v>80</v>
      </c>
      <c r="M186" s="270" t="str">
        <f t="shared" si="60"/>
        <v>x</v>
      </c>
      <c r="N186" s="270">
        <f t="shared" si="61"/>
        <v>0.02</v>
      </c>
      <c r="O186" s="270">
        <f t="shared" si="62"/>
        <v>0</v>
      </c>
      <c r="P186" s="61" t="e">
        <f>(LN(LN(N186)/LN(O186)))/LN(L186/M186)</f>
        <v>#NUM!</v>
      </c>
      <c r="Q186" s="56" t="e">
        <f>L186/((-LN(N186))^(1/P186))</f>
        <v>#NUM!</v>
      </c>
      <c r="R186" s="188" t="e">
        <f t="shared" si="63"/>
        <v>#NUM!</v>
      </c>
      <c r="S186" s="270" t="e">
        <f t="shared" si="54"/>
        <v>#NUM!</v>
      </c>
      <c r="T186" s="249">
        <f>IF(M186="x",0,(R185-R186)*100)</f>
        <v>0</v>
      </c>
      <c r="U186" s="283">
        <f>Berekening!H186*$T186</f>
        <v>0</v>
      </c>
      <c r="V186" s="284">
        <f>Berekening!I186*$T186</f>
        <v>0</v>
      </c>
    </row>
    <row r="187" spans="1:24" x14ac:dyDescent="0.2">
      <c r="C187" s="191"/>
      <c r="G187" s="169"/>
      <c r="H187" s="192"/>
      <c r="I187" s="192"/>
      <c r="S187" s="267" t="s">
        <v>241</v>
      </c>
      <c r="T187" s="228">
        <f>SUM(T76:T186)</f>
        <v>97.922931079534749</v>
      </c>
      <c r="U187" s="285">
        <f>(100-T187)*$H$56</f>
        <v>2.0770689204652511E-7</v>
      </c>
      <c r="V187" s="285">
        <f>(100-T187)*$H$56</f>
        <v>2.0770689204652511E-7</v>
      </c>
      <c r="W187" s="6"/>
    </row>
    <row r="188" spans="1:24" x14ac:dyDescent="0.2">
      <c r="C188" s="180"/>
      <c r="L188" s="174"/>
      <c r="M188" s="174"/>
      <c r="N188" s="174"/>
      <c r="O188" s="174"/>
      <c r="P188" s="174"/>
      <c r="Q188" s="174"/>
      <c r="U188" s="286"/>
      <c r="V188" s="287"/>
      <c r="W188" s="6"/>
      <c r="X188" s="180"/>
    </row>
    <row r="189" spans="1:24" x14ac:dyDescent="0.2">
      <c r="C189" s="180"/>
      <c r="Q189" s="219" t="s">
        <v>235</v>
      </c>
      <c r="R189" s="176" t="s">
        <v>200</v>
      </c>
      <c r="S189" s="273"/>
      <c r="T189" s="177"/>
      <c r="U189" s="288">
        <f>SUM(U76:U186)+U187</f>
        <v>1.4568737148070963</v>
      </c>
      <c r="V189" s="289">
        <f>SUM(V76:V186)+V187</f>
        <v>0.80455958618120016</v>
      </c>
      <c r="W189" s="218" t="s">
        <v>233</v>
      </c>
      <c r="X189" s="191"/>
    </row>
    <row r="190" spans="1:24" x14ac:dyDescent="0.2">
      <c r="Q190" s="219" t="s">
        <v>235</v>
      </c>
      <c r="R190" s="176" t="s">
        <v>134</v>
      </c>
      <c r="S190" s="273"/>
      <c r="T190" s="177"/>
      <c r="U190" s="288">
        <f>100-U189</f>
        <v>98.543126285192898</v>
      </c>
      <c r="V190" s="290">
        <f>100-V189</f>
        <v>99.195440413818801</v>
      </c>
      <c r="W190" s="218" t="s">
        <v>233</v>
      </c>
      <c r="X190" s="191"/>
    </row>
    <row r="191" spans="1:24" x14ac:dyDescent="0.2">
      <c r="Q191" s="219" t="s">
        <v>235</v>
      </c>
      <c r="R191" s="176" t="s">
        <v>46</v>
      </c>
      <c r="S191" s="274"/>
      <c r="T191" s="217"/>
      <c r="U191" s="290">
        <f>U189*OUTPUT!$D$13/100</f>
        <v>1.1217927604014644</v>
      </c>
      <c r="V191" s="290">
        <f>V189*OUTPUT!$D$13/100</f>
        <v>0.61951088135952426</v>
      </c>
      <c r="W191" s="18" t="s">
        <v>22</v>
      </c>
      <c r="X191" s="191"/>
    </row>
    <row r="192" spans="1:24" x14ac:dyDescent="0.2">
      <c r="Q192" s="135" t="s">
        <v>235</v>
      </c>
      <c r="R192" s="176" t="s">
        <v>46</v>
      </c>
      <c r="S192" s="274"/>
      <c r="T192" s="217"/>
      <c r="U192" s="290">
        <f>U189*OUTPUT!$F$13/100</f>
        <v>1.3465725689311245</v>
      </c>
      <c r="V192" s="290">
        <f>V189*OUTPUT!$F$13/100</f>
        <v>0.7436456968170595</v>
      </c>
      <c r="W192" s="18" t="s">
        <v>256</v>
      </c>
      <c r="X192" s="180"/>
    </row>
    <row r="193" spans="17:24" x14ac:dyDescent="0.2">
      <c r="Q193" s="135"/>
      <c r="R193" s="191"/>
      <c r="S193" s="275"/>
      <c r="T193" s="191"/>
      <c r="U193" s="275"/>
      <c r="V193" s="272"/>
      <c r="W193" s="18"/>
      <c r="X193" s="191"/>
    </row>
    <row r="194" spans="17:24" x14ac:dyDescent="0.2">
      <c r="Q194" s="135"/>
      <c r="R194" s="191"/>
      <c r="S194" s="275"/>
      <c r="T194" s="191"/>
      <c r="U194" s="275"/>
      <c r="V194" s="272"/>
      <c r="W194" s="18"/>
      <c r="X194" s="191"/>
    </row>
    <row r="195" spans="17:24" x14ac:dyDescent="0.2">
      <c r="X195" s="191"/>
    </row>
    <row r="196" spans="17:24" x14ac:dyDescent="0.2">
      <c r="X196" s="191"/>
    </row>
  </sheetData>
  <phoneticPr fontId="0" type="noConversion"/>
  <pageMargins left="0.15748031496062992" right="0.19685039370078741" top="0.98425196850393704" bottom="0.98425196850393704" header="0.51181102362204722" footer="0.51181102362204722"/>
  <pageSetup paperSize="9" scale="60" fitToHeight="0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293" r:id="rId4">
          <objectPr defaultSize="0" autoPict="0" r:id="rId5">
            <anchor moveWithCells="1">
              <from>
                <xdr:col>14</xdr:col>
                <xdr:colOff>476250</xdr:colOff>
                <xdr:row>68</xdr:row>
                <xdr:rowOff>9525</xdr:rowOff>
              </from>
              <to>
                <xdr:col>15</xdr:col>
                <xdr:colOff>514350</xdr:colOff>
                <xdr:row>70</xdr:row>
                <xdr:rowOff>85725</xdr:rowOff>
              </to>
            </anchor>
          </objectPr>
        </oleObject>
      </mc:Choice>
      <mc:Fallback>
        <oleObject progId="Equation.3" shapeId="2293" r:id="rId4"/>
      </mc:Fallback>
    </mc:AlternateContent>
    <mc:AlternateContent xmlns:mc="http://schemas.openxmlformats.org/markup-compatibility/2006">
      <mc:Choice Requires="x14">
        <oleObject progId="Equation.3" shapeId="2296" r:id="rId6">
          <objectPr defaultSize="0" autoPict="0" r:id="rId7">
            <anchor moveWithCells="1">
              <from>
                <xdr:col>3</xdr:col>
                <xdr:colOff>19050</xdr:colOff>
                <xdr:row>49</xdr:row>
                <xdr:rowOff>57150</xdr:rowOff>
              </from>
              <to>
                <xdr:col>4</xdr:col>
                <xdr:colOff>428625</xdr:colOff>
                <xdr:row>51</xdr:row>
                <xdr:rowOff>76200</xdr:rowOff>
              </to>
            </anchor>
          </objectPr>
        </oleObject>
      </mc:Choice>
      <mc:Fallback>
        <oleObject progId="Equation.3" shapeId="2296" r:id="rId6"/>
      </mc:Fallback>
    </mc:AlternateContent>
    <mc:AlternateContent xmlns:mc="http://schemas.openxmlformats.org/markup-compatibility/2006">
      <mc:Choice Requires="x14">
        <oleObject progId="Equation.3" shapeId="2049" r:id="rId8">
          <objectPr defaultSize="0" autoPict="0" r:id="rId9">
            <anchor moveWithCells="1" sizeWithCells="1">
              <from>
                <xdr:col>11</xdr:col>
                <xdr:colOff>381000</xdr:colOff>
                <xdr:row>32</xdr:row>
                <xdr:rowOff>76200</xdr:rowOff>
              </from>
              <to>
                <xdr:col>14</xdr:col>
                <xdr:colOff>104775</xdr:colOff>
                <xdr:row>35</xdr:row>
                <xdr:rowOff>133350</xdr:rowOff>
              </to>
            </anchor>
          </objectPr>
        </oleObject>
      </mc:Choice>
      <mc:Fallback>
        <oleObject progId="Equation.3" shapeId="2049" r:id="rId8"/>
      </mc:Fallback>
    </mc:AlternateContent>
    <mc:AlternateContent xmlns:mc="http://schemas.openxmlformats.org/markup-compatibility/2006">
      <mc:Choice Requires="x14">
        <oleObject progId="Equation.3" shapeId="2294" r:id="rId10">
          <objectPr defaultSize="0" autoPict="0" r:id="rId11">
            <anchor moveWithCells="1" sizeWithCells="1">
              <from>
                <xdr:col>11</xdr:col>
                <xdr:colOff>381000</xdr:colOff>
                <xdr:row>35</xdr:row>
                <xdr:rowOff>133350</xdr:rowOff>
              </from>
              <to>
                <xdr:col>14</xdr:col>
                <xdr:colOff>104775</xdr:colOff>
                <xdr:row>39</xdr:row>
                <xdr:rowOff>28575</xdr:rowOff>
              </to>
            </anchor>
          </objectPr>
        </oleObject>
      </mc:Choice>
      <mc:Fallback>
        <oleObject progId="Equation.3" shapeId="2294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>
    <pageSetUpPr fitToPage="1"/>
  </sheetPr>
  <dimension ref="A1:AC83"/>
  <sheetViews>
    <sheetView showGridLines="0" zoomScale="130" zoomScaleNormal="130" workbookViewId="0">
      <selection activeCell="D9" sqref="D9"/>
    </sheetView>
  </sheetViews>
  <sheetFormatPr defaultRowHeight="12.75" x14ac:dyDescent="0.2"/>
  <cols>
    <col min="1" max="1" width="2.28515625" customWidth="1"/>
    <col min="3" max="3" width="7.140625" customWidth="1"/>
    <col min="4" max="4" width="10.8554687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5" max="15" width="10.5703125" customWidth="1"/>
    <col min="16" max="16" width="2.28515625" customWidth="1"/>
    <col min="17" max="17" width="9.140625" style="6"/>
    <col min="21" max="21" width="12.7109375" bestFit="1" customWidth="1"/>
  </cols>
  <sheetData>
    <row r="1" spans="1:29" ht="15.75" customHeight="1" x14ac:dyDescent="0.2">
      <c r="A1" s="122"/>
      <c r="B1" s="123"/>
      <c r="C1" s="123"/>
      <c r="D1" s="123"/>
      <c r="E1" s="123"/>
      <c r="F1" s="124"/>
      <c r="G1" s="124"/>
      <c r="H1" s="5"/>
      <c r="I1" s="328" t="s">
        <v>154</v>
      </c>
      <c r="J1" s="329"/>
      <c r="K1" s="329"/>
      <c r="L1" s="329"/>
      <c r="M1" s="329"/>
      <c r="N1" s="329"/>
      <c r="O1" s="329"/>
      <c r="P1" s="330"/>
      <c r="Q1" s="143"/>
    </row>
    <row r="2" spans="1:29" ht="15.75" customHeight="1" x14ac:dyDescent="0.2">
      <c r="A2" s="125"/>
      <c r="B2" s="127"/>
      <c r="C2" s="126"/>
      <c r="D2" s="126"/>
      <c r="E2" s="126"/>
      <c r="F2" s="127"/>
      <c r="G2" s="127"/>
      <c r="H2" s="6"/>
      <c r="I2" s="331"/>
      <c r="J2" s="332"/>
      <c r="K2" s="332"/>
      <c r="L2" s="332"/>
      <c r="M2" s="332"/>
      <c r="N2" s="332"/>
      <c r="O2" s="332"/>
      <c r="P2" s="333"/>
      <c r="Q2" s="143"/>
    </row>
    <row r="3" spans="1:29" x14ac:dyDescent="0.2">
      <c r="A3" s="125"/>
      <c r="B3" s="127"/>
      <c r="C3" s="126"/>
      <c r="D3" s="126"/>
      <c r="E3" s="126"/>
      <c r="F3" s="127"/>
      <c r="G3" s="127"/>
      <c r="H3" s="6"/>
      <c r="I3" s="137" t="s">
        <v>165</v>
      </c>
      <c r="J3" s="319" t="str">
        <f>INVOER!G2</f>
        <v>TEST</v>
      </c>
      <c r="K3" s="319"/>
      <c r="L3" s="319"/>
      <c r="M3" s="320"/>
      <c r="N3" s="137" t="s">
        <v>167</v>
      </c>
      <c r="O3" s="313">
        <f>+INVOER!G5</f>
        <v>0</v>
      </c>
      <c r="P3" s="314"/>
    </row>
    <row r="4" spans="1:29" x14ac:dyDescent="0.2">
      <c r="A4" s="125"/>
      <c r="B4" s="127"/>
      <c r="C4" s="126"/>
      <c r="D4" s="126"/>
      <c r="E4" s="126"/>
      <c r="F4" s="127"/>
      <c r="G4" s="127"/>
      <c r="H4" s="6"/>
      <c r="I4" s="138" t="s">
        <v>166</v>
      </c>
      <c r="J4" s="321">
        <f>INVOER!G3</f>
        <v>0</v>
      </c>
      <c r="K4" s="321"/>
      <c r="L4" s="321"/>
      <c r="M4" s="322"/>
      <c r="N4" s="138" t="s">
        <v>182</v>
      </c>
      <c r="O4" s="315">
        <f>+INVOER!G6</f>
        <v>0</v>
      </c>
      <c r="P4" s="316"/>
    </row>
    <row r="5" spans="1:29" x14ac:dyDescent="0.2">
      <c r="A5" s="146"/>
      <c r="B5" s="147"/>
      <c r="C5" s="148"/>
      <c r="D5" s="148"/>
      <c r="E5" s="148"/>
      <c r="F5" s="147"/>
      <c r="G5" s="147"/>
      <c r="H5" s="56"/>
      <c r="I5" s="139" t="s">
        <v>168</v>
      </c>
      <c r="J5" s="323">
        <f>INVOER!G4</f>
        <v>0</v>
      </c>
      <c r="K5" s="323"/>
      <c r="L5" s="323"/>
      <c r="M5" s="324"/>
      <c r="N5" s="139" t="s">
        <v>183</v>
      </c>
      <c r="O5" s="317"/>
      <c r="P5" s="318"/>
    </row>
    <row r="6" spans="1:29" x14ac:dyDescent="0.2">
      <c r="A6" s="51" t="s">
        <v>109</v>
      </c>
      <c r="B6" s="5"/>
      <c r="C6" s="5"/>
      <c r="D6" s="5">
        <f>INVOER!C3</f>
        <v>45</v>
      </c>
      <c r="E6" s="5" t="s">
        <v>111</v>
      </c>
      <c r="F6" s="5"/>
      <c r="G6" s="52"/>
      <c r="H6" s="5" t="s">
        <v>123</v>
      </c>
      <c r="I6" s="5"/>
      <c r="J6" s="64" t="s">
        <v>25</v>
      </c>
      <c r="K6" s="68">
        <f>Berekening!K23</f>
        <v>850</v>
      </c>
      <c r="L6" s="51" t="s">
        <v>128</v>
      </c>
      <c r="M6" s="5"/>
      <c r="N6" s="5"/>
      <c r="O6" s="5"/>
      <c r="P6" s="52"/>
      <c r="R6" s="126"/>
      <c r="X6" s="126"/>
      <c r="Y6" s="128"/>
      <c r="Z6" s="128"/>
      <c r="AA6" s="128"/>
      <c r="AB6" s="128"/>
      <c r="AC6" s="128"/>
    </row>
    <row r="7" spans="1:29" x14ac:dyDescent="0.2">
      <c r="A7" s="53" t="s">
        <v>110</v>
      </c>
      <c r="B7" s="6"/>
      <c r="C7" s="6"/>
      <c r="D7" s="6">
        <f>INVOER!C4</f>
        <v>-30</v>
      </c>
      <c r="E7" s="6" t="str">
        <f>INVOER!T2</f>
        <v>[mbar(g)]</v>
      </c>
      <c r="F7" s="6"/>
      <c r="G7" s="54"/>
      <c r="H7" s="6" t="s">
        <v>147</v>
      </c>
      <c r="I7" s="6"/>
      <c r="J7" s="6">
        <f>INVOER!C11</f>
        <v>6</v>
      </c>
      <c r="K7" s="6"/>
      <c r="L7" s="62" t="s">
        <v>179</v>
      </c>
      <c r="M7" s="67">
        <f>J8</f>
        <v>1250</v>
      </c>
      <c r="N7" s="135" t="s">
        <v>169</v>
      </c>
      <c r="O7" s="67">
        <f>Berekening!K29*OUTPUT!M$7</f>
        <v>3106.25</v>
      </c>
      <c r="P7" s="54"/>
      <c r="X7" s="132"/>
      <c r="Y7" s="133"/>
      <c r="Z7" s="134"/>
      <c r="AA7" s="133"/>
      <c r="AB7" s="133"/>
      <c r="AC7" s="133"/>
    </row>
    <row r="8" spans="1:29" x14ac:dyDescent="0.2">
      <c r="A8" s="53" t="s">
        <v>153</v>
      </c>
      <c r="B8" s="6"/>
      <c r="C8" s="6"/>
      <c r="D8" s="8">
        <f>Berekening!C6</f>
        <v>16.361111111111111</v>
      </c>
      <c r="E8" s="6" t="s">
        <v>115</v>
      </c>
      <c r="F8" s="67">
        <f>3600*D8</f>
        <v>58900</v>
      </c>
      <c r="G8" s="54" t="s">
        <v>114</v>
      </c>
      <c r="H8" s="6" t="s">
        <v>184</v>
      </c>
      <c r="I8" s="6"/>
      <c r="J8" s="6">
        <f>Berekening!C13</f>
        <v>1250</v>
      </c>
      <c r="K8" s="54" t="s">
        <v>125</v>
      </c>
      <c r="L8" s="62" t="s">
        <v>178</v>
      </c>
      <c r="M8" s="67">
        <f>Berekening!K24*OUTPUT!M$7</f>
        <v>253.75000000000003</v>
      </c>
      <c r="N8" s="135" t="s">
        <v>170</v>
      </c>
      <c r="O8" s="67">
        <f>Berekening!K30*OUTPUT!M$7</f>
        <v>1640</v>
      </c>
      <c r="P8" s="54"/>
      <c r="X8" s="6"/>
      <c r="Y8" s="133"/>
      <c r="Z8" s="134"/>
      <c r="AA8" s="133"/>
      <c r="AB8" s="133"/>
      <c r="AC8" s="133"/>
    </row>
    <row r="9" spans="1:29" x14ac:dyDescent="0.2">
      <c r="A9" s="53" t="s">
        <v>153</v>
      </c>
      <c r="B9" s="6"/>
      <c r="C9" s="6"/>
      <c r="D9" s="8">
        <f>INVOER!U8</f>
        <v>13.629993971388537</v>
      </c>
      <c r="E9" s="6" t="s">
        <v>112</v>
      </c>
      <c r="F9" s="67">
        <f>3600*D9</f>
        <v>49067.978296998728</v>
      </c>
      <c r="G9" s="54" t="s">
        <v>113</v>
      </c>
      <c r="H9" s="6" t="s">
        <v>127</v>
      </c>
      <c r="I9" s="6"/>
      <c r="J9" s="135" t="str">
        <f>IF(Berekening!C14=1,"NA",Berekening!C14)</f>
        <v>NA</v>
      </c>
      <c r="K9" s="54"/>
      <c r="L9" s="62" t="s">
        <v>177</v>
      </c>
      <c r="M9" s="67">
        <f>Berekening!K25*OUTPUT!M$7</f>
        <v>571.25</v>
      </c>
      <c r="N9" s="135" t="s">
        <v>171</v>
      </c>
      <c r="O9" s="67">
        <f>Berekening!K31*OUTPUT!M$7</f>
        <v>750</v>
      </c>
      <c r="P9" s="54"/>
      <c r="X9" s="6"/>
      <c r="Y9" s="129"/>
      <c r="Z9" s="128"/>
      <c r="AA9" s="129"/>
      <c r="AB9" s="129"/>
      <c r="AC9" s="129"/>
    </row>
    <row r="10" spans="1:29" x14ac:dyDescent="0.2">
      <c r="A10" s="53" t="s">
        <v>116</v>
      </c>
      <c r="B10" s="6"/>
      <c r="C10" s="6"/>
      <c r="D10" s="6">
        <f>INVOER!S14</f>
        <v>1073</v>
      </c>
      <c r="E10" s="6" t="s">
        <v>117</v>
      </c>
      <c r="F10" s="6">
        <f>INVOER!T14</f>
        <v>1288.0029337557942</v>
      </c>
      <c r="G10" s="54" t="s">
        <v>146</v>
      </c>
      <c r="H10" s="6" t="s">
        <v>42</v>
      </c>
      <c r="I10" s="6"/>
      <c r="J10" s="72">
        <f>Berekening!R24</f>
        <v>18.811753513330512</v>
      </c>
      <c r="K10" s="54" t="s">
        <v>126</v>
      </c>
      <c r="L10" s="62" t="s">
        <v>176</v>
      </c>
      <c r="M10" s="67">
        <f>Berekening!K26*OUTPUT!M$7</f>
        <v>704.99999999999989</v>
      </c>
      <c r="N10" s="135" t="s">
        <v>172</v>
      </c>
      <c r="O10" s="67">
        <f>Berekening!K32*OUTPUT!M$7</f>
        <v>500</v>
      </c>
      <c r="P10" s="54"/>
      <c r="X10" s="132"/>
      <c r="Y10" s="131"/>
      <c r="Z10" s="130"/>
      <c r="AA10" s="131"/>
      <c r="AB10" s="131"/>
      <c r="AC10" s="131"/>
    </row>
    <row r="11" spans="1:29" x14ac:dyDescent="0.2">
      <c r="A11" s="53" t="s">
        <v>157</v>
      </c>
      <c r="B11" s="6"/>
      <c r="C11" s="6"/>
      <c r="D11" s="6">
        <f>INVOER!C7</f>
        <v>0.02</v>
      </c>
      <c r="E11" s="6" t="s">
        <v>118</v>
      </c>
      <c r="F11" s="6"/>
      <c r="G11" s="54"/>
      <c r="H11" s="53" t="s">
        <v>124</v>
      </c>
      <c r="I11" s="6"/>
      <c r="J11" s="72">
        <f>Berekening!R25</f>
        <v>23.576258534984305</v>
      </c>
      <c r="K11" s="54" t="s">
        <v>126</v>
      </c>
      <c r="L11" s="62" t="s">
        <v>175</v>
      </c>
      <c r="M11" s="67">
        <f>Berekening!K27*OUTPUT!M$7*INVOER!C17</f>
        <v>383.75</v>
      </c>
      <c r="N11" s="135" t="s">
        <v>173</v>
      </c>
      <c r="O11" s="67">
        <f>Berekening!K33*OUTPUT!M$7</f>
        <v>375</v>
      </c>
      <c r="P11" s="54"/>
      <c r="X11" s="130"/>
      <c r="Y11" s="131"/>
      <c r="Z11" s="130"/>
      <c r="AA11" s="131"/>
      <c r="AB11" s="131"/>
      <c r="AC11" s="131"/>
    </row>
    <row r="12" spans="1:29" x14ac:dyDescent="0.2">
      <c r="A12" s="53" t="s">
        <v>119</v>
      </c>
      <c r="B12" s="6"/>
      <c r="C12" s="6"/>
      <c r="D12" s="6">
        <f>Berekening!C9</f>
        <v>1500</v>
      </c>
      <c r="E12" s="6" t="s">
        <v>122</v>
      </c>
      <c r="F12" s="6"/>
      <c r="G12" s="54"/>
      <c r="H12" s="6" t="s">
        <v>193</v>
      </c>
      <c r="I12" s="6"/>
      <c r="J12" s="135" t="str">
        <f>INVOER!T35</f>
        <v>Y</v>
      </c>
      <c r="K12" s="6"/>
      <c r="L12" s="62" t="s">
        <v>181</v>
      </c>
      <c r="M12" s="67">
        <f>Berekening!K28*OUTPUT!M$7</f>
        <v>535</v>
      </c>
      <c r="N12" s="135" t="s">
        <v>174</v>
      </c>
      <c r="O12" s="67">
        <f>0.625*O10</f>
        <v>312.5</v>
      </c>
      <c r="P12" s="54"/>
      <c r="X12" s="130"/>
      <c r="Y12" s="6"/>
      <c r="Z12" s="6"/>
      <c r="AA12" s="6"/>
      <c r="AB12" s="6"/>
      <c r="AC12" s="6"/>
    </row>
    <row r="13" spans="1:29" x14ac:dyDescent="0.2">
      <c r="A13" s="55" t="s">
        <v>120</v>
      </c>
      <c r="B13" s="56"/>
      <c r="C13" s="56"/>
      <c r="D13" s="86">
        <f>INVOER!U18*1000</f>
        <v>77.000000000000014</v>
      </c>
      <c r="E13" s="56" t="s">
        <v>121</v>
      </c>
      <c r="F13" s="86">
        <f>INVOER!V18*1000</f>
        <v>92.428915097107321</v>
      </c>
      <c r="G13" s="60" t="s">
        <v>47</v>
      </c>
      <c r="H13" s="56"/>
      <c r="I13" s="56"/>
      <c r="J13" s="56"/>
      <c r="K13" s="56"/>
      <c r="L13" s="63" t="s">
        <v>180</v>
      </c>
      <c r="M13" s="136">
        <f>M7*0.892</f>
        <v>1115</v>
      </c>
      <c r="N13" s="56"/>
      <c r="O13" s="56"/>
      <c r="P13" s="60"/>
      <c r="X13" s="6"/>
      <c r="Y13" s="6"/>
      <c r="Z13" s="6"/>
      <c r="AA13" s="6"/>
      <c r="AB13" s="6"/>
      <c r="AC13" s="6"/>
    </row>
    <row r="14" spans="1:29" x14ac:dyDescent="0.2">
      <c r="A14" s="53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84"/>
      <c r="N14" s="6"/>
      <c r="O14" s="6"/>
      <c r="P14" s="54"/>
      <c r="S14" s="6"/>
      <c r="T14" s="6"/>
      <c r="U14" s="6"/>
      <c r="V14" s="6"/>
      <c r="W14" s="6"/>
      <c r="X14" s="6"/>
    </row>
    <row r="15" spans="1:29" x14ac:dyDescent="0.2">
      <c r="A15" s="53"/>
      <c r="B15" s="310" t="s">
        <v>133</v>
      </c>
      <c r="C15" s="311"/>
      <c r="D15" s="311"/>
      <c r="E15" s="312"/>
      <c r="F15" s="6"/>
      <c r="G15" s="310" t="s">
        <v>260</v>
      </c>
      <c r="H15" s="311"/>
      <c r="I15" s="311"/>
      <c r="J15" s="311"/>
      <c r="K15" s="311"/>
      <c r="L15" s="311"/>
      <c r="M15" s="311"/>
      <c r="N15" s="311"/>
      <c r="O15" s="312"/>
      <c r="P15" s="54"/>
    </row>
    <row r="16" spans="1:29" x14ac:dyDescent="0.2">
      <c r="A16" s="53"/>
      <c r="B16" s="53" t="s">
        <v>134</v>
      </c>
      <c r="C16" s="6"/>
      <c r="D16" s="8">
        <f>100-K41</f>
        <v>99.195440413818801</v>
      </c>
      <c r="E16" s="54" t="s">
        <v>5</v>
      </c>
      <c r="F16" s="6"/>
      <c r="G16" s="73" t="s">
        <v>138</v>
      </c>
      <c r="H16" s="334" t="s">
        <v>188</v>
      </c>
      <c r="I16" s="334"/>
      <c r="J16" s="325" t="s">
        <v>189</v>
      </c>
      <c r="K16" s="326"/>
      <c r="L16" s="327"/>
      <c r="M16" s="325" t="s">
        <v>190</v>
      </c>
      <c r="N16" s="327"/>
      <c r="O16" s="119" t="s">
        <v>191</v>
      </c>
      <c r="P16" s="232"/>
      <c r="Q16" s="233"/>
    </row>
    <row r="17" spans="1:17" x14ac:dyDescent="0.2">
      <c r="A17" s="53"/>
      <c r="B17" s="53" t="s">
        <v>135</v>
      </c>
      <c r="C17" s="6"/>
      <c r="D17" s="151">
        <f>K41/100*D13</f>
        <v>0.61951088135952415</v>
      </c>
      <c r="E17" s="54" t="s">
        <v>148</v>
      </c>
      <c r="F17" s="6"/>
      <c r="G17" s="74" t="s">
        <v>139</v>
      </c>
      <c r="H17" s="70" t="s">
        <v>140</v>
      </c>
      <c r="I17" s="70" t="s">
        <v>141</v>
      </c>
      <c r="J17" s="70" t="s">
        <v>142</v>
      </c>
      <c r="K17" s="70" t="s">
        <v>143</v>
      </c>
      <c r="L17" s="70" t="s">
        <v>140</v>
      </c>
      <c r="M17" s="70" t="s">
        <v>144</v>
      </c>
      <c r="N17" s="70" t="s">
        <v>140</v>
      </c>
      <c r="O17" s="120" t="s">
        <v>192</v>
      </c>
      <c r="P17" s="232"/>
      <c r="Q17" s="233"/>
    </row>
    <row r="18" spans="1:17" x14ac:dyDescent="0.2">
      <c r="A18" s="53"/>
      <c r="B18" s="53" t="s">
        <v>135</v>
      </c>
      <c r="C18" s="6"/>
      <c r="D18" s="151">
        <f>K41/100*F13</f>
        <v>0.7436456968170595</v>
      </c>
      <c r="E18" s="54" t="s">
        <v>47</v>
      </c>
      <c r="F18" s="6"/>
      <c r="G18" s="75">
        <f>Berekening!B76</f>
        <v>0.32540092615184979</v>
      </c>
      <c r="H18" s="71">
        <f>100*Berekening!R76</f>
        <v>99.999999998597843</v>
      </c>
      <c r="I18" s="71">
        <f>Berekening!T76</f>
        <v>1.4021561689503415E-9</v>
      </c>
      <c r="J18" s="71">
        <f>IF(INVOER!$R$35=1,100*Berekening!H76,100*Berekening!I76)</f>
        <v>100</v>
      </c>
      <c r="K18" s="258">
        <f>J18*I18/100</f>
        <v>1.4021561689503415E-9</v>
      </c>
      <c r="L18" s="71">
        <f>100*(1-K18/K41)</f>
        <v>99.999999825723762</v>
      </c>
      <c r="M18" s="71">
        <f>I18-K18</f>
        <v>0</v>
      </c>
      <c r="N18" s="71">
        <f>100-M18/M41*100</f>
        <v>100</v>
      </c>
      <c r="O18" s="121">
        <f t="shared" ref="O18:O40" si="0">100-J18</f>
        <v>0</v>
      </c>
      <c r="P18" s="151"/>
      <c r="Q18" s="234"/>
    </row>
    <row r="19" spans="1:17" x14ac:dyDescent="0.2">
      <c r="A19" s="53"/>
      <c r="B19" s="113" t="s">
        <v>158</v>
      </c>
      <c r="C19" s="114"/>
      <c r="D19" s="114"/>
      <c r="E19" s="115"/>
      <c r="F19" s="6"/>
      <c r="G19" s="75">
        <f>Berekening!B81</f>
        <v>0.8012269284363549</v>
      </c>
      <c r="H19" s="71">
        <f>100*Berekening!R81</f>
        <v>99.999999992300332</v>
      </c>
      <c r="I19" s="71">
        <f>H18-H19</f>
        <v>6.2975118453323375E-9</v>
      </c>
      <c r="J19" s="71">
        <f>IF(INVOER!$R$35=1,100*Berekening!H81,100*Berekening!I81)</f>
        <v>86.159085623787206</v>
      </c>
      <c r="K19" s="258">
        <f>J19*I19/100</f>
        <v>5.4258786229880303E-9</v>
      </c>
      <c r="L19" s="71">
        <f t="shared" ref="L19:L40" si="1">L18-100*K19/K$41</f>
        <v>99.999999151332617</v>
      </c>
      <c r="M19" s="71">
        <f>I19-K19</f>
        <v>8.7163322234430729E-10</v>
      </c>
      <c r="N19" s="71">
        <f t="shared" ref="N19:N40" si="2">N18-M19/M$41*100</f>
        <v>99.9999999991213</v>
      </c>
      <c r="O19" s="121">
        <f t="shared" ref="O19:O24" si="3">100-J19</f>
        <v>13.840914376212794</v>
      </c>
      <c r="P19" s="151"/>
      <c r="Q19" s="234"/>
    </row>
    <row r="20" spans="1:17" x14ac:dyDescent="0.2">
      <c r="A20" s="53"/>
      <c r="B20" s="144" t="s">
        <v>185</v>
      </c>
      <c r="C20" s="6"/>
      <c r="D20" s="67">
        <f>Berekening!R27</f>
        <v>1803648.4415278442</v>
      </c>
      <c r="E20" s="54" t="s">
        <v>136</v>
      </c>
      <c r="F20" s="6"/>
      <c r="G20" s="75">
        <f>Berekening!B86</f>
        <v>1.009178347531285</v>
      </c>
      <c r="H20" s="71">
        <f>100*Berekening!R86</f>
        <v>99.999999957718686</v>
      </c>
      <c r="I20" s="71">
        <f>H19-H20</f>
        <v>3.4581645991238474E-8</v>
      </c>
      <c r="J20" s="71">
        <f>IF(INVOER!$R$35=1,100*Berekening!H86,100*Berekening!I86)</f>
        <v>75.39082553487853</v>
      </c>
      <c r="K20" s="258">
        <f>J20*I20/100</f>
        <v>2.6071388396343912E-8</v>
      </c>
      <c r="L20" s="71">
        <f>L19-100*K20/K$41</f>
        <v>99.999995910877985</v>
      </c>
      <c r="M20" s="71">
        <f>I20-K20</f>
        <v>8.5102575948945627E-9</v>
      </c>
      <c r="N20" s="71">
        <f>N19-M20/M$41*100</f>
        <v>99.999999990542022</v>
      </c>
      <c r="O20" s="121">
        <f t="shared" si="3"/>
        <v>24.60917446512147</v>
      </c>
      <c r="P20" s="151"/>
      <c r="Q20" s="234"/>
    </row>
    <row r="21" spans="1:17" x14ac:dyDescent="0.2">
      <c r="A21" s="53"/>
      <c r="B21" s="145" t="s">
        <v>186</v>
      </c>
      <c r="C21" s="116"/>
      <c r="D21" s="117">
        <f>Berekening!R28</f>
        <v>1171801.9138010372</v>
      </c>
      <c r="E21" s="118" t="s">
        <v>136</v>
      </c>
      <c r="F21" s="6"/>
      <c r="G21" s="75">
        <f>Berekening!B91</f>
        <v>1.2711017328305814</v>
      </c>
      <c r="H21" s="71">
        <f>100*Berekening!R91</f>
        <v>99.999999767820043</v>
      </c>
      <c r="I21" s="71">
        <f t="shared" ref="I21:I40" si="4">H20-H21</f>
        <v>1.898986425885596E-7</v>
      </c>
      <c r="J21" s="71">
        <f>IF(INVOER!$R$35=1,100*Berekening!H91,100*Berekening!I91)</f>
        <v>65.490917614523809</v>
      </c>
      <c r="K21" s="258">
        <f>J21*I21/100</f>
        <v>1.2436636356877258E-7</v>
      </c>
      <c r="L21" s="71">
        <f>L20-100*K21/K$41</f>
        <v>99.999980453183397</v>
      </c>
      <c r="M21" s="71">
        <f>I21-K21</f>
        <v>6.5532279019787021E-8</v>
      </c>
      <c r="N21" s="71">
        <f>N20-M21/M$41*100</f>
        <v>99.999999924478217</v>
      </c>
      <c r="O21" s="121">
        <f t="shared" si="3"/>
        <v>34.509082385476191</v>
      </c>
      <c r="P21" s="151"/>
      <c r="Q21" s="234"/>
    </row>
    <row r="22" spans="1:17" x14ac:dyDescent="0.2">
      <c r="A22" s="53"/>
      <c r="B22" s="53" t="s">
        <v>77</v>
      </c>
      <c r="C22" s="6"/>
      <c r="D22" s="66">
        <f>Berekening!K51</f>
        <v>0.68620726181660807</v>
      </c>
      <c r="E22" s="54" t="s">
        <v>137</v>
      </c>
      <c r="F22" s="6"/>
      <c r="G22" s="75">
        <f>Berekening!B96</f>
        <v>1.6010050345980291</v>
      </c>
      <c r="H22" s="71">
        <f>100*Berekening!R96</f>
        <v>99.999998725026956</v>
      </c>
      <c r="I22" s="71">
        <f t="shared" si="4"/>
        <v>1.0427930874357116E-6</v>
      </c>
      <c r="J22" s="71">
        <f>IF(INVOER!$R$35=1,100*Berekening!H96,100*Berekening!I96)</f>
        <v>56.012977979475345</v>
      </c>
      <c r="K22" s="258">
        <f>J22*I22/100</f>
        <v>5.8409946243685619E-7</v>
      </c>
      <c r="L22" s="71">
        <f t="shared" si="1"/>
        <v>99.999907854525389</v>
      </c>
      <c r="M22" s="71">
        <f t="shared" ref="M22:M39" si="5">I22-K22</f>
        <v>4.5869362499885545E-7</v>
      </c>
      <c r="N22" s="71">
        <f t="shared" si="2"/>
        <v>99.999999462064196</v>
      </c>
      <c r="O22" s="121">
        <f t="shared" si="3"/>
        <v>43.987022020524655</v>
      </c>
      <c r="P22" s="151"/>
      <c r="Q22" s="234"/>
    </row>
    <row r="23" spans="1:17" x14ac:dyDescent="0.2">
      <c r="A23" s="53"/>
      <c r="B23" s="53" t="s">
        <v>79</v>
      </c>
      <c r="C23" s="6"/>
      <c r="D23" s="66">
        <f>Berekening!K52</f>
        <v>0.74482099353581055</v>
      </c>
      <c r="E23" s="54" t="s">
        <v>137</v>
      </c>
      <c r="F23" s="6"/>
      <c r="G23" s="75">
        <f>Berekening!B101</f>
        <v>2.0165318436788526</v>
      </c>
      <c r="H23" s="71">
        <f>100*Berekening!R101</f>
        <v>99.999992998722647</v>
      </c>
      <c r="I23" s="71">
        <f t="shared" si="4"/>
        <v>5.7263043089506027E-6</v>
      </c>
      <c r="J23" s="71">
        <f>IF(INVOER!$R$35=1,100*Berekening!H101,100*Berekening!I101)</f>
        <v>46.895411083923165</v>
      </c>
      <c r="K23" s="258">
        <f t="shared" ref="K23:K40" si="6">J23*I23/100</f>
        <v>2.6853739455987909E-6</v>
      </c>
      <c r="L23" s="71">
        <f t="shared" si="1"/>
        <v>99.99957408509529</v>
      </c>
      <c r="M23" s="71">
        <f t="shared" si="5"/>
        <v>3.0409303633518119E-6</v>
      </c>
      <c r="N23" s="71">
        <f>N22-M23/M$41*100</f>
        <v>99.999996396469299</v>
      </c>
      <c r="O23" s="121">
        <f t="shared" si="3"/>
        <v>53.104588916076835</v>
      </c>
      <c r="P23" s="151"/>
      <c r="Q23" s="234"/>
    </row>
    <row r="24" spans="1:17" x14ac:dyDescent="0.2">
      <c r="A24" s="53"/>
      <c r="B24" s="53" t="s">
        <v>81</v>
      </c>
      <c r="C24" s="6"/>
      <c r="D24" s="66">
        <f>Berekening!K53</f>
        <v>1.8620865438356906</v>
      </c>
      <c r="E24" s="54" t="s">
        <v>137</v>
      </c>
      <c r="F24" s="6"/>
      <c r="G24" s="75">
        <f>Berekening!B106</f>
        <v>2.5399049901125386</v>
      </c>
      <c r="H24" s="71">
        <f>100*Berekening!R106</f>
        <v>99.999961553792417</v>
      </c>
      <c r="I24" s="71">
        <f t="shared" si="4"/>
        <v>3.1444930229440615E-5</v>
      </c>
      <c r="J24" s="71">
        <f>IF(INVOER!$R$35=1,100*Berekening!H106,100*Berekening!I106)</f>
        <v>38.220574045670688</v>
      </c>
      <c r="K24" s="258">
        <f>J24*I24/100</f>
        <v>1.2018432841952836E-5</v>
      </c>
      <c r="L24" s="71">
        <f>L23-100*K24/K$41</f>
        <v>99.998080294821904</v>
      </c>
      <c r="M24" s="71">
        <f t="shared" si="5"/>
        <v>1.9426497387487778E-5</v>
      </c>
      <c r="N24" s="71">
        <f t="shared" si="2"/>
        <v>99.999976812406459</v>
      </c>
      <c r="O24" s="121">
        <f t="shared" si="3"/>
        <v>61.779425954329312</v>
      </c>
      <c r="P24" s="151"/>
      <c r="Q24" s="234"/>
    </row>
    <row r="25" spans="1:17" x14ac:dyDescent="0.2">
      <c r="A25" s="53"/>
      <c r="B25" s="53" t="s">
        <v>83</v>
      </c>
      <c r="C25" s="6"/>
      <c r="D25" s="66">
        <f>Berekening!K54</f>
        <v>6.8259540145338988</v>
      </c>
      <c r="E25" s="54" t="s">
        <v>137</v>
      </c>
      <c r="F25" s="6"/>
      <c r="G25" s="75">
        <f>Berekening!B111</f>
        <v>3.1991150444862315</v>
      </c>
      <c r="H25" s="71">
        <f>100*Berekening!R111</f>
        <v>99.999788879977388</v>
      </c>
      <c r="I25" s="71">
        <f t="shared" si="4"/>
        <v>1.7267381502961143E-4</v>
      </c>
      <c r="J25" s="71">
        <f>IF(INVOER!$R$35=1,100*Berekening!H111,100*Berekening!I111)</f>
        <v>30.143040570892648</v>
      </c>
      <c r="K25" s="258">
        <f>J25*I25/100</f>
        <v>5.2049138119683906E-5</v>
      </c>
      <c r="L25" s="71">
        <f t="shared" si="1"/>
        <v>99.991611024053938</v>
      </c>
      <c r="M25" s="71">
        <f>I25-K25</f>
        <v>1.2062467690992753E-4</v>
      </c>
      <c r="N25" s="71">
        <f>N24-M25/M$41*100</f>
        <v>99.999855209360589</v>
      </c>
      <c r="O25" s="121">
        <f t="shared" si="0"/>
        <v>69.856959429107349</v>
      </c>
      <c r="P25" s="151"/>
      <c r="Q25" s="234"/>
    </row>
    <row r="26" spans="1:17" x14ac:dyDescent="0.2">
      <c r="A26" s="53"/>
      <c r="B26" s="55" t="s">
        <v>84</v>
      </c>
      <c r="C26" s="56"/>
      <c r="D26" s="150">
        <f>Berekening!K55</f>
        <v>9.4756678610161078</v>
      </c>
      <c r="E26" s="60" t="s">
        <v>137</v>
      </c>
      <c r="F26" s="6"/>
      <c r="G26" s="75">
        <f>Berekening!B116</f>
        <v>4.0294172843861693</v>
      </c>
      <c r="H26" s="71">
        <f>100*Berekening!R116</f>
        <v>99.998840679122708</v>
      </c>
      <c r="I26" s="71">
        <f t="shared" si="4"/>
        <v>9.4820085467972604E-4</v>
      </c>
      <c r="J26" s="71">
        <f>IF(INVOER!$R$35=1,100*Berekening!H116,100*Berekening!I116)</f>
        <v>22.848064378011081</v>
      </c>
      <c r="K26" s="258">
        <f t="shared" si="6"/>
        <v>2.1664554171007508E-4</v>
      </c>
      <c r="L26" s="71">
        <f t="shared" si="1"/>
        <v>99.964683802573873</v>
      </c>
      <c r="M26" s="71">
        <f>I26-K26</f>
        <v>7.315553129696509E-4</v>
      </c>
      <c r="N26" s="71">
        <f t="shared" si="2"/>
        <v>99.999117720510384</v>
      </c>
      <c r="O26" s="121">
        <f t="shared" si="0"/>
        <v>77.151935621988912</v>
      </c>
      <c r="P26" s="151"/>
      <c r="Q26" s="234"/>
    </row>
    <row r="27" spans="1:17" x14ac:dyDescent="0.2">
      <c r="A27" s="53"/>
      <c r="B27" s="6"/>
      <c r="C27" s="6"/>
      <c r="D27" s="66"/>
      <c r="E27" s="6"/>
      <c r="F27" s="6"/>
      <c r="G27" s="75">
        <f>Berekening!B121</f>
        <v>5.0752171853568004</v>
      </c>
      <c r="H27" s="71">
        <f>100*Berekening!R121</f>
        <v>99.993633970565625</v>
      </c>
      <c r="I27" s="71">
        <f t="shared" si="4"/>
        <v>5.2067085570826066E-3</v>
      </c>
      <c r="J27" s="71">
        <f>IF(INVOER!$R$35=1,100*Berekening!H121,100*Berekening!I121)</f>
        <v>16.514517800067999</v>
      </c>
      <c r="K27" s="258">
        <f t="shared" si="6"/>
        <v>8.5986281145707067E-4</v>
      </c>
      <c r="L27" s="71">
        <f t="shared" si="1"/>
        <v>99.857810076099696</v>
      </c>
      <c r="M27" s="71">
        <f>I27-K27</f>
        <v>4.3468457456255355E-3</v>
      </c>
      <c r="N27" s="71">
        <f t="shared" si="2"/>
        <v>99.994735618140055</v>
      </c>
      <c r="O27" s="121">
        <f t="shared" si="0"/>
        <v>83.485482199931994</v>
      </c>
      <c r="P27" s="151"/>
      <c r="Q27" s="234"/>
    </row>
    <row r="28" spans="1:17" x14ac:dyDescent="0.2">
      <c r="A28" s="53"/>
      <c r="B28" s="6"/>
      <c r="C28" s="6"/>
      <c r="D28" s="6"/>
      <c r="E28" s="6"/>
      <c r="F28" s="6"/>
      <c r="G28" s="75">
        <f>Berekening!B126</f>
        <v>6.3924452744945448</v>
      </c>
      <c r="H28" s="71">
        <f>100*Berekening!R126</f>
        <v>99.965047129478464</v>
      </c>
      <c r="I28" s="71">
        <f t="shared" si="4"/>
        <v>2.8586841087161474E-2</v>
      </c>
      <c r="J28" s="71">
        <f>IF(INVOER!$R$35=1,100*Berekening!H126,100*Berekening!I126)</f>
        <v>11.278068919320377</v>
      </c>
      <c r="K28" s="258">
        <f t="shared" si="6"/>
        <v>3.2240436396666653E-3</v>
      </c>
      <c r="L28" s="71">
        <f t="shared" si="1"/>
        <v>99.457088526690356</v>
      </c>
      <c r="M28" s="71">
        <f t="shared" si="5"/>
        <v>2.5362797447494808E-2</v>
      </c>
      <c r="N28" s="71">
        <f t="shared" si="2"/>
        <v>99.969167106783402</v>
      </c>
      <c r="O28" s="121">
        <f t="shared" si="0"/>
        <v>88.721931080679624</v>
      </c>
      <c r="P28" s="151"/>
      <c r="Q28" s="234"/>
    </row>
    <row r="29" spans="1:17" x14ac:dyDescent="0.2">
      <c r="A29" s="53"/>
      <c r="B29" s="6"/>
      <c r="C29" s="6"/>
      <c r="D29" s="6"/>
      <c r="E29" s="6"/>
      <c r="F29" s="6"/>
      <c r="G29" s="75">
        <f>Berekening!B131</f>
        <v>8.0515483564541945</v>
      </c>
      <c r="H29" s="71">
        <f>100*Berekening!R131</f>
        <v>99.808213400875346</v>
      </c>
      <c r="I29" s="71">
        <f t="shared" si="4"/>
        <v>0.15683372860311806</v>
      </c>
      <c r="J29" s="71">
        <f>IF(INVOER!$R$35=1,100*Berekening!H131,100*Berekening!I131)</f>
        <v>7.1985697336290633</v>
      </c>
      <c r="K29" s="258">
        <f t="shared" si="6"/>
        <v>1.1289785319346005E-2</v>
      </c>
      <c r="L29" s="71">
        <f t="shared" si="1"/>
        <v>98.053863021301453</v>
      </c>
      <c r="M29" s="71">
        <f t="shared" si="5"/>
        <v>0.14554394328377207</v>
      </c>
      <c r="N29" s="71">
        <f t="shared" si="2"/>
        <v>99.822442678042933</v>
      </c>
      <c r="O29" s="121">
        <f t="shared" si="0"/>
        <v>92.801430266370943</v>
      </c>
      <c r="P29" s="151"/>
      <c r="Q29" s="234"/>
    </row>
    <row r="30" spans="1:17" x14ac:dyDescent="0.2">
      <c r="A30" s="53"/>
      <c r="F30" s="6"/>
      <c r="G30" s="75">
        <f>Berekening!B136</f>
        <v>10.141257085919472</v>
      </c>
      <c r="H30" s="71">
        <f>100*Berekening!R136</f>
        <v>98.951365241681088</v>
      </c>
      <c r="I30" s="71">
        <f t="shared" si="4"/>
        <v>0.85684815919425716</v>
      </c>
      <c r="J30" s="71">
        <f>IF(INVOER!$R$35=1,100*Berekening!H136,100*Berekening!I136)</f>
        <v>4.3983060689737359</v>
      </c>
      <c r="K30" s="258">
        <f>J30*I30/100</f>
        <v>3.768680458773075E-2</v>
      </c>
      <c r="L30" s="71">
        <f t="shared" si="1"/>
        <v>93.369709698785073</v>
      </c>
      <c r="M30" s="71">
        <f t="shared" si="5"/>
        <v>0.81916135460652639</v>
      </c>
      <c r="N30" s="71">
        <f t="shared" si="2"/>
        <v>98.996637226512917</v>
      </c>
      <c r="O30" s="121">
        <f t="shared" si="0"/>
        <v>95.601693931026261</v>
      </c>
      <c r="P30" s="151"/>
      <c r="Q30" s="234"/>
    </row>
    <row r="31" spans="1:17" x14ac:dyDescent="0.2">
      <c r="A31" s="53"/>
      <c r="F31" s="6"/>
      <c r="G31" s="75">
        <f>Berekening!B141</f>
        <v>12.77333138045061</v>
      </c>
      <c r="H31" s="71">
        <f>100*Berekening!R141</f>
        <v>94.375575667914163</v>
      </c>
      <c r="I31" s="71">
        <f t="shared" si="4"/>
        <v>4.5757895737669259</v>
      </c>
      <c r="J31" s="71">
        <f>IF(INVOER!$R$35=1,100*Berekening!H141,100*Berekening!I141)</f>
        <v>2.544644306106743</v>
      </c>
      <c r="K31" s="258">
        <f t="shared" si="6"/>
        <v>0.11643756884828609</v>
      </c>
      <c r="L31" s="71">
        <f t="shared" si="1"/>
        <v>78.89749771496534</v>
      </c>
      <c r="M31" s="71">
        <f t="shared" si="5"/>
        <v>4.4593520049186397</v>
      </c>
      <c r="N31" s="71">
        <f t="shared" si="2"/>
        <v>94.501116075222768</v>
      </c>
      <c r="O31" s="121">
        <f t="shared" si="0"/>
        <v>97.455355693893253</v>
      </c>
      <c r="P31" s="151"/>
      <c r="Q31" s="234"/>
    </row>
    <row r="32" spans="1:17" x14ac:dyDescent="0.2">
      <c r="A32" s="53"/>
      <c r="F32" s="6"/>
      <c r="G32" s="75">
        <f>Berekening!B146</f>
        <v>16.088537463599003</v>
      </c>
      <c r="H32" s="71">
        <f>100*Berekening!R146</f>
        <v>78.741724295533416</v>
      </c>
      <c r="I32" s="71">
        <f t="shared" si="4"/>
        <v>15.633851372380747</v>
      </c>
      <c r="J32" s="71">
        <f>IF(INVOER!$R$35=1,100*Berekening!H146,100*Berekening!I146)</f>
        <v>1.3354149474619312</v>
      </c>
      <c r="K32" s="258">
        <f>J32*I32/100</f>
        <v>0.20877678809075476</v>
      </c>
      <c r="L32" s="71">
        <f t="shared" si="1"/>
        <v>52.948296229255277</v>
      </c>
      <c r="M32" s="71">
        <f t="shared" si="5"/>
        <v>15.425074584289991</v>
      </c>
      <c r="N32" s="71">
        <f t="shared" si="2"/>
        <v>78.950930986129563</v>
      </c>
      <c r="O32" s="121">
        <f t="shared" si="0"/>
        <v>98.664585052538072</v>
      </c>
      <c r="P32" s="151"/>
      <c r="Q32" s="234"/>
    </row>
    <row r="33" spans="1:24" x14ac:dyDescent="0.2">
      <c r="A33" s="53"/>
      <c r="F33" s="6"/>
      <c r="G33" s="75">
        <f>Berekening!B151</f>
        <v>20.264176197118079</v>
      </c>
      <c r="H33" s="71">
        <f>100*Berekening!R151</f>
        <v>53.98515054503018</v>
      </c>
      <c r="I33" s="71">
        <f t="shared" si="4"/>
        <v>24.756573750503236</v>
      </c>
      <c r="J33" s="71">
        <f>IF(INVOER!$R$35=1,100*Berekening!H151,100*Berekening!I151)</f>
        <v>0.62481602334815278</v>
      </c>
      <c r="K33" s="258">
        <f t="shared" si="6"/>
        <v>0.15468303962514696</v>
      </c>
      <c r="L33" s="71">
        <f t="shared" si="1"/>
        <v>33.722493407199309</v>
      </c>
      <c r="M33" s="71">
        <f t="shared" si="5"/>
        <v>24.601890710878088</v>
      </c>
      <c r="N33" s="71">
        <f t="shared" si="2"/>
        <v>54.149497968397</v>
      </c>
      <c r="O33" s="121">
        <f t="shared" si="0"/>
        <v>99.37518397665184</v>
      </c>
      <c r="P33" s="151"/>
      <c r="Q33" s="234"/>
    </row>
    <row r="34" spans="1:24" x14ac:dyDescent="0.2">
      <c r="A34" s="53"/>
      <c r="F34" s="6"/>
      <c r="G34" s="75">
        <f>Berekening!B156</f>
        <v>25.523565325743878</v>
      </c>
      <c r="H34" s="71">
        <f>100*Berekening!R156</f>
        <v>29.142253106221734</v>
      </c>
      <c r="I34" s="71">
        <f>H33-H34</f>
        <v>24.842897438808446</v>
      </c>
      <c r="J34" s="71">
        <f>IF(INVOER!$R$35=1,100*Berekening!H156,100*Berekening!I156)</f>
        <v>0.25538942261306191</v>
      </c>
      <c r="K34" s="258">
        <f t="shared" si="6"/>
        <v>6.3446132329328039E-2</v>
      </c>
      <c r="L34" s="71">
        <f t="shared" si="1"/>
        <v>25.836671969103993</v>
      </c>
      <c r="M34" s="71">
        <f t="shared" si="5"/>
        <v>24.779451306479118</v>
      </c>
      <c r="N34" s="71">
        <f t="shared" si="2"/>
        <v>29.169064187262116</v>
      </c>
      <c r="O34" s="121">
        <f t="shared" si="0"/>
        <v>99.744610577386936</v>
      </c>
      <c r="P34" s="151"/>
      <c r="Q34" s="234"/>
    </row>
    <row r="35" spans="1:24" x14ac:dyDescent="0.2">
      <c r="A35" s="53"/>
      <c r="F35" s="6"/>
      <c r="G35" s="75">
        <f>Berekening!B161</f>
        <v>32.147982755408691</v>
      </c>
      <c r="H35" s="71">
        <f>100*Berekening!R161</f>
        <v>13.544279948777929</v>
      </c>
      <c r="I35" s="71">
        <f t="shared" si="4"/>
        <v>15.597973157443805</v>
      </c>
      <c r="J35" s="71">
        <f>IF(INVOER!$R$35=1,100*Berekening!H161,100*Berekening!I161)</f>
        <v>8.9036723065018974E-2</v>
      </c>
      <c r="K35" s="258">
        <f t="shared" si="6"/>
        <v>1.3887924163949237E-2</v>
      </c>
      <c r="L35" s="71">
        <f t="shared" si="1"/>
        <v>24.110519624084088</v>
      </c>
      <c r="M35" s="71">
        <f t="shared" si="5"/>
        <v>15.584085233279856</v>
      </c>
      <c r="N35" s="71">
        <f t="shared" si="2"/>
        <v>13.458578737258655</v>
      </c>
      <c r="O35" s="121">
        <f t="shared" si="0"/>
        <v>99.910963276934979</v>
      </c>
      <c r="P35" s="151"/>
      <c r="Q35" s="234"/>
    </row>
    <row r="36" spans="1:24" x14ac:dyDescent="0.2">
      <c r="A36" s="53"/>
      <c r="F36" s="6"/>
      <c r="G36" s="75">
        <f>Berekening!B166</f>
        <v>40.491709604521468</v>
      </c>
      <c r="H36" s="71">
        <f>100*Berekening!R166</f>
        <v>9.4299696501706904</v>
      </c>
      <c r="I36" s="71">
        <f t="shared" si="4"/>
        <v>4.1143102986072382</v>
      </c>
      <c r="J36" s="71">
        <f>IF(INVOER!$R$35=1,100*Berekening!H166,100*Berekening!I166)</f>
        <v>2.5739865048274323E-2</v>
      </c>
      <c r="K36" s="258">
        <f t="shared" si="6"/>
        <v>1.0590179185287554E-3</v>
      </c>
      <c r="L36" s="71">
        <f t="shared" si="1"/>
        <v>23.978892590273539</v>
      </c>
      <c r="M36" s="71">
        <f t="shared" si="5"/>
        <v>4.1132512806887096</v>
      </c>
      <c r="N36" s="71">
        <f t="shared" si="2"/>
        <v>9.3119654821238989</v>
      </c>
      <c r="O36" s="121">
        <f t="shared" si="0"/>
        <v>99.97426013495172</v>
      </c>
      <c r="P36" s="151"/>
      <c r="Q36" s="234"/>
    </row>
    <row r="37" spans="1:24" x14ac:dyDescent="0.2">
      <c r="A37" s="53"/>
      <c r="F37" s="6"/>
      <c r="G37" s="75">
        <f>Berekening!B171</f>
        <v>51.00097754721633</v>
      </c>
      <c r="H37" s="71">
        <f>100*Berekening!R171</f>
        <v>6.1341829033613209</v>
      </c>
      <c r="I37" s="71">
        <f t="shared" si="4"/>
        <v>3.2957867468093696</v>
      </c>
      <c r="J37" s="71">
        <f>IF(INVOER!$R$35=1,100*Berekening!H171,100*Berekening!I171)</f>
        <v>5.9689347009095383E-3</v>
      </c>
      <c r="K37" s="258">
        <f t="shared" si="6"/>
        <v>1.9672335879828207E-4</v>
      </c>
      <c r="L37" s="71">
        <f t="shared" si="1"/>
        <v>23.954441528826116</v>
      </c>
      <c r="M37" s="71">
        <f t="shared" si="5"/>
        <v>3.2955900234505711</v>
      </c>
      <c r="N37" s="71">
        <f t="shared" si="2"/>
        <v>5.9896454140822772</v>
      </c>
      <c r="O37" s="121">
        <f t="shared" si="0"/>
        <v>99.994031065299097</v>
      </c>
      <c r="P37" s="151"/>
      <c r="Q37" s="234"/>
    </row>
    <row r="38" spans="1:24" x14ac:dyDescent="0.2">
      <c r="A38" s="53"/>
      <c r="F38" s="6"/>
      <c r="G38" s="75">
        <f>Berekening!B176</f>
        <v>64.237833773292067</v>
      </c>
      <c r="H38" s="71">
        <f>100*Berekening!R176</f>
        <v>3.5518604219535592</v>
      </c>
      <c r="I38" s="71">
        <f t="shared" si="4"/>
        <v>2.5823224814077617</v>
      </c>
      <c r="J38" s="71">
        <f>IF(INVOER!$R$35=1,100*Berekening!H176,100*Berekening!I176)</f>
        <v>1.0677397217415834E-3</v>
      </c>
      <c r="K38" s="258">
        <f t="shared" si="6"/>
        <v>2.7572482877453588E-5</v>
      </c>
      <c r="L38" s="71">
        <f t="shared" si="1"/>
        <v>23.951014500753736</v>
      </c>
      <c r="M38" s="71">
        <f t="shared" si="5"/>
        <v>2.5822949089248843</v>
      </c>
      <c r="N38" s="71">
        <f t="shared" si="2"/>
        <v>3.3864058920314752</v>
      </c>
      <c r="O38" s="121">
        <f t="shared" si="0"/>
        <v>99.998932260278252</v>
      </c>
      <c r="P38" s="151"/>
      <c r="Q38" s="234"/>
    </row>
    <row r="39" spans="1:24" x14ac:dyDescent="0.2">
      <c r="A39" s="53"/>
      <c r="F39" s="6"/>
      <c r="G39" s="75">
        <f>Berekening!B181</f>
        <v>80.910199889106423</v>
      </c>
      <c r="H39" s="71" t="e">
        <f>100*Berekening!R181</f>
        <v>#NUM!</v>
      </c>
      <c r="I39" s="71" t="e">
        <f t="shared" si="4"/>
        <v>#NUM!</v>
      </c>
      <c r="J39" s="71">
        <f>IF(INVOER!$R$35=1,100*Berekening!H181,100*Berekening!I181)</f>
        <v>1.4070991261349268E-4</v>
      </c>
      <c r="K39" s="258" t="e">
        <f t="shared" si="6"/>
        <v>#NUM!</v>
      </c>
      <c r="L39" s="71" t="e">
        <f t="shared" si="1"/>
        <v>#NUM!</v>
      </c>
      <c r="M39" s="71" t="e">
        <f t="shared" si="5"/>
        <v>#NUM!</v>
      </c>
      <c r="N39" s="71" t="e">
        <f t="shared" si="2"/>
        <v>#NUM!</v>
      </c>
      <c r="O39" s="121">
        <f t="shared" si="0"/>
        <v>99.999859290087386</v>
      </c>
      <c r="P39" s="151"/>
      <c r="Q39" s="234"/>
    </row>
    <row r="40" spans="1:24" x14ac:dyDescent="0.2">
      <c r="A40" s="53"/>
      <c r="F40" s="6"/>
      <c r="G40" s="75">
        <f>Berekening!B186</f>
        <v>101.90973234245291</v>
      </c>
      <c r="H40" s="71" t="e">
        <f>100*Berekening!R186</f>
        <v>#NUM!</v>
      </c>
      <c r="I40" s="71" t="e">
        <f t="shared" si="4"/>
        <v>#NUM!</v>
      </c>
      <c r="J40" s="71">
        <f>IF(INVOER!$R$35=1,100*Berekening!H186,100*Berekening!I186)</f>
        <v>1.2940210746376901E-5</v>
      </c>
      <c r="K40" s="258" t="e">
        <f t="shared" si="6"/>
        <v>#NUM!</v>
      </c>
      <c r="L40" s="71" t="e">
        <f t="shared" si="1"/>
        <v>#NUM!</v>
      </c>
      <c r="M40" s="71" t="e">
        <f>I40-K40</f>
        <v>#NUM!</v>
      </c>
      <c r="N40" s="71" t="e">
        <f t="shared" si="2"/>
        <v>#NUM!</v>
      </c>
      <c r="O40" s="121">
        <f t="shared" si="0"/>
        <v>99.999987059789248</v>
      </c>
      <c r="P40" s="151"/>
      <c r="Q40" s="235" t="s">
        <v>249</v>
      </c>
    </row>
    <row r="41" spans="1:24" x14ac:dyDescent="0.2">
      <c r="A41" s="53"/>
      <c r="B41" t="s">
        <v>261</v>
      </c>
      <c r="F41" s="6"/>
      <c r="G41" s="83"/>
      <c r="H41" s="84"/>
      <c r="I41" s="84"/>
      <c r="J41" s="141" t="s">
        <v>145</v>
      </c>
      <c r="K41" s="142">
        <f>IF(INVOER!$R$35=1,Berekening!U189,Berekening!V189)</f>
        <v>0.80455958618120016</v>
      </c>
      <c r="L41" s="141" t="s">
        <v>155</v>
      </c>
      <c r="M41" s="142">
        <f>100-K41</f>
        <v>99.195440413818801</v>
      </c>
      <c r="N41" s="84"/>
      <c r="O41" s="85"/>
      <c r="P41" s="151"/>
      <c r="Q41" s="51"/>
      <c r="R41" s="5"/>
      <c r="S41" s="236"/>
      <c r="T41" s="5"/>
      <c r="U41" s="5"/>
      <c r="V41" s="5"/>
      <c r="W41" s="5"/>
      <c r="X41" s="52"/>
    </row>
    <row r="42" spans="1:24" x14ac:dyDescent="0.2">
      <c r="A42" s="53"/>
      <c r="B42" s="6" t="s">
        <v>264</v>
      </c>
      <c r="C42" s="6"/>
      <c r="D42" s="66"/>
      <c r="E42" s="6"/>
      <c r="F42" s="6"/>
      <c r="G42" s="6"/>
      <c r="H42" s="6"/>
      <c r="I42" s="6"/>
      <c r="J42" s="135"/>
      <c r="K42" s="140"/>
      <c r="L42" s="135"/>
      <c r="M42" s="151"/>
      <c r="N42" s="6"/>
      <c r="O42" s="6"/>
      <c r="P42" s="151"/>
      <c r="Q42" s="53" t="s">
        <v>250</v>
      </c>
      <c r="R42" s="6"/>
      <c r="S42" s="6"/>
      <c r="T42" s="6"/>
      <c r="U42" s="237">
        <f>Berekening!U187/Berekening!U189</f>
        <v>1.4257027904029928E-7</v>
      </c>
      <c r="V42" s="231" t="str">
        <f>IF(Berekening!U187&lt;Berekening!U189/10,"ok","waarschuwing: verlies van fractie &gt; Dmax bedraagt meer dan 10% van totale verlies")</f>
        <v>ok</v>
      </c>
      <c r="W42" s="6"/>
      <c r="X42" s="54"/>
    </row>
    <row r="43" spans="1:24" x14ac:dyDescent="0.2">
      <c r="A43" s="53"/>
      <c r="B43" s="230" t="s">
        <v>262</v>
      </c>
      <c r="D43" s="265">
        <f>Berekening!B186</f>
        <v>101.90973234245291</v>
      </c>
      <c r="E43" s="149" t="s">
        <v>248</v>
      </c>
      <c r="F43" s="149"/>
      <c r="G43" s="6"/>
      <c r="H43" s="6"/>
      <c r="I43" s="6"/>
      <c r="J43" s="6"/>
      <c r="K43" s="6"/>
      <c r="L43" s="6"/>
      <c r="M43" s="6"/>
      <c r="N43" s="6"/>
      <c r="O43" s="6"/>
      <c r="P43" s="151"/>
      <c r="Q43" s="53"/>
      <c r="R43" s="6"/>
      <c r="S43" s="6"/>
      <c r="T43" s="6"/>
      <c r="U43" s="6"/>
      <c r="V43" s="6"/>
      <c r="W43" s="6"/>
      <c r="X43" s="54"/>
    </row>
    <row r="44" spans="1:24" x14ac:dyDescent="0.2">
      <c r="A44" s="53"/>
      <c r="B44" s="230" t="s">
        <v>263</v>
      </c>
      <c r="D44" s="266">
        <f>Berekening!B76</f>
        <v>0.32540092615184979</v>
      </c>
      <c r="E44" s="149" t="s">
        <v>258</v>
      </c>
      <c r="F44" s="149"/>
      <c r="G44" s="6"/>
      <c r="H44" s="6"/>
      <c r="I44" s="6"/>
      <c r="J44" s="6"/>
      <c r="K44" s="6"/>
      <c r="L44" s="6"/>
      <c r="M44" s="6"/>
      <c r="N44" s="6"/>
      <c r="O44" s="6"/>
      <c r="P44" s="6"/>
      <c r="Q44" s="238" t="s">
        <v>257</v>
      </c>
      <c r="R44" s="157"/>
      <c r="S44" s="157"/>
      <c r="T44" s="157"/>
      <c r="U44" s="157"/>
      <c r="V44" s="157"/>
      <c r="W44" s="6"/>
      <c r="X44" s="54"/>
    </row>
    <row r="45" spans="1:24" x14ac:dyDescent="0.2">
      <c r="A45" s="53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38" t="s">
        <v>238</v>
      </c>
      <c r="R45" s="157"/>
      <c r="S45" s="157"/>
      <c r="T45" s="157"/>
      <c r="U45" s="157"/>
      <c r="V45" s="157"/>
      <c r="W45" s="6"/>
      <c r="X45" s="54"/>
    </row>
    <row r="46" spans="1:24" x14ac:dyDescent="0.2">
      <c r="A46" s="5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239" t="s">
        <v>253</v>
      </c>
      <c r="R46" s="197"/>
      <c r="S46" s="197"/>
      <c r="T46" s="197"/>
      <c r="U46" s="197"/>
      <c r="V46" s="197"/>
      <c r="W46" s="56"/>
      <c r="X46" s="60"/>
    </row>
    <row r="47" spans="1:24" x14ac:dyDescent="0.2">
      <c r="A47" s="5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54"/>
      <c r="R47" s="180"/>
      <c r="S47" s="180"/>
      <c r="T47" s="180"/>
      <c r="U47" s="180"/>
    </row>
    <row r="48" spans="1:24" x14ac:dyDescent="0.2">
      <c r="A48" s="5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54"/>
      <c r="R48" s="180"/>
      <c r="S48" s="180"/>
      <c r="T48" s="180"/>
      <c r="U48" s="180"/>
    </row>
    <row r="49" spans="1:24" x14ac:dyDescent="0.2">
      <c r="A49" s="5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54"/>
      <c r="R49" s="180"/>
      <c r="S49" s="180"/>
      <c r="T49" s="180"/>
      <c r="U49" s="180"/>
    </row>
    <row r="50" spans="1:24" x14ac:dyDescent="0.2">
      <c r="A50" s="5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54"/>
      <c r="Q50" s="157"/>
      <c r="R50" s="180"/>
      <c r="S50" s="180"/>
      <c r="T50" s="180"/>
      <c r="U50" s="180"/>
    </row>
    <row r="51" spans="1:24" x14ac:dyDescent="0.2">
      <c r="A51" s="5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54"/>
      <c r="Q51" s="157"/>
      <c r="R51" s="180"/>
      <c r="S51" s="180"/>
      <c r="T51" s="180"/>
      <c r="U51" s="180"/>
    </row>
    <row r="52" spans="1:24" x14ac:dyDescent="0.2">
      <c r="A52" s="5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54"/>
    </row>
    <row r="53" spans="1:24" x14ac:dyDescent="0.2">
      <c r="A53" s="5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54"/>
    </row>
    <row r="54" spans="1:24" x14ac:dyDescent="0.2">
      <c r="A54" s="5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54"/>
    </row>
    <row r="55" spans="1:24" x14ac:dyDescent="0.2">
      <c r="A55" s="5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54"/>
    </row>
    <row r="56" spans="1:24" x14ac:dyDescent="0.2">
      <c r="A56" s="5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54"/>
    </row>
    <row r="57" spans="1:24" x14ac:dyDescent="0.2">
      <c r="A57" s="5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54"/>
    </row>
    <row r="58" spans="1:24" x14ac:dyDescent="0.2">
      <c r="A58" s="5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54"/>
    </row>
    <row r="59" spans="1:24" x14ac:dyDescent="0.2">
      <c r="A59" s="5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54"/>
    </row>
    <row r="60" spans="1:24" x14ac:dyDescent="0.2">
      <c r="A60" s="5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54"/>
      <c r="R60" s="226"/>
      <c r="S60" s="226"/>
      <c r="T60" s="226"/>
      <c r="U60" s="226"/>
      <c r="V60" s="180"/>
    </row>
    <row r="61" spans="1:24" x14ac:dyDescent="0.2">
      <c r="A61" s="5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54"/>
    </row>
    <row r="62" spans="1:24" x14ac:dyDescent="0.2">
      <c r="A62" s="5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54"/>
      <c r="W62" s="180"/>
      <c r="X62" s="180"/>
    </row>
    <row r="63" spans="1:24" x14ac:dyDescent="0.2">
      <c r="A63" s="53"/>
      <c r="B63" s="6"/>
      <c r="C63" s="6"/>
      <c r="D63" s="6"/>
      <c r="E63" s="6"/>
      <c r="F63" s="6"/>
      <c r="G63" s="6"/>
      <c r="H63" s="140"/>
      <c r="I63" s="6"/>
      <c r="J63" s="6"/>
      <c r="K63" s="6"/>
      <c r="L63" s="6"/>
      <c r="M63" s="6"/>
      <c r="N63" s="6"/>
      <c r="O63" s="6"/>
      <c r="P63" s="54"/>
      <c r="W63" s="180"/>
      <c r="X63" s="180"/>
    </row>
    <row r="64" spans="1:24" x14ac:dyDescent="0.2">
      <c r="A64" s="53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54"/>
      <c r="W64" s="180"/>
      <c r="X64" s="180"/>
    </row>
    <row r="65" spans="1:22" x14ac:dyDescent="0.2">
      <c r="A65" s="5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54"/>
    </row>
    <row r="66" spans="1:22" x14ac:dyDescent="0.2">
      <c r="A66" s="5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54"/>
      <c r="R66" s="180"/>
      <c r="S66" s="180"/>
      <c r="T66" s="180"/>
      <c r="U66" s="180"/>
      <c r="V66" s="180"/>
    </row>
    <row r="67" spans="1:22" x14ac:dyDescent="0.2">
      <c r="A67" s="5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54"/>
    </row>
    <row r="68" spans="1:22" x14ac:dyDescent="0.2">
      <c r="A68" s="53"/>
      <c r="B68" s="6"/>
      <c r="C68" s="6"/>
      <c r="D68" s="6"/>
      <c r="E68" s="6"/>
      <c r="F68" s="6"/>
      <c r="G68" s="6"/>
      <c r="H68" s="6"/>
      <c r="I68" s="140"/>
      <c r="J68" s="6"/>
      <c r="K68" s="6"/>
      <c r="L68" s="6"/>
      <c r="M68" s="6"/>
      <c r="N68" s="6"/>
      <c r="O68" s="6"/>
      <c r="P68" s="54"/>
    </row>
    <row r="69" spans="1:22" x14ac:dyDescent="0.2">
      <c r="A69" s="53"/>
      <c r="B69" s="6"/>
      <c r="C69" s="6"/>
      <c r="D69" s="6"/>
      <c r="E69" s="6"/>
      <c r="F69" s="6"/>
      <c r="G69" s="6"/>
      <c r="H69" s="6"/>
      <c r="I69" s="140"/>
      <c r="J69" s="6"/>
      <c r="K69" s="6"/>
      <c r="L69" s="6"/>
      <c r="M69" s="6"/>
      <c r="N69" s="6"/>
      <c r="O69" s="6"/>
      <c r="P69" s="54"/>
    </row>
    <row r="70" spans="1:22" x14ac:dyDescent="0.2">
      <c r="A70" s="53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54"/>
    </row>
    <row r="71" spans="1:22" x14ac:dyDescent="0.2">
      <c r="A71" s="5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54"/>
    </row>
    <row r="72" spans="1:22" x14ac:dyDescent="0.2">
      <c r="A72" s="5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54"/>
    </row>
    <row r="73" spans="1:22" x14ac:dyDescent="0.2">
      <c r="A73" s="5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54"/>
    </row>
    <row r="74" spans="1:22" x14ac:dyDescent="0.2">
      <c r="A74" s="5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54"/>
    </row>
    <row r="75" spans="1:22" x14ac:dyDescent="0.2">
      <c r="A75" s="5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54"/>
    </row>
    <row r="76" spans="1:22" x14ac:dyDescent="0.2">
      <c r="A76" s="5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54"/>
    </row>
    <row r="77" spans="1:22" x14ac:dyDescent="0.2">
      <c r="A77" s="5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54"/>
    </row>
    <row r="78" spans="1:22" x14ac:dyDescent="0.2">
      <c r="A78" s="5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54"/>
    </row>
    <row r="79" spans="1:22" x14ac:dyDescent="0.2">
      <c r="A79" s="5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54"/>
    </row>
    <row r="80" spans="1:22" x14ac:dyDescent="0.2">
      <c r="A80" s="5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54"/>
    </row>
    <row r="81" spans="1:16" x14ac:dyDescent="0.2">
      <c r="A81" s="5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54"/>
    </row>
    <row r="82" spans="1:16" x14ac:dyDescent="0.2">
      <c r="A82" s="5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54"/>
    </row>
    <row r="83" spans="1:16" x14ac:dyDescent="0.2">
      <c r="A83" s="55"/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60"/>
    </row>
  </sheetData>
  <mergeCells count="12">
    <mergeCell ref="J16:L16"/>
    <mergeCell ref="M16:N16"/>
    <mergeCell ref="G15:O15"/>
    <mergeCell ref="I1:P2"/>
    <mergeCell ref="H16:I16"/>
    <mergeCell ref="B15:E15"/>
    <mergeCell ref="O3:P3"/>
    <mergeCell ref="O4:P4"/>
    <mergeCell ref="O5:P5"/>
    <mergeCell ref="J3:M3"/>
    <mergeCell ref="J4:M4"/>
    <mergeCell ref="J5:M5"/>
  </mergeCells>
  <phoneticPr fontId="0" type="noConversion"/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INVOER</vt:lpstr>
      <vt:lpstr>Berekening</vt:lpstr>
      <vt:lpstr>OUTPUT</vt:lpstr>
      <vt:lpstr>Berekening!Afdrukbereik</vt:lpstr>
      <vt:lpstr>INVOER!Afdrukbereik</vt:lpstr>
      <vt:lpstr>OUTPUT!Afdrukbereik</vt:lpstr>
    </vt:vector>
  </TitlesOfParts>
  <Company>Van Tongeren van Kennemer BV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H.C. Geljon</dc:creator>
  <cp:lastModifiedBy>Gerrit Pathuis</cp:lastModifiedBy>
  <cp:lastPrinted>2019-06-06T14:54:18Z</cp:lastPrinted>
  <dcterms:created xsi:type="dcterms:W3CDTF">2002-02-06T11:54:34Z</dcterms:created>
  <dcterms:modified xsi:type="dcterms:W3CDTF">2019-06-11T14:35:57Z</dcterms:modified>
</cp:coreProperties>
</file>