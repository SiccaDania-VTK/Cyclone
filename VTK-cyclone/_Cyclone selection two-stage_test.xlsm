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13_ncr:1_{8DC390B4-58DA-4F4F-9686-CBF8F0EF8C1C}" xr6:coauthVersionLast="45" xr6:coauthVersionMax="45" xr10:uidLastSave="{00000000-0000-0000-0000-000000000000}"/>
  <bookViews>
    <workbookView xWindow="8625" yWindow="315" windowWidth="15750" windowHeight="11790" activeTab="1" xr2:uid="{00000000-000D-0000-FFFF-FFFF00000000}"/>
  </bookViews>
  <sheets>
    <sheet name="INVOER" sheetId="2" r:id="rId1"/>
    <sheet name="Berekening trap 1" sheetId="3" r:id="rId2"/>
    <sheet name="Berekening trap 2" sheetId="52254" r:id="rId3"/>
    <sheet name="OUTPUT trap 1" sheetId="52252" r:id="rId4"/>
    <sheet name="OUTPUT trap 2" sheetId="52256" r:id="rId5"/>
    <sheet name="OUTPUT trap 1&amp;2" sheetId="52255" r:id="rId6"/>
  </sheets>
  <externalReferences>
    <externalReference r:id="rId7"/>
    <externalReference r:id="rId8"/>
    <externalReference r:id="rId9"/>
    <externalReference r:id="rId10"/>
  </externalReferences>
  <definedNames>
    <definedName name="_xlnm.Print_Area" localSheetId="1">'Berekening trap 1'!#REF!</definedName>
    <definedName name="_xlnm.Print_Area" localSheetId="2">'Berekening trap 2'!#REF!</definedName>
    <definedName name="_xlnm.Print_Area" localSheetId="0">INVOER!$A$1:$K$30</definedName>
    <definedName name="_xlnm.Print_Area" localSheetId="3">'OUTPUT trap 1'!$A$1:$P$83</definedName>
    <definedName name="_xlnm.Print_Area" localSheetId="5">'OUTPUT trap 1&amp;2'!$A$1:$P$84</definedName>
    <definedName name="_xlnm.Print_Area" localSheetId="4">'OUTPUT trap 2'!$A$1:$P$83</definedName>
    <definedName name="Al">[1]Tabellen!$C$74</definedName>
    <definedName name="ASDIA" localSheetId="2">[1]Tabellen!#REF!</definedName>
    <definedName name="ASDIA" localSheetId="5">[1]Tabellen!#REF!</definedName>
    <definedName name="ASDIA" localSheetId="4">[1]Tabellen!#REF!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 localSheetId="2">[1]Tabellen!#REF!</definedName>
    <definedName name="vsnaarenlager" localSheetId="5">[1]Tabellen!#REF!</definedName>
    <definedName name="vsnaarenlager" localSheetId="4">[1]Tabellen!#REF!</definedName>
    <definedName name="vsnaarenlager">[1]Tabellen!#REF!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1" i="2" l="1"/>
  <c r="AA90" i="3"/>
  <c r="AC90" i="3" s="1"/>
  <c r="D9" i="2" l="1"/>
  <c r="S31" i="2" l="1"/>
  <c r="R31" i="2"/>
  <c r="Q31" i="2"/>
  <c r="T2" i="2" l="1"/>
  <c r="T6" i="2" s="1"/>
  <c r="T15" i="2" s="1"/>
  <c r="D12" i="52255" s="1"/>
  <c r="AA103" i="3"/>
  <c r="K24" i="52254"/>
  <c r="D18" i="52255"/>
  <c r="D23" i="52255"/>
  <c r="J20" i="52255"/>
  <c r="M19" i="52255" s="1"/>
  <c r="M25" i="52255" s="1"/>
  <c r="J19" i="52255"/>
  <c r="E19" i="52255"/>
  <c r="J8" i="52256"/>
  <c r="M7" i="52256" s="1"/>
  <c r="J7" i="52256"/>
  <c r="D6" i="52256"/>
  <c r="D11" i="52256"/>
  <c r="J5" i="52256"/>
  <c r="O4" i="52256"/>
  <c r="J4" i="52256"/>
  <c r="O3" i="52256"/>
  <c r="J3" i="52256"/>
  <c r="D13" i="52255"/>
  <c r="J9" i="52255"/>
  <c r="D9" i="52255"/>
  <c r="D8" i="52255"/>
  <c r="J5" i="52255"/>
  <c r="O4" i="52255"/>
  <c r="J4" i="52255"/>
  <c r="O3" i="52255"/>
  <c r="J3" i="52255"/>
  <c r="K22" i="52254"/>
  <c r="U37" i="2"/>
  <c r="J24" i="52255" s="1"/>
  <c r="U36" i="2"/>
  <c r="J14" i="52255" s="1"/>
  <c r="K41" i="52254"/>
  <c r="K40" i="52254"/>
  <c r="K39" i="52254"/>
  <c r="K38" i="52254"/>
  <c r="K37" i="52254"/>
  <c r="K36" i="52254"/>
  <c r="K35" i="52254"/>
  <c r="K43" i="52254"/>
  <c r="K34" i="52254"/>
  <c r="K29" i="52254"/>
  <c r="K28" i="52254"/>
  <c r="K27" i="52254"/>
  <c r="K26" i="52254"/>
  <c r="K25" i="52254"/>
  <c r="K23" i="52254"/>
  <c r="K6" i="52256" s="1"/>
  <c r="T9" i="2"/>
  <c r="U9" i="2" s="1"/>
  <c r="T19" i="2" s="1"/>
  <c r="C8" i="52254"/>
  <c r="C9" i="52254"/>
  <c r="C15" i="52254"/>
  <c r="C14" i="52254"/>
  <c r="B54" i="52254" s="1"/>
  <c r="C13" i="52254"/>
  <c r="C12" i="52254"/>
  <c r="C11" i="52254"/>
  <c r="K23" i="3"/>
  <c r="K8" i="52255" s="1"/>
  <c r="K24" i="3"/>
  <c r="K25" i="3"/>
  <c r="K26" i="3"/>
  <c r="K27" i="3"/>
  <c r="K28" i="3"/>
  <c r="S5" i="2"/>
  <c r="E7" i="52256" s="1"/>
  <c r="D13" i="52254"/>
  <c r="D12" i="52254"/>
  <c r="A12" i="52254"/>
  <c r="A11" i="52254"/>
  <c r="D9" i="52254"/>
  <c r="A9" i="52254"/>
  <c r="D8" i="52254"/>
  <c r="A8" i="52254"/>
  <c r="A7" i="52254"/>
  <c r="A6" i="52254"/>
  <c r="E9" i="52255" l="1"/>
  <c r="T32" i="52254"/>
  <c r="F13" i="2"/>
  <c r="F14" i="2"/>
  <c r="J12" i="52256"/>
  <c r="J9" i="52256"/>
  <c r="K18" i="52255"/>
  <c r="J21" i="52255"/>
  <c r="O23" i="52255"/>
  <c r="O7" i="52256"/>
  <c r="M9" i="52256"/>
  <c r="O9" i="52256"/>
  <c r="M11" i="52256"/>
  <c r="M8" i="52256"/>
  <c r="M10" i="52256"/>
  <c r="M12" i="52256"/>
  <c r="O8" i="52256"/>
  <c r="O10" i="52256"/>
  <c r="O19" i="52255"/>
  <c r="O20" i="52255"/>
  <c r="M21" i="52255"/>
  <c r="M24" i="52255"/>
  <c r="M20" i="52255"/>
  <c r="O11" i="52256"/>
  <c r="O21" i="52255"/>
  <c r="O22" i="52255"/>
  <c r="O24" i="52255" s="1"/>
  <c r="M22" i="52255"/>
  <c r="M23" i="52255"/>
  <c r="M13" i="52256"/>
  <c r="O12" i="52256"/>
  <c r="U19" i="2"/>
  <c r="V10" i="2"/>
  <c r="U15" i="2"/>
  <c r="C17" i="2"/>
  <c r="T33" i="52254"/>
  <c r="T34" i="52254"/>
  <c r="T35" i="52254"/>
  <c r="T36" i="52254"/>
  <c r="O25" i="52255" l="1"/>
  <c r="T39" i="52254"/>
  <c r="F22" i="52255"/>
  <c r="F10" i="52256"/>
  <c r="F12" i="52255"/>
  <c r="C13" i="3" l="1"/>
  <c r="J10" i="52255" s="1"/>
  <c r="M9" i="52255" s="1"/>
  <c r="C12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C14" i="3"/>
  <c r="T34" i="3" s="1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AC87" i="3" s="1"/>
  <c r="Z89" i="3"/>
  <c r="AA88" i="3"/>
  <c r="AC88" i="3" s="1"/>
  <c r="Z90" i="3"/>
  <c r="AA89" i="3"/>
  <c r="AC89" i="3" s="1"/>
  <c r="Z91" i="3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C94" i="3" s="1"/>
  <c r="AA95" i="3"/>
  <c r="AC95" i="3" s="1"/>
  <c r="AA96" i="3"/>
  <c r="AC96" i="3" s="1"/>
  <c r="Z98" i="3"/>
  <c r="AA97" i="3"/>
  <c r="AC97" i="3" s="1"/>
  <c r="Z99" i="3"/>
  <c r="AA98" i="3"/>
  <c r="AC98" i="3" s="1"/>
  <c r="Z100" i="3"/>
  <c r="AA99" i="3"/>
  <c r="AC99" i="3" s="1"/>
  <c r="AA100" i="3"/>
  <c r="AC100" i="3" s="1"/>
  <c r="AA101" i="3"/>
  <c r="AC101" i="3" s="1"/>
  <c r="J12" i="52252"/>
  <c r="C15" i="3"/>
  <c r="AD91" i="3"/>
  <c r="V9" i="2"/>
  <c r="J3" i="52252"/>
  <c r="O3" i="52252"/>
  <c r="J4" i="52252"/>
  <c r="O4" i="52252"/>
  <c r="J5" i="52252"/>
  <c r="D6" i="52252"/>
  <c r="D7" i="52252"/>
  <c r="E7" i="52252"/>
  <c r="J7" i="52252"/>
  <c r="D10" i="52252"/>
  <c r="D11" i="52252"/>
  <c r="C9" i="3"/>
  <c r="Z105" i="3"/>
  <c r="Z103" i="3"/>
  <c r="AA102" i="3"/>
  <c r="AC102" i="3" s="1"/>
  <c r="Z106" i="3"/>
  <c r="Z104" i="3"/>
  <c r="AC103" i="3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AC145" i="3" s="1"/>
  <c r="A6" i="3"/>
  <c r="A7" i="3"/>
  <c r="A8" i="3"/>
  <c r="C8" i="3"/>
  <c r="D8" i="3"/>
  <c r="A9" i="3"/>
  <c r="D9" i="3"/>
  <c r="A11" i="3"/>
  <c r="A12" i="3"/>
  <c r="D12" i="3"/>
  <c r="D13" i="3"/>
  <c r="AC76" i="3"/>
  <c r="Y77" i="3"/>
  <c r="Y78" i="3" s="1"/>
  <c r="Y79" i="3" s="1"/>
  <c r="Y80" i="3" s="1"/>
  <c r="Y81" i="3" s="1"/>
  <c r="Y82" i="3" s="1"/>
  <c r="Y83" i="3" s="1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D145" i="3"/>
  <c r="AA146" i="3"/>
  <c r="AC146" i="3" s="1"/>
  <c r="AD146" i="3"/>
  <c r="C37" i="2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AB83" i="3" l="1"/>
  <c r="Y84" i="3"/>
  <c r="Y85" i="3" s="1"/>
  <c r="Y86" i="3" s="1"/>
  <c r="Y87" i="3" s="1"/>
  <c r="Y88" i="3" s="1"/>
  <c r="Y89" i="3" s="1"/>
  <c r="Y90" i="3" s="1"/>
  <c r="Y91" i="3" s="1"/>
  <c r="AB91" i="3" s="1"/>
  <c r="J8" i="52252"/>
  <c r="M7" i="52252" s="1"/>
  <c r="O10" i="52252" s="1"/>
  <c r="O12" i="52252" s="1"/>
  <c r="AB84" i="3"/>
  <c r="AB82" i="3"/>
  <c r="AB78" i="3"/>
  <c r="D9" i="52256"/>
  <c r="F9" i="52256" s="1"/>
  <c r="D21" i="52255"/>
  <c r="F21" i="52255" s="1"/>
  <c r="AB81" i="3"/>
  <c r="AB87" i="3"/>
  <c r="AB77" i="3"/>
  <c r="AB86" i="3"/>
  <c r="D12" i="52256"/>
  <c r="D24" i="52255"/>
  <c r="W19" i="2"/>
  <c r="D11" i="52255"/>
  <c r="F11" i="52255" s="1"/>
  <c r="B54" i="3"/>
  <c r="J11" i="52255"/>
  <c r="M15" i="52255"/>
  <c r="O10" i="52255"/>
  <c r="O12" i="52255"/>
  <c r="O14" i="52255" s="1"/>
  <c r="M10" i="52255"/>
  <c r="M12" i="52255"/>
  <c r="M14" i="52255"/>
  <c r="M11" i="52255"/>
  <c r="O13" i="52255"/>
  <c r="O11" i="52255"/>
  <c r="M13" i="52255"/>
  <c r="D12" i="52252"/>
  <c r="D14" i="52255"/>
  <c r="D9" i="52252"/>
  <c r="F9" i="52252" s="1"/>
  <c r="AB80" i="3"/>
  <c r="AB88" i="3"/>
  <c r="T32" i="3"/>
  <c r="T36" i="3"/>
  <c r="AB85" i="3"/>
  <c r="AB79" i="3"/>
  <c r="T35" i="3"/>
  <c r="T33" i="3"/>
  <c r="J9" i="52252"/>
  <c r="C6" i="3"/>
  <c r="C7" i="3"/>
  <c r="F10" i="52252"/>
  <c r="Y92" i="3"/>
  <c r="O8" i="52252" l="1"/>
  <c r="AB89" i="3"/>
  <c r="AB90" i="3"/>
  <c r="T39" i="3"/>
  <c r="O11" i="52252"/>
  <c r="M13" i="52252"/>
  <c r="O9" i="52252"/>
  <c r="F13" i="52252"/>
  <c r="F15" i="52255"/>
  <c r="R25" i="3"/>
  <c r="D10" i="52255"/>
  <c r="F10" i="52255" s="1"/>
  <c r="D8" i="52252"/>
  <c r="F8" i="52252" s="1"/>
  <c r="V19" i="2"/>
  <c r="AB92" i="3"/>
  <c r="Y93" i="3"/>
  <c r="D15" i="52255" l="1"/>
  <c r="C25" i="2"/>
  <c r="J13" i="52255"/>
  <c r="B58" i="3"/>
  <c r="D13" i="52252"/>
  <c r="AB93" i="3"/>
  <c r="Y94" i="3"/>
  <c r="B60" i="3" l="1"/>
  <c r="B62" i="3"/>
  <c r="B61" i="3"/>
  <c r="B59" i="3"/>
  <c r="AB94" i="3"/>
  <c r="Y95" i="3"/>
  <c r="B63" i="3" l="1"/>
  <c r="B64" i="3" s="1"/>
  <c r="C64" i="3" s="1"/>
  <c r="AB95" i="3"/>
  <c r="Y96" i="3"/>
  <c r="AB96" i="3" l="1"/>
  <c r="Y97" i="3"/>
  <c r="AB97" i="3" l="1"/>
  <c r="Y98" i="3"/>
  <c r="AB98" i="3" l="1"/>
  <c r="Y99" i="3"/>
  <c r="AB99" i="3" l="1"/>
  <c r="Y100" i="3"/>
  <c r="AB100" i="3" l="1"/>
  <c r="Y101" i="3"/>
  <c r="Y102" i="3" l="1"/>
  <c r="AB101" i="3"/>
  <c r="Y103" i="3" l="1"/>
  <c r="AB102" i="3"/>
  <c r="Y104" i="3" l="1"/>
  <c r="AB103" i="3"/>
  <c r="Y105" i="3" l="1"/>
  <c r="AB104" i="3"/>
  <c r="Y106" i="3" l="1"/>
  <c r="AB105" i="3"/>
  <c r="Y107" i="3" l="1"/>
  <c r="AB106" i="3"/>
  <c r="Y108" i="3" l="1"/>
  <c r="AB107" i="3"/>
  <c r="AB108" i="3" l="1"/>
  <c r="Y109" i="3"/>
  <c r="AB109" i="3" l="1"/>
  <c r="Y110" i="3"/>
  <c r="AB110" i="3" l="1"/>
  <c r="Y111" i="3"/>
  <c r="AB111" i="3" l="1"/>
  <c r="Y112" i="3"/>
  <c r="AB112" i="3" l="1"/>
  <c r="Y113" i="3"/>
  <c r="AB113" i="3" l="1"/>
  <c r="Y114" i="3"/>
  <c r="AB114" i="3" l="1"/>
  <c r="Y115" i="3"/>
  <c r="AB115" i="3" l="1"/>
  <c r="Y116" i="3"/>
  <c r="AB116" i="3" l="1"/>
  <c r="Y117" i="3"/>
  <c r="AB117" i="3" l="1"/>
  <c r="Y118" i="3"/>
  <c r="AB118" i="3" l="1"/>
  <c r="Y119" i="3"/>
  <c r="AB119" i="3" l="1"/>
  <c r="Y120" i="3"/>
  <c r="AB120" i="3" l="1"/>
  <c r="Y121" i="3"/>
  <c r="AB121" i="3" l="1"/>
  <c r="Y122" i="3"/>
  <c r="AB122" i="3" l="1"/>
  <c r="Y123" i="3"/>
  <c r="AB123" i="3" l="1"/>
  <c r="Y124" i="3"/>
  <c r="AB124" i="3" l="1"/>
  <c r="Y125" i="3"/>
  <c r="AB125" i="3" l="1"/>
  <c r="Y126" i="3"/>
  <c r="AB126" i="3" l="1"/>
  <c r="Y127" i="3"/>
  <c r="AB127" i="3" l="1"/>
  <c r="Y128" i="3"/>
  <c r="AB128" i="3" l="1"/>
  <c r="Y129" i="3"/>
  <c r="AB129" i="3" l="1"/>
  <c r="Y130" i="3"/>
  <c r="AB130" i="3" l="1"/>
  <c r="Y131" i="3"/>
  <c r="AB131" i="3" l="1"/>
  <c r="Y132" i="3"/>
  <c r="AB132" i="3" l="1"/>
  <c r="Y133" i="3"/>
  <c r="AB133" i="3" l="1"/>
  <c r="Y134" i="3"/>
  <c r="AB134" i="3" l="1"/>
  <c r="Y135" i="3"/>
  <c r="AB135" i="3" l="1"/>
  <c r="Y136" i="3"/>
  <c r="AB136" i="3" l="1"/>
  <c r="Y137" i="3"/>
  <c r="Y138" i="3" l="1"/>
  <c r="AB137" i="3"/>
  <c r="AB138" i="3" l="1"/>
  <c r="Y139" i="3"/>
  <c r="Y140" i="3" l="1"/>
  <c r="AB139" i="3"/>
  <c r="AB140" i="3" l="1"/>
  <c r="Y141" i="3"/>
  <c r="Y142" i="3" l="1"/>
  <c r="AB141" i="3"/>
  <c r="AB142" i="3" l="1"/>
  <c r="Y143" i="3"/>
  <c r="Y144" i="3" l="1"/>
  <c r="AB143" i="3"/>
  <c r="AB144" i="3" l="1"/>
  <c r="Y145" i="3"/>
  <c r="AB145" i="3" l="1"/>
  <c r="Y146" i="3"/>
  <c r="AB146" i="3" s="1"/>
  <c r="K36" i="3" l="1"/>
  <c r="K40" i="3"/>
  <c r="C11" i="3"/>
  <c r="K39" i="3"/>
  <c r="K41" i="3"/>
  <c r="K34" i="3"/>
  <c r="K6" i="52252"/>
  <c r="M11" i="52252"/>
  <c r="K29" i="3"/>
  <c r="M10" i="52252"/>
  <c r="K38" i="3"/>
  <c r="M12" i="52252"/>
  <c r="M9" i="52252"/>
  <c r="K43" i="3"/>
  <c r="K22" i="3"/>
  <c r="K37" i="3"/>
  <c r="K35" i="3"/>
  <c r="O7" i="52252" l="1"/>
  <c r="O9" i="52255"/>
  <c r="O15" i="52255" s="1"/>
  <c r="R24" i="3"/>
  <c r="M8" i="52252"/>
  <c r="C24" i="2" l="1"/>
  <c r="B51" i="3" s="1"/>
  <c r="J12" i="52255"/>
  <c r="R28" i="3"/>
  <c r="R27" i="3"/>
  <c r="J10" i="52252"/>
  <c r="J11" i="52252"/>
  <c r="I56" i="3" l="1"/>
  <c r="H57" i="3"/>
  <c r="D44" i="52252" s="1"/>
  <c r="I51" i="3"/>
  <c r="K51" i="3" s="1"/>
  <c r="J56" i="3"/>
  <c r="J54" i="3"/>
  <c r="I53" i="3"/>
  <c r="K53" i="3" s="1"/>
  <c r="I55" i="3"/>
  <c r="J52" i="3"/>
  <c r="C26" i="2"/>
  <c r="I54" i="3"/>
  <c r="I52" i="3"/>
  <c r="K52" i="3" s="1"/>
  <c r="J53" i="3"/>
  <c r="J55" i="3"/>
  <c r="J51" i="3"/>
  <c r="D20" i="52252"/>
  <c r="D34" i="52255" s="1"/>
  <c r="C28" i="2"/>
  <c r="D21" i="52252"/>
  <c r="D35" i="52255" s="1"/>
  <c r="C29" i="2"/>
  <c r="L56" i="3" l="1"/>
  <c r="K56" i="3" s="1"/>
  <c r="D43" i="52252" s="1"/>
  <c r="K54" i="3"/>
  <c r="D25" i="52252" s="1"/>
  <c r="D39" i="52255" s="1"/>
  <c r="K55" i="3"/>
  <c r="D26" i="52252" s="1"/>
  <c r="D40" i="52255" s="1"/>
  <c r="D7" i="52256"/>
  <c r="D19" i="52255"/>
  <c r="D24" i="52252"/>
  <c r="D38" i="52255" s="1"/>
  <c r="D22" i="52252"/>
  <c r="D36" i="52255" s="1"/>
  <c r="D23" i="52252"/>
  <c r="D37" i="52255" s="1"/>
  <c r="T3" i="2"/>
  <c r="A186" i="3" l="1"/>
  <c r="A186" i="52254" s="1"/>
  <c r="U10" i="2"/>
  <c r="T7" i="2"/>
  <c r="T16" i="2" s="1"/>
  <c r="K186" i="3" l="1"/>
  <c r="M186" i="3" s="1"/>
  <c r="C7" i="52254"/>
  <c r="U16" i="2"/>
  <c r="E17" i="2"/>
  <c r="C6" i="52254"/>
  <c r="L186" i="3" l="1"/>
  <c r="T186" i="3" s="1"/>
  <c r="H40" i="52252"/>
  <c r="D22" i="52255"/>
  <c r="D10" i="52256"/>
  <c r="D20" i="52255"/>
  <c r="F20" i="52255" s="1"/>
  <c r="D8" i="52256"/>
  <c r="F8" i="52256" s="1"/>
  <c r="R24" i="52254"/>
  <c r="R25" i="52254"/>
  <c r="J23" i="52255" l="1"/>
  <c r="J11" i="52256"/>
  <c r="J22" i="52255"/>
  <c r="J10" i="52256"/>
  <c r="E25" i="2"/>
  <c r="R27" i="52254"/>
  <c r="E24" i="2"/>
  <c r="B51" i="52254" s="1"/>
  <c r="R28" i="52254"/>
  <c r="E26" i="2" l="1"/>
  <c r="E29" i="2"/>
  <c r="D21" i="52256"/>
  <c r="H35" i="52255" s="1"/>
  <c r="L35" i="52255" s="1"/>
  <c r="E28" i="2"/>
  <c r="D20" i="52256"/>
  <c r="H34" i="52255" s="1"/>
  <c r="L34" i="52255" s="1"/>
  <c r="G28" i="2" l="1"/>
  <c r="G29" i="2"/>
  <c r="H57" i="52254"/>
  <c r="A76" i="3" s="1"/>
  <c r="A76" i="52254" s="1"/>
  <c r="B76" i="52254" s="1"/>
  <c r="R76" i="52254" s="1"/>
  <c r="H58" i="3" l="1"/>
  <c r="A77" i="3" s="1"/>
  <c r="A77" i="52254" s="1"/>
  <c r="B77" i="52254" s="1"/>
  <c r="D44" i="52256"/>
  <c r="G18" i="52256"/>
  <c r="K76" i="3"/>
  <c r="L76" i="3" s="1"/>
  <c r="N76" i="3" s="1"/>
  <c r="B76" i="3"/>
  <c r="D45" i="52255" s="1"/>
  <c r="C76" i="52254"/>
  <c r="D76" i="52254" s="1"/>
  <c r="B77" i="3" l="1"/>
  <c r="C77" i="3" s="1"/>
  <c r="E77" i="3" s="1"/>
  <c r="G77" i="3" s="1"/>
  <c r="C76" i="3"/>
  <c r="D76" i="3" s="1"/>
  <c r="F76" i="3" s="1"/>
  <c r="I76" i="3" s="1"/>
  <c r="K77" i="3"/>
  <c r="M77" i="3" s="1"/>
  <c r="O77" i="3" s="1"/>
  <c r="A78" i="3"/>
  <c r="A78" i="52254" s="1"/>
  <c r="B78" i="52254" s="1"/>
  <c r="G18" i="52252"/>
  <c r="M76" i="3"/>
  <c r="O76" i="3" s="1"/>
  <c r="P76" i="3" s="1"/>
  <c r="Q76" i="3" s="1"/>
  <c r="R76" i="3" s="1"/>
  <c r="S76" i="3" s="1"/>
  <c r="H76" i="52254"/>
  <c r="E76" i="52254"/>
  <c r="C77" i="52254"/>
  <c r="E77" i="52254" s="1"/>
  <c r="R77" i="52254"/>
  <c r="D77" i="3" l="1"/>
  <c r="F77" i="3" s="1"/>
  <c r="I77" i="3" s="1"/>
  <c r="H76" i="3"/>
  <c r="J76" i="3" s="1"/>
  <c r="E76" i="3"/>
  <c r="G76" i="3" s="1"/>
  <c r="A79" i="3"/>
  <c r="K79" i="3" s="1"/>
  <c r="M79" i="3" s="1"/>
  <c r="L77" i="3"/>
  <c r="N77" i="3" s="1"/>
  <c r="P77" i="3" s="1"/>
  <c r="Q77" i="3" s="1"/>
  <c r="R77" i="3" s="1"/>
  <c r="S77" i="3" s="1"/>
  <c r="K78" i="3"/>
  <c r="L78" i="3" s="1"/>
  <c r="N78" i="3" s="1"/>
  <c r="B78" i="3"/>
  <c r="C78" i="3" s="1"/>
  <c r="D78" i="3" s="1"/>
  <c r="F78" i="3" s="1"/>
  <c r="I78" i="3" s="1"/>
  <c r="D77" i="52254"/>
  <c r="C78" i="52254"/>
  <c r="D78" i="52254" s="1"/>
  <c r="R78" i="52254"/>
  <c r="T76" i="3"/>
  <c r="S76" i="52254" s="1"/>
  <c r="H18" i="52252"/>
  <c r="A79" i="52254" l="1"/>
  <c r="B79" i="52254" s="1"/>
  <c r="R79" i="52254" s="1"/>
  <c r="H77" i="3"/>
  <c r="J77" i="3" s="1"/>
  <c r="J18" i="52252"/>
  <c r="O18" i="52252" s="1"/>
  <c r="E78" i="3"/>
  <c r="G78" i="3" s="1"/>
  <c r="L79" i="3"/>
  <c r="N79" i="3" s="1"/>
  <c r="B79" i="3"/>
  <c r="C79" i="3" s="1"/>
  <c r="E79" i="3" s="1"/>
  <c r="G79" i="3" s="1"/>
  <c r="A80" i="3"/>
  <c r="A80" i="52254" s="1"/>
  <c r="M78" i="3"/>
  <c r="O78" i="3" s="1"/>
  <c r="P78" i="3" s="1"/>
  <c r="Q78" i="3" s="1"/>
  <c r="R78" i="3" s="1"/>
  <c r="U76" i="3"/>
  <c r="T77" i="3"/>
  <c r="S77" i="52254" s="1"/>
  <c r="E78" i="52254"/>
  <c r="H77" i="52254"/>
  <c r="H78" i="3"/>
  <c r="J78" i="3" s="1"/>
  <c r="I18" i="52252"/>
  <c r="V76" i="3"/>
  <c r="O79" i="3"/>
  <c r="H78" i="52254"/>
  <c r="C79" i="52254" l="1"/>
  <c r="D79" i="52254" s="1"/>
  <c r="B80" i="52254"/>
  <c r="C80" i="52254" s="1"/>
  <c r="E80" i="52254" s="1"/>
  <c r="K76" i="52254"/>
  <c r="A81" i="3"/>
  <c r="A81" i="52254" s="1"/>
  <c r="B81" i="52254" s="1"/>
  <c r="R81" i="52254" s="1"/>
  <c r="D79" i="3"/>
  <c r="H79" i="3" s="1"/>
  <c r="B80" i="3"/>
  <c r="C80" i="3" s="1"/>
  <c r="K80" i="3"/>
  <c r="L80" i="3" s="1"/>
  <c r="N80" i="3" s="1"/>
  <c r="V77" i="3"/>
  <c r="S78" i="3"/>
  <c r="T78" i="3"/>
  <c r="S78" i="52254" s="1"/>
  <c r="U77" i="3"/>
  <c r="K18" i="52252"/>
  <c r="P79" i="3"/>
  <c r="Q79" i="3" s="1"/>
  <c r="R79" i="3" s="1"/>
  <c r="H79" i="52254" l="1"/>
  <c r="E79" i="52254"/>
  <c r="R80" i="52254"/>
  <c r="K77" i="52254"/>
  <c r="F79" i="3"/>
  <c r="I79" i="3" s="1"/>
  <c r="J79" i="3" s="1"/>
  <c r="B81" i="3"/>
  <c r="C81" i="3" s="1"/>
  <c r="E81" i="3" s="1"/>
  <c r="G81" i="3" s="1"/>
  <c r="A82" i="3"/>
  <c r="A82" i="52254" s="1"/>
  <c r="B82" i="52254" s="1"/>
  <c r="M80" i="3"/>
  <c r="O80" i="3" s="1"/>
  <c r="P80" i="3" s="1"/>
  <c r="Q80" i="3" s="1"/>
  <c r="K81" i="3"/>
  <c r="M81" i="3" s="1"/>
  <c r="O81" i="3" s="1"/>
  <c r="E80" i="3"/>
  <c r="G80" i="3" s="1"/>
  <c r="D80" i="3"/>
  <c r="U78" i="3"/>
  <c r="V78" i="3"/>
  <c r="M18" i="52252"/>
  <c r="D80" i="52254"/>
  <c r="S79" i="3"/>
  <c r="T79" i="3"/>
  <c r="S79" i="52254" s="1"/>
  <c r="C81" i="52254"/>
  <c r="D81" i="52254" s="1"/>
  <c r="G19" i="52256"/>
  <c r="K78" i="52254" l="1"/>
  <c r="B82" i="3"/>
  <c r="C82" i="3" s="1"/>
  <c r="E82" i="3" s="1"/>
  <c r="G82" i="3" s="1"/>
  <c r="A83" i="3"/>
  <c r="A83" i="52254" s="1"/>
  <c r="B83" i="52254" s="1"/>
  <c r="D81" i="3"/>
  <c r="F81" i="3" s="1"/>
  <c r="I81" i="3" s="1"/>
  <c r="G19" i="52252"/>
  <c r="K82" i="3"/>
  <c r="L82" i="3" s="1"/>
  <c r="N82" i="3" s="1"/>
  <c r="L81" i="3"/>
  <c r="N81" i="3" s="1"/>
  <c r="P81" i="3" s="1"/>
  <c r="Q81" i="3" s="1"/>
  <c r="R81" i="3" s="1"/>
  <c r="F80" i="3"/>
  <c r="I80" i="3" s="1"/>
  <c r="H80" i="3"/>
  <c r="H80" i="52254"/>
  <c r="R80" i="3"/>
  <c r="T80" i="3" s="1"/>
  <c r="S80" i="52254" s="1"/>
  <c r="C82" i="52254"/>
  <c r="E82" i="52254" s="1"/>
  <c r="R82" i="52254"/>
  <c r="E81" i="52254"/>
  <c r="U79" i="3"/>
  <c r="V79" i="3"/>
  <c r="H81" i="52254"/>
  <c r="K83" i="3" l="1"/>
  <c r="L83" i="3" s="1"/>
  <c r="N83" i="3" s="1"/>
  <c r="J80" i="3"/>
  <c r="D82" i="3"/>
  <c r="F82" i="3" s="1"/>
  <c r="I82" i="3" s="1"/>
  <c r="K79" i="52254"/>
  <c r="A84" i="3"/>
  <c r="A84" i="52254" s="1"/>
  <c r="B84" i="52254" s="1"/>
  <c r="B83" i="3"/>
  <c r="C83" i="3" s="1"/>
  <c r="E83" i="3" s="1"/>
  <c r="G83" i="3" s="1"/>
  <c r="H81" i="3"/>
  <c r="J19" i="52252" s="1"/>
  <c r="O19" i="52252" s="1"/>
  <c r="M82" i="3"/>
  <c r="O82" i="3" s="1"/>
  <c r="P82" i="3" s="1"/>
  <c r="Q82" i="3" s="1"/>
  <c r="R82" i="3" s="1"/>
  <c r="T82" i="3" s="1"/>
  <c r="S82" i="52254" s="1"/>
  <c r="S80" i="3"/>
  <c r="U80" i="3"/>
  <c r="V80" i="3"/>
  <c r="D82" i="52254"/>
  <c r="C83" i="52254"/>
  <c r="D83" i="52254" s="1"/>
  <c r="R83" i="52254"/>
  <c r="H19" i="52252"/>
  <c r="I19" i="52252" s="1"/>
  <c r="S81" i="3"/>
  <c r="T81" i="3"/>
  <c r="S81" i="52254" s="1"/>
  <c r="M83" i="3" l="1"/>
  <c r="O83" i="3" s="1"/>
  <c r="P83" i="3" s="1"/>
  <c r="Q83" i="3" s="1"/>
  <c r="R83" i="3" s="1"/>
  <c r="S83" i="3" s="1"/>
  <c r="H82" i="3"/>
  <c r="J82" i="3" s="1"/>
  <c r="K84" i="3"/>
  <c r="L84" i="3" s="1"/>
  <c r="N84" i="3" s="1"/>
  <c r="D83" i="3"/>
  <c r="F83" i="3" s="1"/>
  <c r="I83" i="3" s="1"/>
  <c r="A85" i="3"/>
  <c r="A85" i="52254" s="1"/>
  <c r="B85" i="52254" s="1"/>
  <c r="K80" i="52254"/>
  <c r="B84" i="3"/>
  <c r="C84" i="3" s="1"/>
  <c r="E84" i="3" s="1"/>
  <c r="G84" i="3" s="1"/>
  <c r="K19" i="52252"/>
  <c r="J81" i="3"/>
  <c r="S82" i="3"/>
  <c r="H82" i="52254"/>
  <c r="E83" i="52254"/>
  <c r="V82" i="3"/>
  <c r="C84" i="52254"/>
  <c r="E84" i="52254" s="1"/>
  <c r="R84" i="52254"/>
  <c r="U81" i="3"/>
  <c r="V81" i="3"/>
  <c r="H83" i="52254"/>
  <c r="M19" i="52252" l="1"/>
  <c r="U82" i="3"/>
  <c r="K82" i="52254" s="1"/>
  <c r="A86" i="3"/>
  <c r="A86" i="52254" s="1"/>
  <c r="B86" i="52254" s="1"/>
  <c r="R86" i="52254" s="1"/>
  <c r="B85" i="3"/>
  <c r="C85" i="3" s="1"/>
  <c r="E85" i="3" s="1"/>
  <c r="G85" i="3" s="1"/>
  <c r="D84" i="3"/>
  <c r="F84" i="3" s="1"/>
  <c r="I84" i="3" s="1"/>
  <c r="M84" i="3"/>
  <c r="O84" i="3" s="1"/>
  <c r="P84" i="3" s="1"/>
  <c r="Q84" i="3" s="1"/>
  <c r="R84" i="3" s="1"/>
  <c r="H83" i="3"/>
  <c r="J83" i="3" s="1"/>
  <c r="K85" i="3"/>
  <c r="L85" i="3" s="1"/>
  <c r="N85" i="3" s="1"/>
  <c r="K81" i="52254"/>
  <c r="T83" i="3"/>
  <c r="S83" i="52254" s="1"/>
  <c r="D84" i="52254"/>
  <c r="C85" i="52254"/>
  <c r="E85" i="52254" s="1"/>
  <c r="R85" i="52254"/>
  <c r="D85" i="3" l="1"/>
  <c r="F85" i="3" s="1"/>
  <c r="I85" i="3" s="1"/>
  <c r="A87" i="3"/>
  <c r="A87" i="52254" s="1"/>
  <c r="B87" i="52254" s="1"/>
  <c r="B86" i="3"/>
  <c r="G20" i="52252" s="1"/>
  <c r="H84" i="3"/>
  <c r="J84" i="3" s="1"/>
  <c r="K86" i="3"/>
  <c r="M86" i="3" s="1"/>
  <c r="O86" i="3" s="1"/>
  <c r="M85" i="3"/>
  <c r="O85" i="3" s="1"/>
  <c r="P85" i="3" s="1"/>
  <c r="Q85" i="3" s="1"/>
  <c r="R85" i="3" s="1"/>
  <c r="S85" i="3" s="1"/>
  <c r="A88" i="3"/>
  <c r="A88" i="52254" s="1"/>
  <c r="H84" i="52254"/>
  <c r="U83" i="3"/>
  <c r="V83" i="3"/>
  <c r="D85" i="52254"/>
  <c r="S84" i="3"/>
  <c r="T84" i="3"/>
  <c r="S84" i="52254" s="1"/>
  <c r="C86" i="52254"/>
  <c r="E86" i="52254" s="1"/>
  <c r="G20" i="52256"/>
  <c r="K87" i="3" l="1"/>
  <c r="M87" i="3" s="1"/>
  <c r="O87" i="3" s="1"/>
  <c r="H85" i="3"/>
  <c r="J85" i="3" s="1"/>
  <c r="B87" i="3"/>
  <c r="C87" i="3" s="1"/>
  <c r="E87" i="3" s="1"/>
  <c r="G87" i="3" s="1"/>
  <c r="C86" i="3"/>
  <c r="D86" i="3" s="1"/>
  <c r="F86" i="3" s="1"/>
  <c r="I86" i="3" s="1"/>
  <c r="L86" i="3"/>
  <c r="N86" i="3" s="1"/>
  <c r="P86" i="3" s="1"/>
  <c r="Q86" i="3" s="1"/>
  <c r="R86" i="3" s="1"/>
  <c r="S86" i="3" s="1"/>
  <c r="T85" i="3"/>
  <c r="S85" i="52254" s="1"/>
  <c r="K83" i="52254"/>
  <c r="A89" i="3"/>
  <c r="A89" i="52254" s="1"/>
  <c r="K88" i="3"/>
  <c r="M88" i="3" s="1"/>
  <c r="B88" i="3"/>
  <c r="C88" i="3" s="1"/>
  <c r="H85" i="52254"/>
  <c r="C87" i="52254"/>
  <c r="D87" i="52254" s="1"/>
  <c r="R87" i="52254"/>
  <c r="D86" i="52254"/>
  <c r="V84" i="3"/>
  <c r="U84" i="3"/>
  <c r="B88" i="52254"/>
  <c r="L87" i="3" l="1"/>
  <c r="N87" i="3" s="1"/>
  <c r="D87" i="3"/>
  <c r="F87" i="3" s="1"/>
  <c r="I87" i="3" s="1"/>
  <c r="H86" i="3"/>
  <c r="J86" i="3" s="1"/>
  <c r="E86" i="3"/>
  <c r="G86" i="3" s="1"/>
  <c r="U85" i="3"/>
  <c r="V85" i="3"/>
  <c r="K84" i="52254"/>
  <c r="L88" i="3"/>
  <c r="N88" i="3" s="1"/>
  <c r="A90" i="3"/>
  <c r="A90" i="52254" s="1"/>
  <c r="K89" i="3"/>
  <c r="L89" i="3" s="1"/>
  <c r="N89" i="3" s="1"/>
  <c r="B89" i="3"/>
  <c r="C89" i="3" s="1"/>
  <c r="D89" i="3" s="1"/>
  <c r="F89" i="3" s="1"/>
  <c r="I89" i="3" s="1"/>
  <c r="H20" i="52252"/>
  <c r="I20" i="52252" s="1"/>
  <c r="T86" i="3"/>
  <c r="S86" i="52254" s="1"/>
  <c r="P87" i="3"/>
  <c r="Q87" i="3" s="1"/>
  <c r="R87" i="3" s="1"/>
  <c r="S87" i="3" s="1"/>
  <c r="E87" i="52254"/>
  <c r="H86" i="52254"/>
  <c r="C88" i="52254"/>
  <c r="D88" i="52254" s="1"/>
  <c r="R88" i="52254"/>
  <c r="O88" i="3"/>
  <c r="E88" i="3"/>
  <c r="G88" i="3" s="1"/>
  <c r="D88" i="3"/>
  <c r="F88" i="3" s="1"/>
  <c r="I88" i="3" s="1"/>
  <c r="H87" i="52254"/>
  <c r="B89" i="52254"/>
  <c r="H87" i="3" l="1"/>
  <c r="J87" i="3" s="1"/>
  <c r="K85" i="52254"/>
  <c r="J20" i="52252"/>
  <c r="O20" i="52252" s="1"/>
  <c r="A91" i="3"/>
  <c r="A91" i="52254" s="1"/>
  <c r="E89" i="3"/>
  <c r="G89" i="3" s="1"/>
  <c r="B90" i="3"/>
  <c r="C90" i="3" s="1"/>
  <c r="K90" i="3"/>
  <c r="L90" i="3" s="1"/>
  <c r="N90" i="3" s="1"/>
  <c r="M89" i="3"/>
  <c r="O89" i="3" s="1"/>
  <c r="P89" i="3" s="1"/>
  <c r="Q89" i="3" s="1"/>
  <c r="V86" i="3"/>
  <c r="U86" i="3"/>
  <c r="P88" i="3"/>
  <c r="Q88" i="3" s="1"/>
  <c r="H89" i="3"/>
  <c r="J89" i="3" s="1"/>
  <c r="E88" i="52254"/>
  <c r="C89" i="52254"/>
  <c r="D89" i="52254" s="1"/>
  <c r="R89" i="52254"/>
  <c r="H88" i="3"/>
  <c r="J88" i="3" s="1"/>
  <c r="T87" i="3"/>
  <c r="S87" i="52254" s="1"/>
  <c r="H88" i="52254"/>
  <c r="B90" i="52254"/>
  <c r="K20" i="52252" l="1"/>
  <c r="K86" i="52254"/>
  <c r="M90" i="3"/>
  <c r="O90" i="3" s="1"/>
  <c r="P90" i="3" s="1"/>
  <c r="Q90" i="3" s="1"/>
  <c r="R90" i="3" s="1"/>
  <c r="K91" i="3"/>
  <c r="L91" i="3" s="1"/>
  <c r="N91" i="3" s="1"/>
  <c r="B91" i="3"/>
  <c r="G21" i="52252" s="1"/>
  <c r="A92" i="3"/>
  <c r="A92" i="52254" s="1"/>
  <c r="R89" i="3"/>
  <c r="S89" i="3" s="1"/>
  <c r="R88" i="3"/>
  <c r="S88" i="3" s="1"/>
  <c r="E89" i="52254"/>
  <c r="C90" i="52254"/>
  <c r="E90" i="52254" s="1"/>
  <c r="R90" i="52254"/>
  <c r="V87" i="3"/>
  <c r="U87" i="3"/>
  <c r="D90" i="3"/>
  <c r="F90" i="3" s="1"/>
  <c r="I90" i="3" s="1"/>
  <c r="E90" i="3"/>
  <c r="G90" i="3" s="1"/>
  <c r="H89" i="52254"/>
  <c r="B91" i="52254"/>
  <c r="R91" i="52254" s="1"/>
  <c r="M20" i="52252" l="1"/>
  <c r="K87" i="52254"/>
  <c r="K92" i="3"/>
  <c r="M92" i="3" s="1"/>
  <c r="B92" i="3"/>
  <c r="C92" i="3" s="1"/>
  <c r="M91" i="3"/>
  <c r="O91" i="3" s="1"/>
  <c r="P91" i="3" s="1"/>
  <c r="Q91" i="3" s="1"/>
  <c r="R91" i="3" s="1"/>
  <c r="C91" i="3"/>
  <c r="D91" i="3" s="1"/>
  <c r="F91" i="3" s="1"/>
  <c r="I91" i="3" s="1"/>
  <c r="A93" i="3"/>
  <c r="A93" i="52254" s="1"/>
  <c r="T88" i="3"/>
  <c r="V88" i="3" s="1"/>
  <c r="T89" i="3"/>
  <c r="S89" i="52254" s="1"/>
  <c r="S90" i="3"/>
  <c r="H90" i="3"/>
  <c r="J90" i="3" s="1"/>
  <c r="D90" i="52254"/>
  <c r="T90" i="3"/>
  <c r="C91" i="52254"/>
  <c r="E91" i="52254" s="1"/>
  <c r="G21" i="52256"/>
  <c r="B92" i="52254"/>
  <c r="L92" i="3" l="1"/>
  <c r="N92" i="3" s="1"/>
  <c r="B93" i="3"/>
  <c r="C93" i="3" s="1"/>
  <c r="E93" i="3" s="1"/>
  <c r="G93" i="3" s="1"/>
  <c r="E91" i="3"/>
  <c r="G91" i="3" s="1"/>
  <c r="U88" i="3"/>
  <c r="K88" i="52254" s="1"/>
  <c r="A94" i="3"/>
  <c r="A94" i="52254" s="1"/>
  <c r="K93" i="3"/>
  <c r="M93" i="3" s="1"/>
  <c r="S88" i="52254"/>
  <c r="U89" i="3"/>
  <c r="V89" i="3"/>
  <c r="D91" i="52254"/>
  <c r="H90" i="52254"/>
  <c r="C92" i="52254"/>
  <c r="D92" i="52254" s="1"/>
  <c r="R92" i="52254"/>
  <c r="U90" i="3"/>
  <c r="S90" i="52254"/>
  <c r="V90" i="3"/>
  <c r="H91" i="3"/>
  <c r="S91" i="3"/>
  <c r="H21" i="52252"/>
  <c r="I21" i="52252" s="1"/>
  <c r="E92" i="3"/>
  <c r="G92" i="3" s="1"/>
  <c r="D92" i="3"/>
  <c r="F92" i="3" s="1"/>
  <c r="I92" i="3" s="1"/>
  <c r="O92" i="3"/>
  <c r="T91" i="3"/>
  <c r="B93" i="52254"/>
  <c r="K90" i="52254" l="1"/>
  <c r="K89" i="52254"/>
  <c r="D93" i="3"/>
  <c r="F93" i="3" s="1"/>
  <c r="I93" i="3" s="1"/>
  <c r="L93" i="3"/>
  <c r="N93" i="3" s="1"/>
  <c r="A95" i="3"/>
  <c r="A95" i="52254" s="1"/>
  <c r="K94" i="3"/>
  <c r="M94" i="3" s="1"/>
  <c r="B94" i="3"/>
  <c r="C94" i="3" s="1"/>
  <c r="E94" i="3" s="1"/>
  <c r="G94" i="3" s="1"/>
  <c r="E92" i="52254"/>
  <c r="H91" i="52254"/>
  <c r="C93" i="52254"/>
  <c r="D93" i="52254" s="1"/>
  <c r="R93" i="52254"/>
  <c r="V91" i="3"/>
  <c r="S91" i="52254"/>
  <c r="O93" i="3"/>
  <c r="H92" i="3"/>
  <c r="J21" i="52252"/>
  <c r="J91" i="3"/>
  <c r="U91" i="3"/>
  <c r="P92" i="3"/>
  <c r="Q92" i="3" s="1"/>
  <c r="R92" i="3" s="1"/>
  <c r="H92" i="52254"/>
  <c r="B94" i="52254"/>
  <c r="K91" i="52254" l="1"/>
  <c r="L94" i="3"/>
  <c r="N94" i="3" s="1"/>
  <c r="H93" i="3"/>
  <c r="J93" i="3" s="1"/>
  <c r="D94" i="3"/>
  <c r="F94" i="3" s="1"/>
  <c r="I94" i="3" s="1"/>
  <c r="K95" i="3"/>
  <c r="M95" i="3" s="1"/>
  <c r="B95" i="3"/>
  <c r="C95" i="3" s="1"/>
  <c r="D95" i="3" s="1"/>
  <c r="F95" i="3" s="1"/>
  <c r="A96" i="3"/>
  <c r="A96" i="52254" s="1"/>
  <c r="E93" i="52254"/>
  <c r="C94" i="52254"/>
  <c r="E94" i="52254" s="1"/>
  <c r="R94" i="52254"/>
  <c r="S92" i="3"/>
  <c r="T92" i="3"/>
  <c r="U92" i="3" s="1"/>
  <c r="O21" i="52252"/>
  <c r="K21" i="52252"/>
  <c r="O94" i="3"/>
  <c r="J92" i="3"/>
  <c r="P93" i="3"/>
  <c r="Q93" i="3" s="1"/>
  <c r="R93" i="3" s="1"/>
  <c r="H93" i="52254"/>
  <c r="B95" i="52254"/>
  <c r="M21" i="52252" l="1"/>
  <c r="B96" i="3"/>
  <c r="G22" i="52252" s="1"/>
  <c r="P94" i="3"/>
  <c r="Q94" i="3" s="1"/>
  <c r="R94" i="3" s="1"/>
  <c r="S94" i="3" s="1"/>
  <c r="E95" i="3"/>
  <c r="G95" i="3" s="1"/>
  <c r="I95" i="3" s="1"/>
  <c r="H94" i="3"/>
  <c r="J94" i="3" s="1"/>
  <c r="L95" i="3"/>
  <c r="N95" i="3" s="1"/>
  <c r="A97" i="3"/>
  <c r="A97" i="52254" s="1"/>
  <c r="K96" i="3"/>
  <c r="M96" i="3" s="1"/>
  <c r="D94" i="52254"/>
  <c r="C95" i="52254"/>
  <c r="D95" i="52254" s="1"/>
  <c r="R95" i="52254"/>
  <c r="V92" i="3"/>
  <c r="K92" i="52254" s="1"/>
  <c r="S92" i="52254"/>
  <c r="S93" i="3"/>
  <c r="T93" i="3"/>
  <c r="S93" i="52254" s="1"/>
  <c r="O95" i="3"/>
  <c r="H95" i="3"/>
  <c r="B96" i="52254"/>
  <c r="R96" i="52254" s="1"/>
  <c r="C96" i="3" l="1"/>
  <c r="E96" i="3" s="1"/>
  <c r="G96" i="3" s="1"/>
  <c r="T94" i="3"/>
  <c r="S94" i="52254" s="1"/>
  <c r="A98" i="3"/>
  <c r="A98" i="52254" s="1"/>
  <c r="P95" i="3"/>
  <c r="Q95" i="3" s="1"/>
  <c r="R95" i="3" s="1"/>
  <c r="T95" i="3" s="1"/>
  <c r="U95" i="3" s="1"/>
  <c r="K97" i="3"/>
  <c r="M97" i="3" s="1"/>
  <c r="L96" i="3"/>
  <c r="N96" i="3" s="1"/>
  <c r="B97" i="3"/>
  <c r="C97" i="3" s="1"/>
  <c r="D97" i="3" s="1"/>
  <c r="F97" i="3" s="1"/>
  <c r="H94" i="52254"/>
  <c r="E95" i="52254"/>
  <c r="J95" i="3"/>
  <c r="O96" i="3"/>
  <c r="U93" i="3"/>
  <c r="V93" i="3"/>
  <c r="C96" i="52254"/>
  <c r="D96" i="52254" s="1"/>
  <c r="G22" i="52256"/>
  <c r="H95" i="52254"/>
  <c r="B97" i="52254"/>
  <c r="D96" i="3" l="1"/>
  <c r="F96" i="3" s="1"/>
  <c r="I96" i="3" s="1"/>
  <c r="K93" i="52254"/>
  <c r="V94" i="3"/>
  <c r="U94" i="3"/>
  <c r="K98" i="3"/>
  <c r="L98" i="3" s="1"/>
  <c r="N98" i="3" s="1"/>
  <c r="E97" i="3"/>
  <c r="G97" i="3" s="1"/>
  <c r="I97" i="3" s="1"/>
  <c r="B98" i="3"/>
  <c r="C98" i="3" s="1"/>
  <c r="A99" i="3"/>
  <c r="A99" i="52254" s="1"/>
  <c r="S95" i="3"/>
  <c r="L97" i="3"/>
  <c r="N97" i="3" s="1"/>
  <c r="P96" i="3"/>
  <c r="Q96" i="3" s="1"/>
  <c r="R96" i="3" s="1"/>
  <c r="H22" i="52252" s="1"/>
  <c r="I22" i="52252" s="1"/>
  <c r="C97" i="52254"/>
  <c r="D97" i="52254" s="1"/>
  <c r="R97" i="52254"/>
  <c r="V95" i="3"/>
  <c r="K95" i="52254" s="1"/>
  <c r="S95" i="52254"/>
  <c r="E96" i="52254"/>
  <c r="O97" i="3"/>
  <c r="H96" i="52254"/>
  <c r="B98" i="52254"/>
  <c r="H96" i="3" l="1"/>
  <c r="J96" i="3" s="1"/>
  <c r="K94" i="52254"/>
  <c r="H97" i="3"/>
  <c r="B99" i="3"/>
  <c r="C99" i="3" s="1"/>
  <c r="E99" i="3" s="1"/>
  <c r="G99" i="3" s="1"/>
  <c r="M98" i="3"/>
  <c r="O98" i="3" s="1"/>
  <c r="P98" i="3" s="1"/>
  <c r="Q98" i="3" s="1"/>
  <c r="R98" i="3" s="1"/>
  <c r="K99" i="3"/>
  <c r="M99" i="3" s="1"/>
  <c r="P97" i="3"/>
  <c r="Q97" i="3" s="1"/>
  <c r="R97" i="3" s="1"/>
  <c r="T97" i="3" s="1"/>
  <c r="A100" i="3"/>
  <c r="A100" i="52254" s="1"/>
  <c r="T96" i="3"/>
  <c r="U96" i="3" s="1"/>
  <c r="S96" i="3"/>
  <c r="E97" i="52254"/>
  <c r="J22" i="52252"/>
  <c r="K22" i="52252" s="1"/>
  <c r="M22" i="52252" s="1"/>
  <c r="C98" i="52254"/>
  <c r="D98" i="52254" s="1"/>
  <c r="R98" i="52254"/>
  <c r="J97" i="3"/>
  <c r="D98" i="3"/>
  <c r="F98" i="3" s="1"/>
  <c r="I98" i="3" s="1"/>
  <c r="E98" i="3"/>
  <c r="G98" i="3" s="1"/>
  <c r="H97" i="52254"/>
  <c r="B99" i="52254"/>
  <c r="B100" i="3" l="1"/>
  <c r="C100" i="3" s="1"/>
  <c r="S97" i="3"/>
  <c r="D99" i="3"/>
  <c r="F99" i="3" s="1"/>
  <c r="I99" i="3" s="1"/>
  <c r="L99" i="3"/>
  <c r="N99" i="3" s="1"/>
  <c r="A101" i="3"/>
  <c r="A101" i="52254" s="1"/>
  <c r="K100" i="3"/>
  <c r="L100" i="3" s="1"/>
  <c r="N100" i="3" s="1"/>
  <c r="V96" i="3"/>
  <c r="K96" i="52254" s="1"/>
  <c r="S96" i="52254"/>
  <c r="O22" i="52252"/>
  <c r="H98" i="3"/>
  <c r="J98" i="3" s="1"/>
  <c r="H98" i="52254"/>
  <c r="E98" i="52254"/>
  <c r="C99" i="52254"/>
  <c r="E99" i="52254" s="1"/>
  <c r="R99" i="52254"/>
  <c r="V97" i="3"/>
  <c r="S97" i="52254"/>
  <c r="U97" i="3"/>
  <c r="S98" i="3"/>
  <c r="T98" i="3"/>
  <c r="O99" i="3"/>
  <c r="B100" i="52254"/>
  <c r="K97" i="52254" l="1"/>
  <c r="A102" i="3"/>
  <c r="A102" i="52254" s="1"/>
  <c r="M100" i="3"/>
  <c r="O100" i="3" s="1"/>
  <c r="P100" i="3" s="1"/>
  <c r="Q100" i="3" s="1"/>
  <c r="R100" i="3" s="1"/>
  <c r="B101" i="3"/>
  <c r="G23" i="52252" s="1"/>
  <c r="H99" i="3"/>
  <c r="J99" i="3" s="1"/>
  <c r="K101" i="3"/>
  <c r="M101" i="3" s="1"/>
  <c r="D99" i="52254"/>
  <c r="U98" i="3"/>
  <c r="C100" i="52254"/>
  <c r="E100" i="52254" s="1"/>
  <c r="R100" i="52254"/>
  <c r="V98" i="3"/>
  <c r="S98" i="52254"/>
  <c r="P99" i="3"/>
  <c r="Q99" i="3" s="1"/>
  <c r="R99" i="3" s="1"/>
  <c r="D100" i="3"/>
  <c r="F100" i="3" s="1"/>
  <c r="I100" i="3" s="1"/>
  <c r="E100" i="3"/>
  <c r="G100" i="3" s="1"/>
  <c r="B101" i="52254"/>
  <c r="R101" i="52254" s="1"/>
  <c r="K98" i="52254" l="1"/>
  <c r="B102" i="3"/>
  <c r="C102" i="3" s="1"/>
  <c r="C101" i="3"/>
  <c r="E101" i="3" s="1"/>
  <c r="G101" i="3" s="1"/>
  <c r="K102" i="3"/>
  <c r="M102" i="3" s="1"/>
  <c r="A103" i="3"/>
  <c r="A103" i="52254" s="1"/>
  <c r="L101" i="3"/>
  <c r="N101" i="3" s="1"/>
  <c r="S100" i="3"/>
  <c r="D100" i="52254"/>
  <c r="H99" i="52254"/>
  <c r="H100" i="3"/>
  <c r="J100" i="3" s="1"/>
  <c r="S99" i="3"/>
  <c r="T99" i="3"/>
  <c r="S99" i="52254" s="1"/>
  <c r="O101" i="3"/>
  <c r="T100" i="3"/>
  <c r="C101" i="52254"/>
  <c r="D101" i="52254" s="1"/>
  <c r="G23" i="52256"/>
  <c r="B102" i="52254"/>
  <c r="D101" i="3" l="1"/>
  <c r="F101" i="3" s="1"/>
  <c r="I101" i="3" s="1"/>
  <c r="P101" i="3"/>
  <c r="Q101" i="3" s="1"/>
  <c r="R101" i="3" s="1"/>
  <c r="H23" i="52252" s="1"/>
  <c r="I23" i="52252" s="1"/>
  <c r="A104" i="3"/>
  <c r="A104" i="52254" s="1"/>
  <c r="L102" i="3"/>
  <c r="N102" i="3" s="1"/>
  <c r="B103" i="3"/>
  <c r="C103" i="3" s="1"/>
  <c r="K103" i="3"/>
  <c r="L103" i="3" s="1"/>
  <c r="N103" i="3" s="1"/>
  <c r="H100" i="52254"/>
  <c r="C102" i="52254"/>
  <c r="E102" i="52254" s="1"/>
  <c r="R102" i="52254"/>
  <c r="V99" i="3"/>
  <c r="U99" i="3"/>
  <c r="V100" i="3"/>
  <c r="S100" i="52254"/>
  <c r="E101" i="52254"/>
  <c r="O102" i="3"/>
  <c r="D102" i="3"/>
  <c r="F102" i="3" s="1"/>
  <c r="I102" i="3" s="1"/>
  <c r="E102" i="3"/>
  <c r="G102" i="3" s="1"/>
  <c r="U100" i="3"/>
  <c r="H101" i="52254"/>
  <c r="B103" i="52254"/>
  <c r="K100" i="52254" l="1"/>
  <c r="H101" i="3"/>
  <c r="J101" i="3" s="1"/>
  <c r="K99" i="52254"/>
  <c r="T101" i="3"/>
  <c r="S101" i="52254" s="1"/>
  <c r="P102" i="3"/>
  <c r="Q102" i="3" s="1"/>
  <c r="R102" i="3" s="1"/>
  <c r="S102" i="3" s="1"/>
  <c r="S101" i="3"/>
  <c r="M103" i="3"/>
  <c r="O103" i="3" s="1"/>
  <c r="P103" i="3" s="1"/>
  <c r="Q103" i="3" s="1"/>
  <c r="K104" i="3"/>
  <c r="M104" i="3" s="1"/>
  <c r="A105" i="3"/>
  <c r="B105" i="3" s="1"/>
  <c r="C105" i="3" s="1"/>
  <c r="B104" i="3"/>
  <c r="C104" i="3" s="1"/>
  <c r="E104" i="3" s="1"/>
  <c r="G104" i="3" s="1"/>
  <c r="H102" i="3"/>
  <c r="J102" i="3" s="1"/>
  <c r="D102" i="52254"/>
  <c r="C103" i="52254"/>
  <c r="D103" i="52254" s="1"/>
  <c r="R103" i="52254"/>
  <c r="D103" i="3"/>
  <c r="F103" i="3" s="1"/>
  <c r="I103" i="3" s="1"/>
  <c r="E103" i="3"/>
  <c r="G103" i="3" s="1"/>
  <c r="B104" i="52254"/>
  <c r="J23" i="52252" l="1"/>
  <c r="K23" i="52252" s="1"/>
  <c r="M23" i="52252" s="1"/>
  <c r="T102" i="3"/>
  <c r="V102" i="3" s="1"/>
  <c r="U101" i="3"/>
  <c r="V101" i="3"/>
  <c r="A105" i="52254"/>
  <c r="B105" i="52254" s="1"/>
  <c r="D104" i="3"/>
  <c r="F104" i="3" s="1"/>
  <c r="I104" i="3" s="1"/>
  <c r="L104" i="3"/>
  <c r="N104" i="3" s="1"/>
  <c r="K105" i="3"/>
  <c r="L105" i="3" s="1"/>
  <c r="N105" i="3" s="1"/>
  <c r="A106" i="3"/>
  <c r="A106" i="52254" s="1"/>
  <c r="R103" i="3"/>
  <c r="S103" i="3" s="1"/>
  <c r="E103" i="52254"/>
  <c r="H102" i="52254"/>
  <c r="H103" i="3"/>
  <c r="J103" i="3" s="1"/>
  <c r="C104" i="52254"/>
  <c r="E104" i="52254" s="1"/>
  <c r="R104" i="52254"/>
  <c r="E105" i="3"/>
  <c r="G105" i="3" s="1"/>
  <c r="D105" i="3"/>
  <c r="F105" i="3" s="1"/>
  <c r="O104" i="3"/>
  <c r="H103" i="52254"/>
  <c r="O23" i="52252" l="1"/>
  <c r="K101" i="52254"/>
  <c r="I105" i="3"/>
  <c r="U102" i="3"/>
  <c r="K102" i="52254" s="1"/>
  <c r="S102" i="52254"/>
  <c r="A107" i="3"/>
  <c r="A107" i="52254" s="1"/>
  <c r="H104" i="3"/>
  <c r="J104" i="3" s="1"/>
  <c r="P104" i="3"/>
  <c r="Q104" i="3" s="1"/>
  <c r="R104" i="3" s="1"/>
  <c r="S104" i="3" s="1"/>
  <c r="M105" i="3"/>
  <c r="O105" i="3" s="1"/>
  <c r="P105" i="3" s="1"/>
  <c r="Q105" i="3" s="1"/>
  <c r="R105" i="3" s="1"/>
  <c r="B106" i="3"/>
  <c r="C106" i="3" s="1"/>
  <c r="K106" i="3"/>
  <c r="L106" i="3" s="1"/>
  <c r="N106" i="3" s="1"/>
  <c r="T103" i="3"/>
  <c r="U103" i="3" s="1"/>
  <c r="D104" i="52254"/>
  <c r="C105" i="52254"/>
  <c r="E105" i="52254" s="1"/>
  <c r="R105" i="52254"/>
  <c r="H105" i="3"/>
  <c r="B106" i="52254"/>
  <c r="R106" i="52254" s="1"/>
  <c r="J105" i="3" l="1"/>
  <c r="A108" i="3"/>
  <c r="A108" i="52254" s="1"/>
  <c r="G24" i="52252"/>
  <c r="B107" i="3"/>
  <c r="C107" i="3" s="1"/>
  <c r="K107" i="3"/>
  <c r="L107" i="3" s="1"/>
  <c r="N107" i="3" s="1"/>
  <c r="T104" i="3"/>
  <c r="U104" i="3" s="1"/>
  <c r="M106" i="3"/>
  <c r="O106" i="3" s="1"/>
  <c r="P106" i="3" s="1"/>
  <c r="Q106" i="3" s="1"/>
  <c r="R106" i="3" s="1"/>
  <c r="S103" i="52254"/>
  <c r="V103" i="3"/>
  <c r="K103" i="52254" s="1"/>
  <c r="S105" i="3"/>
  <c r="H104" i="52254"/>
  <c r="D105" i="52254"/>
  <c r="E106" i="3"/>
  <c r="G106" i="3" s="1"/>
  <c r="D106" i="3"/>
  <c r="F106" i="3" s="1"/>
  <c r="T105" i="3"/>
  <c r="S105" i="52254" s="1"/>
  <c r="C106" i="52254"/>
  <c r="D106" i="52254" s="1"/>
  <c r="G24" i="52256"/>
  <c r="B107" i="52254"/>
  <c r="I106" i="3" l="1"/>
  <c r="K108" i="3"/>
  <c r="M108" i="3" s="1"/>
  <c r="B108" i="3"/>
  <c r="C108" i="3" s="1"/>
  <c r="A109" i="3"/>
  <c r="A109" i="52254" s="1"/>
  <c r="M107" i="3"/>
  <c r="O107" i="3" s="1"/>
  <c r="P107" i="3" s="1"/>
  <c r="Q107" i="3" s="1"/>
  <c r="R107" i="3" s="1"/>
  <c r="H105" i="52254"/>
  <c r="S104" i="52254"/>
  <c r="V104" i="3"/>
  <c r="K104" i="52254" s="1"/>
  <c r="E106" i="52254"/>
  <c r="C107" i="52254"/>
  <c r="D107" i="52254" s="1"/>
  <c r="R107" i="52254"/>
  <c r="S106" i="3"/>
  <c r="H24" i="52252"/>
  <c r="I24" i="52252" s="1"/>
  <c r="T106" i="3"/>
  <c r="S106" i="52254" s="1"/>
  <c r="H106" i="3"/>
  <c r="V105" i="3"/>
  <c r="U105" i="3"/>
  <c r="E107" i="3"/>
  <c r="G107" i="3" s="1"/>
  <c r="D107" i="3"/>
  <c r="F107" i="3" s="1"/>
  <c r="I107" i="3" s="1"/>
  <c r="H106" i="52254"/>
  <c r="B108" i="52254"/>
  <c r="K105" i="52254" l="1"/>
  <c r="K109" i="3"/>
  <c r="L109" i="3" s="1"/>
  <c r="N109" i="3" s="1"/>
  <c r="B109" i="3"/>
  <c r="C109" i="3" s="1"/>
  <c r="A110" i="3"/>
  <c r="A110" i="52254" s="1"/>
  <c r="L108" i="3"/>
  <c r="N108" i="3" s="1"/>
  <c r="E107" i="52254"/>
  <c r="V106" i="3"/>
  <c r="C108" i="52254"/>
  <c r="D108" i="52254" s="1"/>
  <c r="R108" i="52254"/>
  <c r="S107" i="3"/>
  <c r="T107" i="3"/>
  <c r="S107" i="52254" s="1"/>
  <c r="O108" i="3"/>
  <c r="J24" i="52252"/>
  <c r="J106" i="3"/>
  <c r="U106" i="3"/>
  <c r="K106" i="52254" s="1"/>
  <c r="H107" i="3"/>
  <c r="E108" i="3"/>
  <c r="G108" i="3" s="1"/>
  <c r="D108" i="3"/>
  <c r="F108" i="3" s="1"/>
  <c r="H107" i="52254"/>
  <c r="B109" i="52254"/>
  <c r="M109" i="3" l="1"/>
  <c r="O109" i="3" s="1"/>
  <c r="P109" i="3" s="1"/>
  <c r="Q109" i="3" s="1"/>
  <c r="R109" i="3" s="1"/>
  <c r="P108" i="3"/>
  <c r="Q108" i="3" s="1"/>
  <c r="R108" i="3" s="1"/>
  <c r="S108" i="3" s="1"/>
  <c r="I108" i="3"/>
  <c r="A111" i="3"/>
  <c r="A111" i="52254" s="1"/>
  <c r="B110" i="3"/>
  <c r="C110" i="3" s="1"/>
  <c r="K110" i="3"/>
  <c r="M110" i="3" s="1"/>
  <c r="E108" i="52254"/>
  <c r="V107" i="3"/>
  <c r="C109" i="52254"/>
  <c r="D109" i="52254" s="1"/>
  <c r="R109" i="52254"/>
  <c r="H108" i="52254"/>
  <c r="H108" i="3"/>
  <c r="O24" i="52252"/>
  <c r="K24" i="52252"/>
  <c r="M24" i="52252" s="1"/>
  <c r="E109" i="3"/>
  <c r="G109" i="3" s="1"/>
  <c r="D109" i="3"/>
  <c r="F109" i="3" s="1"/>
  <c r="B110" i="52254"/>
  <c r="J107" i="3"/>
  <c r="U107" i="3"/>
  <c r="J108" i="3" l="1"/>
  <c r="K107" i="52254"/>
  <c r="A112" i="3"/>
  <c r="A112" i="52254" s="1"/>
  <c r="B111" i="3"/>
  <c r="C111" i="3" s="1"/>
  <c r="E111" i="3" s="1"/>
  <c r="G111" i="3" s="1"/>
  <c r="I109" i="3"/>
  <c r="K111" i="3"/>
  <c r="L111" i="3" s="1"/>
  <c r="L110" i="3"/>
  <c r="N110" i="3" s="1"/>
  <c r="E109" i="52254"/>
  <c r="T108" i="3"/>
  <c r="S108" i="52254" s="1"/>
  <c r="C110" i="52254"/>
  <c r="E110" i="52254" s="1"/>
  <c r="R110" i="52254"/>
  <c r="H109" i="3"/>
  <c r="S109" i="3"/>
  <c r="T109" i="3"/>
  <c r="S109" i="52254" s="1"/>
  <c r="D110" i="3"/>
  <c r="F110" i="3" s="1"/>
  <c r="I110" i="3" s="1"/>
  <c r="E110" i="3"/>
  <c r="G110" i="3" s="1"/>
  <c r="O110" i="3"/>
  <c r="H109" i="52254"/>
  <c r="B111" i="52254"/>
  <c r="R111" i="52254" s="1"/>
  <c r="J109" i="3" l="1"/>
  <c r="G25" i="52252"/>
  <c r="B112" i="3"/>
  <c r="C112" i="3" s="1"/>
  <c r="E112" i="3" s="1"/>
  <c r="G112" i="3" s="1"/>
  <c r="K112" i="3"/>
  <c r="L112" i="3" s="1"/>
  <c r="N112" i="3" s="1"/>
  <c r="A113" i="3"/>
  <c r="A113" i="52254" s="1"/>
  <c r="D111" i="3"/>
  <c r="F111" i="3" s="1"/>
  <c r="I111" i="3" s="1"/>
  <c r="M111" i="3"/>
  <c r="O111" i="3" s="1"/>
  <c r="V108" i="3"/>
  <c r="U108" i="3"/>
  <c r="D110" i="52254"/>
  <c r="H110" i="3"/>
  <c r="J110" i="3" s="1"/>
  <c r="U109" i="3"/>
  <c r="V109" i="3"/>
  <c r="N111" i="3"/>
  <c r="D112" i="3"/>
  <c r="F112" i="3" s="1"/>
  <c r="P110" i="3"/>
  <c r="Q110" i="3" s="1"/>
  <c r="R110" i="3" s="1"/>
  <c r="C111" i="52254"/>
  <c r="D111" i="52254" s="1"/>
  <c r="G25" i="52256"/>
  <c r="B112" i="52254"/>
  <c r="K109" i="52254" l="1"/>
  <c r="K108" i="52254"/>
  <c r="M112" i="3"/>
  <c r="O112" i="3" s="1"/>
  <c r="P112" i="3" s="1"/>
  <c r="Q112" i="3" s="1"/>
  <c r="R112" i="3" s="1"/>
  <c r="A114" i="3"/>
  <c r="B114" i="3" s="1"/>
  <c r="C114" i="3" s="1"/>
  <c r="B113" i="3"/>
  <c r="C113" i="3" s="1"/>
  <c r="K113" i="3"/>
  <c r="L113" i="3" s="1"/>
  <c r="N113" i="3" s="1"/>
  <c r="H111" i="3"/>
  <c r="J111" i="3" s="1"/>
  <c r="I112" i="3"/>
  <c r="H110" i="52254"/>
  <c r="H112" i="3"/>
  <c r="E111" i="52254"/>
  <c r="C112" i="52254"/>
  <c r="E112" i="52254" s="1"/>
  <c r="R112" i="52254"/>
  <c r="A114" i="52254"/>
  <c r="S110" i="3"/>
  <c r="T110" i="3"/>
  <c r="S110" i="52254" s="1"/>
  <c r="P111" i="3"/>
  <c r="Q111" i="3" s="1"/>
  <c r="R111" i="3" s="1"/>
  <c r="B113" i="52254"/>
  <c r="J112" i="3" l="1"/>
  <c r="A115" i="3"/>
  <c r="A115" i="52254" s="1"/>
  <c r="M113" i="3"/>
  <c r="O113" i="3" s="1"/>
  <c r="P113" i="3" s="1"/>
  <c r="Q113" i="3" s="1"/>
  <c r="R113" i="3" s="1"/>
  <c r="K114" i="3"/>
  <c r="L114" i="3" s="1"/>
  <c r="J25" i="52252"/>
  <c r="O25" i="52252" s="1"/>
  <c r="S112" i="3"/>
  <c r="D112" i="52254"/>
  <c r="H111" i="52254"/>
  <c r="C113" i="52254"/>
  <c r="E113" i="52254" s="1"/>
  <c r="R113" i="52254"/>
  <c r="S111" i="3"/>
  <c r="H25" i="52252"/>
  <c r="I25" i="52252" s="1"/>
  <c r="T111" i="3"/>
  <c r="S111" i="52254" s="1"/>
  <c r="T112" i="3"/>
  <c r="S112" i="52254" s="1"/>
  <c r="D113" i="3"/>
  <c r="F113" i="3" s="1"/>
  <c r="I113" i="3" s="1"/>
  <c r="E113" i="3"/>
  <c r="G113" i="3" s="1"/>
  <c r="D114" i="3"/>
  <c r="F114" i="3" s="1"/>
  <c r="I114" i="3" s="1"/>
  <c r="E114" i="3"/>
  <c r="G114" i="3" s="1"/>
  <c r="V110" i="3"/>
  <c r="U110" i="3"/>
  <c r="B114" i="52254"/>
  <c r="K110" i="52254" l="1"/>
  <c r="A116" i="3"/>
  <c r="A116" i="52254" s="1"/>
  <c r="K115" i="3"/>
  <c r="L115" i="3" s="1"/>
  <c r="B115" i="3"/>
  <c r="C115" i="3" s="1"/>
  <c r="D115" i="3" s="1"/>
  <c r="F115" i="3" s="1"/>
  <c r="I115" i="3" s="1"/>
  <c r="M114" i="3"/>
  <c r="O114" i="3" s="1"/>
  <c r="S113" i="3"/>
  <c r="H112" i="52254"/>
  <c r="D113" i="52254"/>
  <c r="H113" i="3"/>
  <c r="J113" i="3" s="1"/>
  <c r="C114" i="52254"/>
  <c r="E114" i="52254" s="1"/>
  <c r="R114" i="52254"/>
  <c r="H114" i="3"/>
  <c r="J114" i="3" s="1"/>
  <c r="N114" i="3"/>
  <c r="V111" i="3"/>
  <c r="U111" i="3"/>
  <c r="T113" i="3"/>
  <c r="U112" i="3"/>
  <c r="V112" i="3"/>
  <c r="K25" i="52252"/>
  <c r="M25" i="52252" s="1"/>
  <c r="B115" i="52254"/>
  <c r="K112" i="52254" l="1"/>
  <c r="K111" i="52254"/>
  <c r="E115" i="3"/>
  <c r="G115" i="3" s="1"/>
  <c r="A117" i="3"/>
  <c r="A117" i="52254" s="1"/>
  <c r="K116" i="3"/>
  <c r="L116" i="3" s="1"/>
  <c r="N116" i="3" s="1"/>
  <c r="B116" i="3"/>
  <c r="C116" i="3" s="1"/>
  <c r="M115" i="3"/>
  <c r="O115" i="3" s="1"/>
  <c r="H113" i="52254"/>
  <c r="D114" i="52254"/>
  <c r="H115" i="3"/>
  <c r="J115" i="3" s="1"/>
  <c r="C115" i="52254"/>
  <c r="D115" i="52254" s="1"/>
  <c r="R115" i="52254"/>
  <c r="V113" i="3"/>
  <c r="S113" i="52254"/>
  <c r="U113" i="3"/>
  <c r="N115" i="3"/>
  <c r="P114" i="3"/>
  <c r="Q114" i="3" s="1"/>
  <c r="R114" i="3" s="1"/>
  <c r="B116" i="52254"/>
  <c r="R116" i="52254" s="1"/>
  <c r="K113" i="52254" l="1"/>
  <c r="G26" i="52252"/>
  <c r="M116" i="3"/>
  <c r="O116" i="3" s="1"/>
  <c r="P116" i="3" s="1"/>
  <c r="Q116" i="3" s="1"/>
  <c r="R116" i="3" s="1"/>
  <c r="A118" i="3"/>
  <c r="A118" i="52254" s="1"/>
  <c r="K117" i="3"/>
  <c r="M117" i="3" s="1"/>
  <c r="B117" i="3"/>
  <c r="C117" i="3" s="1"/>
  <c r="E117" i="3" s="1"/>
  <c r="G117" i="3" s="1"/>
  <c r="E115" i="52254"/>
  <c r="H114" i="52254"/>
  <c r="S114" i="3"/>
  <c r="T114" i="3"/>
  <c r="S114" i="52254" s="1"/>
  <c r="E116" i="3"/>
  <c r="G116" i="3" s="1"/>
  <c r="D116" i="3"/>
  <c r="F116" i="3" s="1"/>
  <c r="P115" i="3"/>
  <c r="Q115" i="3" s="1"/>
  <c r="C116" i="52254"/>
  <c r="E116" i="52254" s="1"/>
  <c r="G26" i="52256"/>
  <c r="B117" i="52254"/>
  <c r="H115" i="52254"/>
  <c r="K118" i="3" l="1"/>
  <c r="M118" i="3" s="1"/>
  <c r="A119" i="3"/>
  <c r="A119" i="52254" s="1"/>
  <c r="B118" i="3"/>
  <c r="C118" i="3" s="1"/>
  <c r="E118" i="3" s="1"/>
  <c r="G118" i="3" s="1"/>
  <c r="D117" i="3"/>
  <c r="F117" i="3" s="1"/>
  <c r="I117" i="3" s="1"/>
  <c r="L117" i="3"/>
  <c r="N117" i="3" s="1"/>
  <c r="I116" i="3"/>
  <c r="R115" i="3"/>
  <c r="S115" i="3" s="1"/>
  <c r="C117" i="52254"/>
  <c r="D117" i="52254" s="1"/>
  <c r="R117" i="52254"/>
  <c r="D116" i="52254"/>
  <c r="H116" i="3"/>
  <c r="S116" i="3"/>
  <c r="H26" i="52252"/>
  <c r="I26" i="52252" s="1"/>
  <c r="O117" i="3"/>
  <c r="U114" i="3"/>
  <c r="V114" i="3"/>
  <c r="B118" i="52254"/>
  <c r="J116" i="3" l="1"/>
  <c r="K114" i="52254"/>
  <c r="H117" i="3"/>
  <c r="J117" i="3" s="1"/>
  <c r="D118" i="3"/>
  <c r="F118" i="3" s="1"/>
  <c r="I118" i="3" s="1"/>
  <c r="P117" i="3"/>
  <c r="Q117" i="3" s="1"/>
  <c r="R117" i="3" s="1"/>
  <c r="S117" i="3" s="1"/>
  <c r="L118" i="3"/>
  <c r="N118" i="3" s="1"/>
  <c r="B119" i="3"/>
  <c r="C119" i="3" s="1"/>
  <c r="A120" i="3"/>
  <c r="A120" i="52254" s="1"/>
  <c r="K119" i="3"/>
  <c r="L119" i="3" s="1"/>
  <c r="T116" i="3"/>
  <c r="V116" i="3" s="1"/>
  <c r="T115" i="3"/>
  <c r="S115" i="52254" s="1"/>
  <c r="J26" i="52252"/>
  <c r="K26" i="52252" s="1"/>
  <c r="M26" i="52252" s="1"/>
  <c r="E117" i="52254"/>
  <c r="C118" i="52254"/>
  <c r="D118" i="52254" s="1"/>
  <c r="R118" i="52254"/>
  <c r="H116" i="52254"/>
  <c r="O118" i="3"/>
  <c r="B119" i="52254"/>
  <c r="T117" i="3" l="1"/>
  <c r="U117" i="3" s="1"/>
  <c r="H118" i="3"/>
  <c r="J118" i="3" s="1"/>
  <c r="M119" i="3"/>
  <c r="O119" i="3" s="1"/>
  <c r="B120" i="3"/>
  <c r="C120" i="3" s="1"/>
  <c r="A121" i="3"/>
  <c r="A121" i="52254" s="1"/>
  <c r="K120" i="3"/>
  <c r="M120" i="3" s="1"/>
  <c r="V115" i="3"/>
  <c r="H117" i="52254"/>
  <c r="U115" i="3"/>
  <c r="U116" i="3"/>
  <c r="K116" i="52254" s="1"/>
  <c r="S116" i="52254"/>
  <c r="E118" i="52254"/>
  <c r="O26" i="52252"/>
  <c r="C119" i="52254"/>
  <c r="E119" i="52254" s="1"/>
  <c r="R119" i="52254"/>
  <c r="P118" i="3"/>
  <c r="Q118" i="3" s="1"/>
  <c r="R118" i="3" s="1"/>
  <c r="N119" i="3"/>
  <c r="E119" i="3"/>
  <c r="G119" i="3" s="1"/>
  <c r="D119" i="3"/>
  <c r="F119" i="3" s="1"/>
  <c r="H118" i="52254"/>
  <c r="B120" i="52254"/>
  <c r="K115" i="52254" l="1"/>
  <c r="V117" i="3"/>
  <c r="K117" i="52254" s="1"/>
  <c r="S117" i="52254"/>
  <c r="L120" i="3"/>
  <c r="N120" i="3" s="1"/>
  <c r="K121" i="3"/>
  <c r="M121" i="3" s="1"/>
  <c r="A122" i="3"/>
  <c r="A122" i="52254" s="1"/>
  <c r="B121" i="3"/>
  <c r="G27" i="52252" s="1"/>
  <c r="I119" i="3"/>
  <c r="D119" i="52254"/>
  <c r="C120" i="52254"/>
  <c r="E120" i="52254" s="1"/>
  <c r="R120" i="52254"/>
  <c r="H119" i="3"/>
  <c r="E120" i="3"/>
  <c r="G120" i="3" s="1"/>
  <c r="D120" i="3"/>
  <c r="F120" i="3" s="1"/>
  <c r="O120" i="3"/>
  <c r="S118" i="3"/>
  <c r="T118" i="3"/>
  <c r="S118" i="52254" s="1"/>
  <c r="P119" i="3"/>
  <c r="Q119" i="3" s="1"/>
  <c r="R119" i="3" s="1"/>
  <c r="B121" i="52254"/>
  <c r="R121" i="52254" s="1"/>
  <c r="J119" i="3" l="1"/>
  <c r="L121" i="3"/>
  <c r="N121" i="3" s="1"/>
  <c r="P120" i="3"/>
  <c r="Q120" i="3" s="1"/>
  <c r="R120" i="3" s="1"/>
  <c r="S120" i="3" s="1"/>
  <c r="C121" i="3"/>
  <c r="E121" i="3" s="1"/>
  <c r="G121" i="3" s="1"/>
  <c r="A123" i="3"/>
  <c r="A123" i="52254" s="1"/>
  <c r="K122" i="3"/>
  <c r="L122" i="3" s="1"/>
  <c r="N122" i="3" s="1"/>
  <c r="B122" i="3"/>
  <c r="C122" i="3" s="1"/>
  <c r="E122" i="3" s="1"/>
  <c r="G122" i="3" s="1"/>
  <c r="I120" i="3"/>
  <c r="H119" i="52254"/>
  <c r="D120" i="52254"/>
  <c r="H120" i="3"/>
  <c r="S119" i="3"/>
  <c r="T119" i="3"/>
  <c r="S119" i="52254" s="1"/>
  <c r="O121" i="3"/>
  <c r="V118" i="3"/>
  <c r="U118" i="3"/>
  <c r="C121" i="52254"/>
  <c r="E121" i="52254" s="1"/>
  <c r="G27" i="52256"/>
  <c r="B122" i="52254"/>
  <c r="J120" i="3" l="1"/>
  <c r="K118" i="52254"/>
  <c r="T120" i="3"/>
  <c r="S120" i="52254" s="1"/>
  <c r="D122" i="3"/>
  <c r="F122" i="3" s="1"/>
  <c r="I122" i="3" s="1"/>
  <c r="D121" i="3"/>
  <c r="F121" i="3" s="1"/>
  <c r="I121" i="3" s="1"/>
  <c r="M122" i="3"/>
  <c r="O122" i="3" s="1"/>
  <c r="P122" i="3" s="1"/>
  <c r="Q122" i="3" s="1"/>
  <c r="B123" i="3"/>
  <c r="C123" i="3" s="1"/>
  <c r="K123" i="3"/>
  <c r="M123" i="3" s="1"/>
  <c r="A124" i="3"/>
  <c r="A125" i="3" s="1"/>
  <c r="A125" i="52254" s="1"/>
  <c r="D121" i="52254"/>
  <c r="H120" i="52254"/>
  <c r="P121" i="3"/>
  <c r="Q121" i="3" s="1"/>
  <c r="R121" i="3" s="1"/>
  <c r="C122" i="52254"/>
  <c r="E122" i="52254" s="1"/>
  <c r="R122" i="52254"/>
  <c r="B123" i="52254"/>
  <c r="V119" i="3"/>
  <c r="U119" i="3"/>
  <c r="A124" i="52254" l="1"/>
  <c r="B124" i="52254" s="1"/>
  <c r="K119" i="52254"/>
  <c r="V120" i="3"/>
  <c r="U120" i="3"/>
  <c r="H122" i="3"/>
  <c r="J122" i="3" s="1"/>
  <c r="B124" i="3"/>
  <c r="C124" i="3" s="1"/>
  <c r="E124" i="3" s="1"/>
  <c r="G124" i="3" s="1"/>
  <c r="L123" i="3"/>
  <c r="N123" i="3" s="1"/>
  <c r="H121" i="3"/>
  <c r="J27" i="52252" s="1"/>
  <c r="O27" i="52252" s="1"/>
  <c r="K124" i="3"/>
  <c r="M124" i="3" s="1"/>
  <c r="D122" i="52254"/>
  <c r="H121" i="52254"/>
  <c r="R122" i="3"/>
  <c r="S122" i="3" s="1"/>
  <c r="C123" i="52254"/>
  <c r="E123" i="52254" s="1"/>
  <c r="R123" i="52254"/>
  <c r="E123" i="3"/>
  <c r="G123" i="3" s="1"/>
  <c r="D123" i="3"/>
  <c r="F123" i="3" s="1"/>
  <c r="B125" i="3"/>
  <c r="A126" i="3"/>
  <c r="A126" i="52254" s="1"/>
  <c r="K125" i="3"/>
  <c r="H27" i="52252"/>
  <c r="I27" i="52252" s="1"/>
  <c r="S121" i="3"/>
  <c r="T121" i="3"/>
  <c r="S121" i="52254" s="1"/>
  <c r="O123" i="3"/>
  <c r="K120" i="52254" l="1"/>
  <c r="D124" i="3"/>
  <c r="F124" i="3" s="1"/>
  <c r="I124" i="3" s="1"/>
  <c r="K27" i="52252"/>
  <c r="M27" i="52252" s="1"/>
  <c r="L124" i="3"/>
  <c r="N124" i="3" s="1"/>
  <c r="P123" i="3"/>
  <c r="Q123" i="3" s="1"/>
  <c r="R123" i="3" s="1"/>
  <c r="T123" i="3" s="1"/>
  <c r="S123" i="52254" s="1"/>
  <c r="J121" i="3"/>
  <c r="T122" i="3"/>
  <c r="U122" i="3" s="1"/>
  <c r="H122" i="52254"/>
  <c r="I123" i="3"/>
  <c r="D123" i="52254"/>
  <c r="C124" i="52254"/>
  <c r="E124" i="52254" s="1"/>
  <c r="R124" i="52254"/>
  <c r="H123" i="3"/>
  <c r="V121" i="3"/>
  <c r="U121" i="3"/>
  <c r="M125" i="3"/>
  <c r="L125" i="3"/>
  <c r="N125" i="3" s="1"/>
  <c r="C125" i="3"/>
  <c r="O124" i="3"/>
  <c r="B126" i="3"/>
  <c r="A127" i="3"/>
  <c r="A127" i="52254" s="1"/>
  <c r="K126" i="3"/>
  <c r="B125" i="52254"/>
  <c r="J123" i="3" l="1"/>
  <c r="K121" i="52254"/>
  <c r="S123" i="3"/>
  <c r="H124" i="3"/>
  <c r="J124" i="3" s="1"/>
  <c r="P124" i="3"/>
  <c r="Q124" i="3" s="1"/>
  <c r="R124" i="3" s="1"/>
  <c r="T124" i="3" s="1"/>
  <c r="S124" i="52254" s="1"/>
  <c r="V122" i="3"/>
  <c r="K122" i="52254" s="1"/>
  <c r="S122" i="52254"/>
  <c r="H123" i="52254"/>
  <c r="D124" i="52254"/>
  <c r="V123" i="3"/>
  <c r="U123" i="3"/>
  <c r="C125" i="52254"/>
  <c r="D125" i="52254" s="1"/>
  <c r="R125" i="52254"/>
  <c r="L126" i="3"/>
  <c r="N126" i="3" s="1"/>
  <c r="M126" i="3"/>
  <c r="C126" i="3"/>
  <c r="G28" i="52252"/>
  <c r="B127" i="3"/>
  <c r="K127" i="3"/>
  <c r="A128" i="3"/>
  <c r="A128" i="52254" s="1"/>
  <c r="E125" i="3"/>
  <c r="G125" i="3" s="1"/>
  <c r="D125" i="3"/>
  <c r="F125" i="3" s="1"/>
  <c r="O125" i="3"/>
  <c r="P125" i="3" s="1"/>
  <c r="Q125" i="3" s="1"/>
  <c r="R125" i="3" s="1"/>
  <c r="B126" i="52254"/>
  <c r="R126" i="52254" s="1"/>
  <c r="K123" i="52254" l="1"/>
  <c r="S124" i="3"/>
  <c r="I125" i="3"/>
  <c r="E125" i="52254"/>
  <c r="H124" i="52254"/>
  <c r="B128" i="3"/>
  <c r="C128" i="3" s="1"/>
  <c r="S125" i="3"/>
  <c r="T125" i="3"/>
  <c r="S125" i="52254" s="1"/>
  <c r="A129" i="3"/>
  <c r="A129" i="52254" s="1"/>
  <c r="K128" i="3"/>
  <c r="C127" i="3"/>
  <c r="H125" i="3"/>
  <c r="L127" i="3"/>
  <c r="N127" i="3" s="1"/>
  <c r="M127" i="3"/>
  <c r="E126" i="3"/>
  <c r="G126" i="3" s="1"/>
  <c r="D126" i="3"/>
  <c r="F126" i="3" s="1"/>
  <c r="O126" i="3"/>
  <c r="P126" i="3" s="1"/>
  <c r="Q126" i="3" s="1"/>
  <c r="R126" i="3" s="1"/>
  <c r="V124" i="3"/>
  <c r="U124" i="3"/>
  <c r="C126" i="52254"/>
  <c r="D126" i="52254" s="1"/>
  <c r="G28" i="52256"/>
  <c r="B127" i="52254"/>
  <c r="K124" i="52254" l="1"/>
  <c r="J125" i="3"/>
  <c r="H125" i="52254"/>
  <c r="V125" i="3"/>
  <c r="I126" i="3"/>
  <c r="H126" i="3"/>
  <c r="C127" i="52254"/>
  <c r="E127" i="52254" s="1"/>
  <c r="R127" i="52254"/>
  <c r="S126" i="3"/>
  <c r="H28" i="52252"/>
  <c r="I28" i="52252" s="1"/>
  <c r="T126" i="3"/>
  <c r="D128" i="3"/>
  <c r="F128" i="3" s="1"/>
  <c r="E128" i="3"/>
  <c r="G128" i="3" s="1"/>
  <c r="B129" i="3"/>
  <c r="K129" i="3"/>
  <c r="A130" i="3"/>
  <c r="O127" i="3"/>
  <c r="P127" i="3" s="1"/>
  <c r="Q127" i="3" s="1"/>
  <c r="R127" i="3" s="1"/>
  <c r="D127" i="3"/>
  <c r="F127" i="3" s="1"/>
  <c r="E127" i="3"/>
  <c r="G127" i="3" s="1"/>
  <c r="L128" i="3"/>
  <c r="N128" i="3" s="1"/>
  <c r="M128" i="3"/>
  <c r="U125" i="3"/>
  <c r="E126" i="52254"/>
  <c r="B128" i="52254"/>
  <c r="K125" i="52254" l="1"/>
  <c r="A130" i="52254"/>
  <c r="K130" i="3"/>
  <c r="L130" i="3" s="1"/>
  <c r="J126" i="3"/>
  <c r="V126" i="3"/>
  <c r="I127" i="3"/>
  <c r="I128" i="3"/>
  <c r="D127" i="52254"/>
  <c r="J28" i="52252"/>
  <c r="K28" i="52252" s="1"/>
  <c r="M28" i="52252" s="1"/>
  <c r="B130" i="3"/>
  <c r="C130" i="3" s="1"/>
  <c r="H126" i="52254"/>
  <c r="C128" i="52254"/>
  <c r="E128" i="52254" s="1"/>
  <c r="R128" i="52254"/>
  <c r="U126" i="3"/>
  <c r="S126" i="52254"/>
  <c r="S127" i="3"/>
  <c r="T127" i="3"/>
  <c r="S127" i="52254" s="1"/>
  <c r="O128" i="3"/>
  <c r="P128" i="3" s="1"/>
  <c r="Q128" i="3" s="1"/>
  <c r="R128" i="3" s="1"/>
  <c r="A131" i="3"/>
  <c r="A131" i="52254" s="1"/>
  <c r="C129" i="3"/>
  <c r="H127" i="3"/>
  <c r="M129" i="3"/>
  <c r="L129" i="3"/>
  <c r="H128" i="3"/>
  <c r="B129" i="52254"/>
  <c r="K126" i="52254" l="1"/>
  <c r="S128" i="3"/>
  <c r="N129" i="3"/>
  <c r="H127" i="52254"/>
  <c r="D128" i="52254"/>
  <c r="V127" i="3"/>
  <c r="O28" i="52252"/>
  <c r="C129" i="52254"/>
  <c r="E129" i="52254" s="1"/>
  <c r="R129" i="52254"/>
  <c r="J128" i="3"/>
  <c r="O129" i="3"/>
  <c r="J127" i="3"/>
  <c r="U127" i="3"/>
  <c r="B131" i="3"/>
  <c r="K131" i="3"/>
  <c r="A132" i="3"/>
  <c r="A132" i="52254" s="1"/>
  <c r="E130" i="3"/>
  <c r="G130" i="3" s="1"/>
  <c r="D130" i="3"/>
  <c r="F130" i="3" s="1"/>
  <c r="D129" i="3"/>
  <c r="F129" i="3" s="1"/>
  <c r="E129" i="3"/>
  <c r="G129" i="3" s="1"/>
  <c r="M130" i="3"/>
  <c r="N130" i="3"/>
  <c r="T128" i="3"/>
  <c r="B130" i="52254"/>
  <c r="K127" i="52254" l="1"/>
  <c r="P129" i="3"/>
  <c r="Q129" i="3" s="1"/>
  <c r="R129" i="3" s="1"/>
  <c r="I129" i="3"/>
  <c r="I130" i="3"/>
  <c r="H128" i="52254"/>
  <c r="D129" i="52254"/>
  <c r="C130" i="52254"/>
  <c r="E130" i="52254" s="1"/>
  <c r="R130" i="52254"/>
  <c r="V128" i="3"/>
  <c r="S128" i="52254"/>
  <c r="H130" i="3"/>
  <c r="O130" i="3"/>
  <c r="P130" i="3" s="1"/>
  <c r="K132" i="3"/>
  <c r="A133" i="3"/>
  <c r="A133" i="52254" s="1"/>
  <c r="C131" i="3"/>
  <c r="G29" i="52252"/>
  <c r="M131" i="3"/>
  <c r="L131" i="3"/>
  <c r="N131" i="3" s="1"/>
  <c r="H129" i="3"/>
  <c r="B132" i="3"/>
  <c r="U128" i="3"/>
  <c r="K128" i="52254" s="1"/>
  <c r="B131" i="52254"/>
  <c r="R131" i="52254" s="1"/>
  <c r="J129" i="3" l="1"/>
  <c r="S129" i="3"/>
  <c r="T129" i="3"/>
  <c r="U129" i="3" s="1"/>
  <c r="Q130" i="3"/>
  <c r="J130" i="3"/>
  <c r="H129" i="52254"/>
  <c r="D130" i="52254"/>
  <c r="C132" i="3"/>
  <c r="M132" i="3"/>
  <c r="L132" i="3"/>
  <c r="N132" i="3" s="1"/>
  <c r="O131" i="3"/>
  <c r="P131" i="3" s="1"/>
  <c r="Q131" i="3" s="1"/>
  <c r="R131" i="3" s="1"/>
  <c r="E131" i="3"/>
  <c r="G131" i="3" s="1"/>
  <c r="D131" i="3"/>
  <c r="F131" i="3" s="1"/>
  <c r="B133" i="3"/>
  <c r="A134" i="3"/>
  <c r="A134" i="52254" s="1"/>
  <c r="K133" i="3"/>
  <c r="C131" i="52254"/>
  <c r="D131" i="52254" s="1"/>
  <c r="G29" i="52256"/>
  <c r="B132" i="52254"/>
  <c r="R130" i="3" l="1"/>
  <c r="T131" i="3" s="1"/>
  <c r="S131" i="52254" s="1"/>
  <c r="S129" i="52254"/>
  <c r="V129" i="3"/>
  <c r="K129" i="52254" s="1"/>
  <c r="H130" i="52254"/>
  <c r="I131" i="3"/>
  <c r="B134" i="3"/>
  <c r="C134" i="3" s="1"/>
  <c r="C132" i="52254"/>
  <c r="E132" i="52254" s="1"/>
  <c r="R132" i="52254"/>
  <c r="E131" i="52254"/>
  <c r="H131" i="3"/>
  <c r="H29" i="52252"/>
  <c r="I29" i="52252" s="1"/>
  <c r="S131" i="3"/>
  <c r="K134" i="3"/>
  <c r="A135" i="3"/>
  <c r="A135" i="52254" s="1"/>
  <c r="O132" i="3"/>
  <c r="P132" i="3" s="1"/>
  <c r="Q132" i="3" s="1"/>
  <c r="R132" i="3" s="1"/>
  <c r="L133" i="3"/>
  <c r="N133" i="3" s="1"/>
  <c r="M133" i="3"/>
  <c r="C133" i="3"/>
  <c r="E132" i="3"/>
  <c r="G132" i="3" s="1"/>
  <c r="D132" i="3"/>
  <c r="F132" i="3" s="1"/>
  <c r="B133" i="52254"/>
  <c r="T130" i="3" l="1"/>
  <c r="U130" i="3" s="1"/>
  <c r="S130" i="3"/>
  <c r="S132" i="3"/>
  <c r="D132" i="52254"/>
  <c r="H131" i="52254"/>
  <c r="U131" i="3"/>
  <c r="J131" i="3"/>
  <c r="J29" i="52252"/>
  <c r="K29" i="52252" s="1"/>
  <c r="M29" i="52252" s="1"/>
  <c r="V131" i="3"/>
  <c r="C133" i="52254"/>
  <c r="E133" i="52254" s="1"/>
  <c r="R133" i="52254"/>
  <c r="I132" i="3"/>
  <c r="H132" i="3"/>
  <c r="D133" i="3"/>
  <c r="F133" i="3" s="1"/>
  <c r="E133" i="3"/>
  <c r="G133" i="3" s="1"/>
  <c r="B135" i="3"/>
  <c r="K135" i="3"/>
  <c r="A136" i="3"/>
  <c r="A136" i="52254" s="1"/>
  <c r="E134" i="3"/>
  <c r="G134" i="3" s="1"/>
  <c r="D134" i="3"/>
  <c r="F134" i="3" s="1"/>
  <c r="O133" i="3"/>
  <c r="P133" i="3" s="1"/>
  <c r="Q133" i="3" s="1"/>
  <c r="R133" i="3" s="1"/>
  <c r="M134" i="3"/>
  <c r="L134" i="3"/>
  <c r="N134" i="3" s="1"/>
  <c r="T132" i="3"/>
  <c r="B134" i="52254"/>
  <c r="K131" i="52254" l="1"/>
  <c r="H132" i="52254"/>
  <c r="S130" i="52254"/>
  <c r="V130" i="3"/>
  <c r="K130" i="52254" s="1"/>
  <c r="J132" i="3"/>
  <c r="D133" i="52254"/>
  <c r="O29" i="52252"/>
  <c r="B136" i="3"/>
  <c r="G30" i="52252" s="1"/>
  <c r="C134" i="52254"/>
  <c r="E134" i="52254" s="1"/>
  <c r="R134" i="52254"/>
  <c r="V132" i="3"/>
  <c r="S132" i="52254"/>
  <c r="I133" i="3"/>
  <c r="H133" i="3"/>
  <c r="S133" i="3"/>
  <c r="T133" i="3"/>
  <c r="K136" i="3"/>
  <c r="A137" i="3"/>
  <c r="C135" i="3"/>
  <c r="U132" i="3"/>
  <c r="H134" i="3"/>
  <c r="I134" i="3"/>
  <c r="O134" i="3"/>
  <c r="P134" i="3" s="1"/>
  <c r="Q134" i="3" s="1"/>
  <c r="R134" i="3" s="1"/>
  <c r="M135" i="3"/>
  <c r="L135" i="3"/>
  <c r="N135" i="3" s="1"/>
  <c r="B135" i="52254"/>
  <c r="C136" i="3" l="1"/>
  <c r="K132" i="52254"/>
  <c r="H133" i="52254"/>
  <c r="J133" i="3"/>
  <c r="D134" i="52254"/>
  <c r="H134" i="52254" s="1"/>
  <c r="C135" i="52254"/>
  <c r="D135" i="52254" s="1"/>
  <c r="R135" i="52254"/>
  <c r="U133" i="3"/>
  <c r="S133" i="52254"/>
  <c r="V133" i="3"/>
  <c r="B137" i="3"/>
  <c r="C137" i="3" s="1"/>
  <c r="A137" i="52254"/>
  <c r="S134" i="3"/>
  <c r="T134" i="3"/>
  <c r="U134" i="3" s="1"/>
  <c r="D135" i="3"/>
  <c r="F135" i="3" s="1"/>
  <c r="E135" i="3"/>
  <c r="G135" i="3" s="1"/>
  <c r="L136" i="3"/>
  <c r="M136" i="3"/>
  <c r="O135" i="3"/>
  <c r="P135" i="3" s="1"/>
  <c r="Q135" i="3" s="1"/>
  <c r="R135" i="3" s="1"/>
  <c r="D136" i="3"/>
  <c r="F136" i="3" s="1"/>
  <c r="E136" i="3"/>
  <c r="G136" i="3" s="1"/>
  <c r="J134" i="3"/>
  <c r="K137" i="3"/>
  <c r="A138" i="3"/>
  <c r="A138" i="52254" s="1"/>
  <c r="B136" i="52254"/>
  <c r="R136" i="52254" s="1"/>
  <c r="K133" i="52254" l="1"/>
  <c r="E135" i="52254"/>
  <c r="V134" i="3"/>
  <c r="K134" i="52254" s="1"/>
  <c r="S134" i="52254"/>
  <c r="H135" i="3"/>
  <c r="H136" i="3"/>
  <c r="S135" i="3"/>
  <c r="T135" i="3"/>
  <c r="S135" i="52254" s="1"/>
  <c r="L137" i="3"/>
  <c r="N137" i="3" s="1"/>
  <c r="M137" i="3"/>
  <c r="O136" i="3"/>
  <c r="I136" i="3"/>
  <c r="B138" i="3"/>
  <c r="A139" i="3"/>
  <c r="A139" i="52254" s="1"/>
  <c r="K138" i="3"/>
  <c r="N136" i="3"/>
  <c r="D137" i="3"/>
  <c r="F137" i="3" s="1"/>
  <c r="E137" i="3"/>
  <c r="G137" i="3" s="1"/>
  <c r="I135" i="3"/>
  <c r="C136" i="52254"/>
  <c r="D136" i="52254" s="1"/>
  <c r="G30" i="52256"/>
  <c r="B137" i="52254"/>
  <c r="J135" i="3" l="1"/>
  <c r="J30" i="52252"/>
  <c r="O30" i="52252" s="1"/>
  <c r="H135" i="52254"/>
  <c r="J136" i="3"/>
  <c r="V135" i="3"/>
  <c r="U135" i="3"/>
  <c r="I137" i="3"/>
  <c r="C137" i="52254"/>
  <c r="E137" i="52254" s="1"/>
  <c r="R137" i="52254"/>
  <c r="P136" i="3"/>
  <c r="Q136" i="3" s="1"/>
  <c r="H137" i="3"/>
  <c r="B139" i="3"/>
  <c r="K139" i="3"/>
  <c r="A140" i="3"/>
  <c r="A140" i="52254" s="1"/>
  <c r="M138" i="3"/>
  <c r="L138" i="3"/>
  <c r="N138" i="3" s="1"/>
  <c r="C138" i="3"/>
  <c r="O137" i="3"/>
  <c r="P137" i="3" s="1"/>
  <c r="Q137" i="3" s="1"/>
  <c r="R137" i="3" s="1"/>
  <c r="E136" i="52254"/>
  <c r="B138" i="52254"/>
  <c r="K135" i="52254" l="1"/>
  <c r="J137" i="3"/>
  <c r="R136" i="3"/>
  <c r="T136" i="3" s="1"/>
  <c r="V136" i="3" s="1"/>
  <c r="D137" i="52254"/>
  <c r="B140" i="3"/>
  <c r="C140" i="3" s="1"/>
  <c r="C138" i="52254"/>
  <c r="E138" i="52254" s="1"/>
  <c r="R138" i="52254"/>
  <c r="H136" i="52254"/>
  <c r="S137" i="3"/>
  <c r="M139" i="3"/>
  <c r="L139" i="3"/>
  <c r="N139" i="3" s="1"/>
  <c r="E138" i="3"/>
  <c r="G138" i="3" s="1"/>
  <c r="D138" i="3"/>
  <c r="F138" i="3" s="1"/>
  <c r="O138" i="3"/>
  <c r="P138" i="3" s="1"/>
  <c r="Q138" i="3" s="1"/>
  <c r="R138" i="3" s="1"/>
  <c r="K140" i="3"/>
  <c r="A141" i="3"/>
  <c r="A141" i="52254" s="1"/>
  <c r="C139" i="3"/>
  <c r="B139" i="52254"/>
  <c r="H137" i="52254" l="1"/>
  <c r="S136" i="3"/>
  <c r="H30" i="52252"/>
  <c r="I30" i="52252" s="1"/>
  <c r="K30" i="52252" s="1"/>
  <c r="M30" i="52252" s="1"/>
  <c r="T137" i="3"/>
  <c r="S137" i="52254" s="1"/>
  <c r="D138" i="52254"/>
  <c r="S136" i="52254"/>
  <c r="U136" i="3"/>
  <c r="K136" i="52254" s="1"/>
  <c r="C139" i="52254"/>
  <c r="E139" i="52254" s="1"/>
  <c r="R139" i="52254"/>
  <c r="H138" i="3"/>
  <c r="I138" i="3"/>
  <c r="S138" i="3"/>
  <c r="T138" i="3"/>
  <c r="S138" i="52254" s="1"/>
  <c r="D139" i="3"/>
  <c r="F139" i="3" s="1"/>
  <c r="E139" i="3"/>
  <c r="G139" i="3" s="1"/>
  <c r="M140" i="3"/>
  <c r="L140" i="3"/>
  <c r="N140" i="3" s="1"/>
  <c r="O139" i="3"/>
  <c r="P139" i="3" s="1"/>
  <c r="Q139" i="3" s="1"/>
  <c r="R139" i="3" s="1"/>
  <c r="B141" i="3"/>
  <c r="K141" i="3"/>
  <c r="A142" i="3"/>
  <c r="D140" i="3"/>
  <c r="F140" i="3" s="1"/>
  <c r="E140" i="3"/>
  <c r="G140" i="3" s="1"/>
  <c r="B140" i="52254"/>
  <c r="H138" i="52254" l="1"/>
  <c r="I140" i="3"/>
  <c r="J138" i="3"/>
  <c r="U137" i="3"/>
  <c r="V137" i="3"/>
  <c r="S139" i="3"/>
  <c r="D139" i="52254"/>
  <c r="I139" i="3"/>
  <c r="V138" i="3"/>
  <c r="U138" i="3"/>
  <c r="C140" i="52254"/>
  <c r="E140" i="52254" s="1"/>
  <c r="R140" i="52254"/>
  <c r="B142" i="3"/>
  <c r="C142" i="3" s="1"/>
  <c r="A142" i="52254"/>
  <c r="H139" i="3"/>
  <c r="L141" i="3"/>
  <c r="N141" i="3" s="1"/>
  <c r="M141" i="3"/>
  <c r="T139" i="3"/>
  <c r="K142" i="3"/>
  <c r="A143" i="3"/>
  <c r="A143" i="52254" s="1"/>
  <c r="G31" i="52252"/>
  <c r="C141" i="3"/>
  <c r="O140" i="3"/>
  <c r="P140" i="3" s="1"/>
  <c r="Q140" i="3" s="1"/>
  <c r="R140" i="3" s="1"/>
  <c r="H140" i="3"/>
  <c r="H139" i="52254"/>
  <c r="B141" i="52254"/>
  <c r="R141" i="52254" s="1"/>
  <c r="K138" i="52254" l="1"/>
  <c r="K137" i="52254"/>
  <c r="J139" i="3"/>
  <c r="D140" i="52254"/>
  <c r="V139" i="3"/>
  <c r="U139" i="3"/>
  <c r="S139" i="52254"/>
  <c r="S140" i="3"/>
  <c r="T140" i="3"/>
  <c r="U140" i="3" s="1"/>
  <c r="J140" i="3"/>
  <c r="B143" i="3"/>
  <c r="K143" i="3"/>
  <c r="A144" i="3"/>
  <c r="A144" i="52254" s="1"/>
  <c r="E141" i="3"/>
  <c r="G141" i="3" s="1"/>
  <c r="D141" i="3"/>
  <c r="F141" i="3" s="1"/>
  <c r="L142" i="3"/>
  <c r="M142" i="3"/>
  <c r="O141" i="3"/>
  <c r="P141" i="3" s="1"/>
  <c r="Q141" i="3" s="1"/>
  <c r="R141" i="3" s="1"/>
  <c r="E142" i="3"/>
  <c r="G142" i="3" s="1"/>
  <c r="D142" i="3"/>
  <c r="F142" i="3" s="1"/>
  <c r="C141" i="52254"/>
  <c r="E141" i="52254" s="1"/>
  <c r="G31" i="52256"/>
  <c r="H140" i="52254"/>
  <c r="B142" i="52254"/>
  <c r="K139" i="52254" l="1"/>
  <c r="D141" i="52254"/>
  <c r="I141" i="3"/>
  <c r="H141" i="3"/>
  <c r="H142" i="3"/>
  <c r="I142" i="3"/>
  <c r="C142" i="52254"/>
  <c r="E142" i="52254" s="1"/>
  <c r="R142" i="52254"/>
  <c r="B144" i="3"/>
  <c r="C144" i="3" s="1"/>
  <c r="V140" i="3"/>
  <c r="K140" i="52254" s="1"/>
  <c r="S140" i="52254"/>
  <c r="S141" i="3"/>
  <c r="H31" i="52252"/>
  <c r="I31" i="52252" s="1"/>
  <c r="T141" i="3"/>
  <c r="S141" i="52254" s="1"/>
  <c r="N142" i="3"/>
  <c r="K144" i="3"/>
  <c r="A145" i="3"/>
  <c r="A145" i="52254" s="1"/>
  <c r="C143" i="3"/>
  <c r="O142" i="3"/>
  <c r="M143" i="3"/>
  <c r="L143" i="3"/>
  <c r="N143" i="3" s="1"/>
  <c r="H141" i="52254"/>
  <c r="B143" i="52254"/>
  <c r="J31" i="52252" l="1"/>
  <c r="K31" i="52252" s="1"/>
  <c r="M31" i="52252" s="1"/>
  <c r="J141" i="3"/>
  <c r="J142" i="3"/>
  <c r="D142" i="52254"/>
  <c r="H142" i="52254"/>
  <c r="V141" i="3"/>
  <c r="U141" i="3"/>
  <c r="C143" i="52254"/>
  <c r="D143" i="52254" s="1"/>
  <c r="R143" i="52254"/>
  <c r="B145" i="3"/>
  <c r="C145" i="3" s="1"/>
  <c r="O143" i="3"/>
  <c r="P143" i="3" s="1"/>
  <c r="Q143" i="3" s="1"/>
  <c r="R143" i="3" s="1"/>
  <c r="A146" i="3"/>
  <c r="A146" i="52254" s="1"/>
  <c r="K145" i="3"/>
  <c r="E144" i="3"/>
  <c r="G144" i="3" s="1"/>
  <c r="D144" i="3"/>
  <c r="F144" i="3" s="1"/>
  <c r="E143" i="3"/>
  <c r="G143" i="3" s="1"/>
  <c r="D143" i="3"/>
  <c r="F143" i="3" s="1"/>
  <c r="M144" i="3"/>
  <c r="L144" i="3"/>
  <c r="P142" i="3"/>
  <c r="Q142" i="3" s="1"/>
  <c r="R142" i="3" s="1"/>
  <c r="B144" i="52254"/>
  <c r="K141" i="52254" l="1"/>
  <c r="I143" i="3"/>
  <c r="O31" i="52252"/>
  <c r="S143" i="3"/>
  <c r="E143" i="52254"/>
  <c r="H143" i="3"/>
  <c r="I144" i="3"/>
  <c r="B146" i="3"/>
  <c r="G32" i="52252" s="1"/>
  <c r="H144" i="3"/>
  <c r="C144" i="52254"/>
  <c r="D144" i="52254" s="1"/>
  <c r="R144" i="52254"/>
  <c r="S142" i="3"/>
  <c r="T142" i="3"/>
  <c r="S142" i="52254" s="1"/>
  <c r="T143" i="3"/>
  <c r="S143" i="52254" s="1"/>
  <c r="O144" i="3"/>
  <c r="M145" i="3"/>
  <c r="L145" i="3"/>
  <c r="N145" i="3" s="1"/>
  <c r="N144" i="3"/>
  <c r="E145" i="3"/>
  <c r="G145" i="3" s="1"/>
  <c r="D145" i="3"/>
  <c r="F145" i="3" s="1"/>
  <c r="K146" i="3"/>
  <c r="A147" i="3"/>
  <c r="B145" i="52254"/>
  <c r="J143" i="3" l="1"/>
  <c r="J144" i="3"/>
  <c r="C146" i="3"/>
  <c r="E146" i="3" s="1"/>
  <c r="G146" i="3" s="1"/>
  <c r="H143" i="52254"/>
  <c r="E144" i="52254"/>
  <c r="P144" i="3"/>
  <c r="Q144" i="3" s="1"/>
  <c r="R144" i="3" s="1"/>
  <c r="U143" i="3"/>
  <c r="H145" i="3"/>
  <c r="I145" i="3"/>
  <c r="C145" i="52254"/>
  <c r="D145" i="52254" s="1"/>
  <c r="R145" i="52254"/>
  <c r="V143" i="3"/>
  <c r="B147" i="3"/>
  <c r="C147" i="3" s="1"/>
  <c r="A147" i="52254"/>
  <c r="D146" i="3"/>
  <c r="F146" i="3" s="1"/>
  <c r="L146" i="3"/>
  <c r="N146" i="3" s="1"/>
  <c r="M146" i="3"/>
  <c r="K147" i="3"/>
  <c r="A148" i="3"/>
  <c r="A148" i="52254" s="1"/>
  <c r="O145" i="3"/>
  <c r="P145" i="3" s="1"/>
  <c r="Q145" i="3" s="1"/>
  <c r="R145" i="3" s="1"/>
  <c r="U142" i="3"/>
  <c r="V142" i="3"/>
  <c r="B146" i="52254"/>
  <c r="R146" i="52254" s="1"/>
  <c r="K143" i="52254" l="1"/>
  <c r="K142" i="52254"/>
  <c r="S145" i="3"/>
  <c r="J145" i="3"/>
  <c r="H144" i="52254"/>
  <c r="E145" i="52254"/>
  <c r="I146" i="3"/>
  <c r="T145" i="3"/>
  <c r="S145" i="52254" s="1"/>
  <c r="L147" i="3"/>
  <c r="N147" i="3" s="1"/>
  <c r="M147" i="3"/>
  <c r="B148" i="3"/>
  <c r="A149" i="3"/>
  <c r="A149" i="52254" s="1"/>
  <c r="K148" i="3"/>
  <c r="O146" i="3"/>
  <c r="P146" i="3" s="1"/>
  <c r="Q146" i="3" s="1"/>
  <c r="R146" i="3" s="1"/>
  <c r="H146" i="3"/>
  <c r="S144" i="3"/>
  <c r="T144" i="3"/>
  <c r="S144" i="52254" s="1"/>
  <c r="D147" i="3"/>
  <c r="F147" i="3" s="1"/>
  <c r="E147" i="3"/>
  <c r="G147" i="3" s="1"/>
  <c r="C146" i="52254"/>
  <c r="D146" i="52254" s="1"/>
  <c r="G32" i="52256"/>
  <c r="B147" i="52254"/>
  <c r="H145" i="52254" l="1"/>
  <c r="I147" i="3"/>
  <c r="C147" i="52254"/>
  <c r="E147" i="52254" s="1"/>
  <c r="R147" i="52254"/>
  <c r="E146" i="52254"/>
  <c r="H147" i="3"/>
  <c r="J147" i="3" s="1"/>
  <c r="H32" i="52252"/>
  <c r="I32" i="52252" s="1"/>
  <c r="S146" i="3"/>
  <c r="V144" i="3"/>
  <c r="U144" i="3"/>
  <c r="J146" i="3"/>
  <c r="J32" i="52252"/>
  <c r="B149" i="3"/>
  <c r="A150" i="3"/>
  <c r="A150" i="52254" s="1"/>
  <c r="K149" i="3"/>
  <c r="O147" i="3"/>
  <c r="P147" i="3" s="1"/>
  <c r="Q147" i="3" s="1"/>
  <c r="V145" i="3"/>
  <c r="U145" i="3"/>
  <c r="M148" i="3"/>
  <c r="L148" i="3"/>
  <c r="N148" i="3" s="1"/>
  <c r="C148" i="3"/>
  <c r="T146" i="3"/>
  <c r="B148" i="52254"/>
  <c r="K145" i="52254" l="1"/>
  <c r="K144" i="52254"/>
  <c r="R147" i="3"/>
  <c r="S147" i="3" s="1"/>
  <c r="D147" i="52254"/>
  <c r="H146" i="52254"/>
  <c r="C148" i="52254"/>
  <c r="D148" i="52254" s="1"/>
  <c r="R148" i="52254"/>
  <c r="V146" i="3"/>
  <c r="S146" i="52254"/>
  <c r="D148" i="3"/>
  <c r="F148" i="3" s="1"/>
  <c r="E148" i="3"/>
  <c r="G148" i="3" s="1"/>
  <c r="I148" i="3" s="1"/>
  <c r="B150" i="3"/>
  <c r="A151" i="3"/>
  <c r="A151" i="52254" s="1"/>
  <c r="K150" i="3"/>
  <c r="U146" i="3"/>
  <c r="O148" i="3"/>
  <c r="P148" i="3" s="1"/>
  <c r="Q148" i="3" s="1"/>
  <c r="R148" i="3" s="1"/>
  <c r="L149" i="3"/>
  <c r="N149" i="3" s="1"/>
  <c r="M149" i="3"/>
  <c r="C149" i="3"/>
  <c r="O32" i="52252"/>
  <c r="K32" i="52252"/>
  <c r="M32" i="52252" s="1"/>
  <c r="H147" i="52254"/>
  <c r="B149" i="52254"/>
  <c r="K146" i="52254" l="1"/>
  <c r="T147" i="3"/>
  <c r="S147" i="52254" s="1"/>
  <c r="E148" i="52254"/>
  <c r="C149" i="52254"/>
  <c r="D149" i="52254" s="1"/>
  <c r="R149" i="52254"/>
  <c r="H148" i="3"/>
  <c r="J148" i="3" s="1"/>
  <c r="S148" i="3"/>
  <c r="T148" i="3"/>
  <c r="S148" i="52254" s="1"/>
  <c r="O149" i="3"/>
  <c r="P149" i="3" s="1"/>
  <c r="Q149" i="3" s="1"/>
  <c r="R149" i="3" s="1"/>
  <c r="M150" i="3"/>
  <c r="L150" i="3"/>
  <c r="N150" i="3" s="1"/>
  <c r="C150" i="3"/>
  <c r="E149" i="3"/>
  <c r="G149" i="3" s="1"/>
  <c r="D149" i="3"/>
  <c r="F149" i="3" s="1"/>
  <c r="B151" i="3"/>
  <c r="K151" i="3"/>
  <c r="A152" i="3"/>
  <c r="A152" i="52254" s="1"/>
  <c r="B150" i="52254"/>
  <c r="V147" i="3" l="1"/>
  <c r="U147" i="3"/>
  <c r="S149" i="3"/>
  <c r="H148" i="52254"/>
  <c r="E149" i="52254"/>
  <c r="V148" i="3"/>
  <c r="U148" i="3"/>
  <c r="I149" i="3"/>
  <c r="H149" i="3"/>
  <c r="C150" i="52254"/>
  <c r="E150" i="52254" s="1"/>
  <c r="R150" i="52254"/>
  <c r="L151" i="3"/>
  <c r="N151" i="3" s="1"/>
  <c r="M151" i="3"/>
  <c r="O150" i="3"/>
  <c r="P150" i="3" s="1"/>
  <c r="Q150" i="3" s="1"/>
  <c r="R150" i="3" s="1"/>
  <c r="B152" i="3"/>
  <c r="K152" i="3"/>
  <c r="A153" i="3"/>
  <c r="A153" i="52254" s="1"/>
  <c r="B151" i="52254"/>
  <c r="R151" i="52254" s="1"/>
  <c r="C151" i="3"/>
  <c r="G33" i="52252"/>
  <c r="E150" i="3"/>
  <c r="G150" i="3" s="1"/>
  <c r="D150" i="3"/>
  <c r="F150" i="3" s="1"/>
  <c r="T149" i="3"/>
  <c r="K147" i="52254" l="1"/>
  <c r="K148" i="52254"/>
  <c r="S150" i="3"/>
  <c r="J149" i="3"/>
  <c r="H149" i="52254"/>
  <c r="D150" i="52254"/>
  <c r="H150" i="3"/>
  <c r="I150" i="3"/>
  <c r="U149" i="3"/>
  <c r="S149" i="52254"/>
  <c r="V149" i="3"/>
  <c r="M152" i="3"/>
  <c r="L152" i="3"/>
  <c r="N152" i="3" s="1"/>
  <c r="D151" i="3"/>
  <c r="F151" i="3" s="1"/>
  <c r="E151" i="3"/>
  <c r="G151" i="3" s="1"/>
  <c r="B153" i="3"/>
  <c r="A154" i="3"/>
  <c r="A154" i="52254" s="1"/>
  <c r="K153" i="3"/>
  <c r="B152" i="52254"/>
  <c r="C152" i="3"/>
  <c r="O151" i="3"/>
  <c r="P151" i="3" s="1"/>
  <c r="Q151" i="3" s="1"/>
  <c r="R151" i="3" s="1"/>
  <c r="T150" i="3"/>
  <c r="C151" i="52254"/>
  <c r="D151" i="52254" s="1"/>
  <c r="G33" i="52256"/>
  <c r="H150" i="52254"/>
  <c r="K149" i="52254" l="1"/>
  <c r="J150" i="3"/>
  <c r="B154" i="3"/>
  <c r="C154" i="3" s="1"/>
  <c r="I151" i="3"/>
  <c r="C152" i="52254"/>
  <c r="E152" i="52254" s="1"/>
  <c r="R152" i="52254"/>
  <c r="U150" i="3"/>
  <c r="S150" i="52254"/>
  <c r="H151" i="3"/>
  <c r="S151" i="3"/>
  <c r="H33" i="52252"/>
  <c r="I33" i="52252" s="1"/>
  <c r="T151" i="3"/>
  <c r="S151" i="52254" s="1"/>
  <c r="M153" i="3"/>
  <c r="L153" i="3"/>
  <c r="N153" i="3" s="1"/>
  <c r="C153" i="3"/>
  <c r="O152" i="3"/>
  <c r="P152" i="3" s="1"/>
  <c r="Q152" i="3" s="1"/>
  <c r="V150" i="3"/>
  <c r="E152" i="3"/>
  <c r="G152" i="3" s="1"/>
  <c r="D152" i="3"/>
  <c r="F152" i="3" s="1"/>
  <c r="A155" i="3"/>
  <c r="A155" i="52254" s="1"/>
  <c r="K154" i="3"/>
  <c r="E151" i="52254"/>
  <c r="B153" i="52254"/>
  <c r="D152" i="52254"/>
  <c r="K150" i="52254" l="1"/>
  <c r="R152" i="3"/>
  <c r="S152" i="3" s="1"/>
  <c r="J151" i="3"/>
  <c r="J33" i="52252"/>
  <c r="O33" i="52252" s="1"/>
  <c r="V151" i="3"/>
  <c r="H151" i="52254"/>
  <c r="H152" i="3"/>
  <c r="I152" i="3"/>
  <c r="U151" i="3"/>
  <c r="C153" i="52254"/>
  <c r="D153" i="52254" s="1"/>
  <c r="R153" i="52254"/>
  <c r="B155" i="3"/>
  <c r="K155" i="3"/>
  <c r="A156" i="3"/>
  <c r="A156" i="52254" s="1"/>
  <c r="D154" i="3"/>
  <c r="F154" i="3" s="1"/>
  <c r="E154" i="3"/>
  <c r="G154" i="3" s="1"/>
  <c r="L154" i="3"/>
  <c r="M154" i="3"/>
  <c r="D153" i="3"/>
  <c r="F153" i="3" s="1"/>
  <c r="E153" i="3"/>
  <c r="G153" i="3" s="1"/>
  <c r="O153" i="3"/>
  <c r="P153" i="3" s="1"/>
  <c r="Q153" i="3" s="1"/>
  <c r="R153" i="3" s="1"/>
  <c r="H152" i="52254"/>
  <c r="B154" i="52254"/>
  <c r="K151" i="52254" l="1"/>
  <c r="T152" i="3"/>
  <c r="U152" i="3" s="1"/>
  <c r="J152" i="3"/>
  <c r="K33" i="52252"/>
  <c r="M33" i="52252" s="1"/>
  <c r="I154" i="3"/>
  <c r="E153" i="52254"/>
  <c r="I153" i="3"/>
  <c r="B156" i="3"/>
  <c r="G34" i="52252" s="1"/>
  <c r="C154" i="52254"/>
  <c r="E154" i="52254" s="1"/>
  <c r="R154" i="52254"/>
  <c r="H153" i="3"/>
  <c r="S153" i="3"/>
  <c r="T153" i="3"/>
  <c r="O154" i="3"/>
  <c r="K156" i="3"/>
  <c r="A157" i="3"/>
  <c r="A157" i="52254" s="1"/>
  <c r="C155" i="3"/>
  <c r="H154" i="3"/>
  <c r="N154" i="3"/>
  <c r="M155" i="3"/>
  <c r="L155" i="3"/>
  <c r="N155" i="3" s="1"/>
  <c r="B155" i="52254"/>
  <c r="S152" i="52254" l="1"/>
  <c r="V152" i="3"/>
  <c r="K152" i="52254" s="1"/>
  <c r="J153" i="3"/>
  <c r="H153" i="52254"/>
  <c r="C156" i="3"/>
  <c r="D156" i="3" s="1"/>
  <c r="F156" i="3" s="1"/>
  <c r="P154" i="3"/>
  <c r="Q154" i="3" s="1"/>
  <c r="D154" i="52254"/>
  <c r="U153" i="3"/>
  <c r="C155" i="52254"/>
  <c r="D155" i="52254" s="1"/>
  <c r="R155" i="52254"/>
  <c r="V153" i="3"/>
  <c r="S153" i="52254"/>
  <c r="E156" i="3"/>
  <c r="G156" i="3" s="1"/>
  <c r="K157" i="3"/>
  <c r="A158" i="3"/>
  <c r="A158" i="52254" s="1"/>
  <c r="B157" i="3"/>
  <c r="O155" i="3"/>
  <c r="P155" i="3" s="1"/>
  <c r="Q155" i="3" s="1"/>
  <c r="R155" i="3" s="1"/>
  <c r="J154" i="3"/>
  <c r="D155" i="3"/>
  <c r="F155" i="3" s="1"/>
  <c r="E155" i="3"/>
  <c r="G155" i="3" s="1"/>
  <c r="I155" i="3" s="1"/>
  <c r="L156" i="3"/>
  <c r="N156" i="3" s="1"/>
  <c r="M156" i="3"/>
  <c r="B156" i="52254"/>
  <c r="R156" i="52254" s="1"/>
  <c r="K153" i="52254" l="1"/>
  <c r="R154" i="3"/>
  <c r="S154" i="3" s="1"/>
  <c r="E155" i="52254"/>
  <c r="H156" i="3"/>
  <c r="H154" i="52254"/>
  <c r="I156" i="3"/>
  <c r="B158" i="3"/>
  <c r="C158" i="3" s="1"/>
  <c r="S155" i="3"/>
  <c r="O156" i="3"/>
  <c r="P156" i="3" s="1"/>
  <c r="Q156" i="3" s="1"/>
  <c r="R156" i="3" s="1"/>
  <c r="A159" i="3"/>
  <c r="A159" i="52254" s="1"/>
  <c r="K158" i="3"/>
  <c r="H155" i="3"/>
  <c r="C157" i="3"/>
  <c r="M157" i="3"/>
  <c r="L157" i="3"/>
  <c r="N157" i="3" s="1"/>
  <c r="C156" i="52254"/>
  <c r="E156" i="52254" s="1"/>
  <c r="G34" i="52256"/>
  <c r="B157" i="52254"/>
  <c r="T155" i="3" l="1"/>
  <c r="U155" i="3" s="1"/>
  <c r="T154" i="3"/>
  <c r="V154" i="3" s="1"/>
  <c r="J34" i="52252"/>
  <c r="O34" i="52252" s="1"/>
  <c r="J156" i="3"/>
  <c r="H155" i="52254"/>
  <c r="C157" i="52254"/>
  <c r="E157" i="52254" s="1"/>
  <c r="R157" i="52254"/>
  <c r="H34" i="52252"/>
  <c r="I34" i="52252" s="1"/>
  <c r="S156" i="3"/>
  <c r="T156" i="3"/>
  <c r="S156" i="52254" s="1"/>
  <c r="E158" i="3"/>
  <c r="G158" i="3" s="1"/>
  <c r="I158" i="3" s="1"/>
  <c r="D158" i="3"/>
  <c r="F158" i="3" s="1"/>
  <c r="D157" i="3"/>
  <c r="F157" i="3" s="1"/>
  <c r="E157" i="3"/>
  <c r="G157" i="3" s="1"/>
  <c r="J155" i="3"/>
  <c r="M158" i="3"/>
  <c r="L158" i="3"/>
  <c r="N158" i="3" s="1"/>
  <c r="A160" i="3"/>
  <c r="A160" i="52254" s="1"/>
  <c r="K159" i="3"/>
  <c r="O157" i="3"/>
  <c r="P157" i="3" s="1"/>
  <c r="Q157" i="3" s="1"/>
  <c r="R157" i="3" s="1"/>
  <c r="B159" i="3"/>
  <c r="D156" i="52254"/>
  <c r="H156" i="52254"/>
  <c r="B158" i="52254"/>
  <c r="U154" i="3" l="1"/>
  <c r="K154" i="52254" s="1"/>
  <c r="V155" i="3"/>
  <c r="K155" i="52254" s="1"/>
  <c r="S155" i="52254"/>
  <c r="S154" i="52254"/>
  <c r="S157" i="3"/>
  <c r="H158" i="3"/>
  <c r="J158" i="3" s="1"/>
  <c r="D157" i="52254"/>
  <c r="I157" i="3"/>
  <c r="C158" i="52254"/>
  <c r="E158" i="52254" s="1"/>
  <c r="R158" i="52254"/>
  <c r="C159" i="3"/>
  <c r="M159" i="3"/>
  <c r="L159" i="3"/>
  <c r="V156" i="3"/>
  <c r="U156" i="3"/>
  <c r="K34" i="52252"/>
  <c r="M34" i="52252" s="1"/>
  <c r="T157" i="3"/>
  <c r="S157" i="52254" s="1"/>
  <c r="H157" i="3"/>
  <c r="B160" i="3"/>
  <c r="K160" i="3"/>
  <c r="A161" i="3"/>
  <c r="A161" i="52254" s="1"/>
  <c r="O158" i="3"/>
  <c r="P158" i="3" s="1"/>
  <c r="Q158" i="3" s="1"/>
  <c r="R158" i="3" s="1"/>
  <c r="H157" i="52254"/>
  <c r="B159" i="52254"/>
  <c r="K156" i="52254" l="1"/>
  <c r="D158" i="52254"/>
  <c r="C159" i="52254"/>
  <c r="E159" i="52254" s="1"/>
  <c r="R159" i="52254"/>
  <c r="V157" i="3"/>
  <c r="S158" i="3"/>
  <c r="T158" i="3"/>
  <c r="S158" i="52254" s="1"/>
  <c r="M160" i="3"/>
  <c r="L160" i="3"/>
  <c r="N160" i="3" s="1"/>
  <c r="J157" i="3"/>
  <c r="U157" i="3"/>
  <c r="O159" i="3"/>
  <c r="B161" i="3"/>
  <c r="A162" i="3"/>
  <c r="A162" i="52254" s="1"/>
  <c r="K161" i="3"/>
  <c r="B160" i="52254"/>
  <c r="C160" i="3"/>
  <c r="N159" i="3"/>
  <c r="E159" i="3"/>
  <c r="G159" i="3" s="1"/>
  <c r="D159" i="3"/>
  <c r="F159" i="3" s="1"/>
  <c r="H158" i="52254"/>
  <c r="D159" i="52254"/>
  <c r="K157" i="52254" l="1"/>
  <c r="I159" i="3"/>
  <c r="B162" i="3"/>
  <c r="C162" i="3" s="1"/>
  <c r="P159" i="3"/>
  <c r="Q159" i="3" s="1"/>
  <c r="R159" i="3" s="1"/>
  <c r="C160" i="52254"/>
  <c r="E160" i="52254" s="1"/>
  <c r="R160" i="52254"/>
  <c r="M161" i="3"/>
  <c r="L161" i="3"/>
  <c r="C161" i="3"/>
  <c r="G35" i="52252"/>
  <c r="O160" i="3"/>
  <c r="P160" i="3" s="1"/>
  <c r="Q160" i="3" s="1"/>
  <c r="R160" i="3" s="1"/>
  <c r="E160" i="3"/>
  <c r="G160" i="3" s="1"/>
  <c r="D160" i="3"/>
  <c r="F160" i="3" s="1"/>
  <c r="K162" i="3"/>
  <c r="A163" i="3"/>
  <c r="A163" i="52254" s="1"/>
  <c r="U158" i="3"/>
  <c r="V158" i="3"/>
  <c r="H159" i="3"/>
  <c r="H159" i="52254"/>
  <c r="B161" i="52254"/>
  <c r="R161" i="52254" s="1"/>
  <c r="K158" i="52254" l="1"/>
  <c r="S160" i="3"/>
  <c r="D160" i="52254"/>
  <c r="H160" i="3"/>
  <c r="I160" i="3"/>
  <c r="S159" i="3"/>
  <c r="T159" i="3"/>
  <c r="U159" i="3" s="1"/>
  <c r="B163" i="3"/>
  <c r="A164" i="3"/>
  <c r="A164" i="52254" s="1"/>
  <c r="K163" i="3"/>
  <c r="E161" i="3"/>
  <c r="G161" i="3" s="1"/>
  <c r="I161" i="3" s="1"/>
  <c r="D161" i="3"/>
  <c r="F161" i="3" s="1"/>
  <c r="N161" i="3"/>
  <c r="J159" i="3"/>
  <c r="M162" i="3"/>
  <c r="L162" i="3"/>
  <c r="N162" i="3" s="1"/>
  <c r="D162" i="3"/>
  <c r="F162" i="3" s="1"/>
  <c r="E162" i="3"/>
  <c r="G162" i="3" s="1"/>
  <c r="O161" i="3"/>
  <c r="T160" i="3"/>
  <c r="C161" i="52254"/>
  <c r="D161" i="52254" s="1"/>
  <c r="G35" i="52256"/>
  <c r="B162" i="52254"/>
  <c r="H160" i="52254"/>
  <c r="J160" i="3" l="1"/>
  <c r="I162" i="3"/>
  <c r="H161" i="3"/>
  <c r="J161" i="3" s="1"/>
  <c r="B164" i="3"/>
  <c r="C164" i="3" s="1"/>
  <c r="C162" i="52254"/>
  <c r="D162" i="52254" s="1"/>
  <c r="R162" i="52254"/>
  <c r="V160" i="3"/>
  <c r="S160" i="52254"/>
  <c r="V159" i="3"/>
  <c r="K159" i="52254" s="1"/>
  <c r="S159" i="52254"/>
  <c r="L163" i="3"/>
  <c r="N163" i="3" s="1"/>
  <c r="M163" i="3"/>
  <c r="C163" i="3"/>
  <c r="O162" i="3"/>
  <c r="P162" i="3" s="1"/>
  <c r="Q162" i="3" s="1"/>
  <c r="R162" i="3" s="1"/>
  <c r="A165" i="3"/>
  <c r="A165" i="52254" s="1"/>
  <c r="K164" i="3"/>
  <c r="H162" i="3"/>
  <c r="P161" i="3"/>
  <c r="Q161" i="3" s="1"/>
  <c r="R161" i="3" s="1"/>
  <c r="U160" i="3"/>
  <c r="E161" i="52254"/>
  <c r="B163" i="52254"/>
  <c r="K160" i="52254" l="1"/>
  <c r="S162" i="3"/>
  <c r="J35" i="52252"/>
  <c r="O35" i="52252" s="1"/>
  <c r="E162" i="52254"/>
  <c r="C163" i="52254"/>
  <c r="D163" i="52254" s="1"/>
  <c r="R163" i="52254"/>
  <c r="J162" i="3"/>
  <c r="B165" i="3"/>
  <c r="K165" i="3"/>
  <c r="A166" i="3"/>
  <c r="A166" i="52254" s="1"/>
  <c r="E164" i="3"/>
  <c r="G164" i="3" s="1"/>
  <c r="D164" i="3"/>
  <c r="F164" i="3" s="1"/>
  <c r="O163" i="3"/>
  <c r="P163" i="3" s="1"/>
  <c r="Q163" i="3" s="1"/>
  <c r="R163" i="3" s="1"/>
  <c r="H35" i="52252"/>
  <c r="I35" i="52252" s="1"/>
  <c r="S161" i="3"/>
  <c r="T161" i="3"/>
  <c r="S161" i="52254" s="1"/>
  <c r="L164" i="3"/>
  <c r="N164" i="3" s="1"/>
  <c r="M164" i="3"/>
  <c r="E163" i="3"/>
  <c r="G163" i="3" s="1"/>
  <c r="I163" i="3" s="1"/>
  <c r="D163" i="3"/>
  <c r="F163" i="3" s="1"/>
  <c r="T162" i="3"/>
  <c r="H161" i="52254"/>
  <c r="B164" i="52254"/>
  <c r="S163" i="3" l="1"/>
  <c r="K35" i="52252"/>
  <c r="M35" i="52252" s="1"/>
  <c r="H162" i="52254"/>
  <c r="H164" i="3"/>
  <c r="E163" i="52254"/>
  <c r="I164" i="3"/>
  <c r="H163" i="3"/>
  <c r="J163" i="3" s="1"/>
  <c r="C164" i="52254"/>
  <c r="D164" i="52254" s="1"/>
  <c r="R164" i="52254"/>
  <c r="V162" i="3"/>
  <c r="S162" i="52254"/>
  <c r="O164" i="3"/>
  <c r="P164" i="3" s="1"/>
  <c r="Q164" i="3" s="1"/>
  <c r="R164" i="3" s="1"/>
  <c r="V161" i="3"/>
  <c r="U161" i="3"/>
  <c r="B166" i="3"/>
  <c r="K166" i="3"/>
  <c r="A167" i="3"/>
  <c r="A167" i="52254" s="1"/>
  <c r="C165" i="3"/>
  <c r="B165" i="52254"/>
  <c r="L165" i="3"/>
  <c r="N165" i="3" s="1"/>
  <c r="M165" i="3"/>
  <c r="T163" i="3"/>
  <c r="U162" i="3"/>
  <c r="K161" i="52254" l="1"/>
  <c r="K162" i="52254"/>
  <c r="J164" i="3"/>
  <c r="S164" i="3"/>
  <c r="H163" i="52254"/>
  <c r="E164" i="52254"/>
  <c r="B167" i="3"/>
  <c r="C167" i="3" s="1"/>
  <c r="C165" i="52254"/>
  <c r="D165" i="52254" s="1"/>
  <c r="R165" i="52254"/>
  <c r="V163" i="3"/>
  <c r="S163" i="52254"/>
  <c r="U163" i="3"/>
  <c r="D165" i="3"/>
  <c r="F165" i="3" s="1"/>
  <c r="E165" i="3"/>
  <c r="G165" i="3" s="1"/>
  <c r="I165" i="3" s="1"/>
  <c r="K167" i="3"/>
  <c r="A168" i="3"/>
  <c r="A168" i="52254" s="1"/>
  <c r="B166" i="52254"/>
  <c r="R166" i="52254" s="1"/>
  <c r="C166" i="3"/>
  <c r="G36" i="52252"/>
  <c r="O165" i="3"/>
  <c r="P165" i="3" s="1"/>
  <c r="Q165" i="3" s="1"/>
  <c r="R165" i="3" s="1"/>
  <c r="M166" i="3"/>
  <c r="L166" i="3"/>
  <c r="N166" i="3" s="1"/>
  <c r="T164" i="3"/>
  <c r="S164" i="52254" s="1"/>
  <c r="K163" i="52254" l="1"/>
  <c r="H164" i="52254"/>
  <c r="E165" i="52254"/>
  <c r="H165" i="3"/>
  <c r="S165" i="3"/>
  <c r="T165" i="3"/>
  <c r="S165" i="52254" s="1"/>
  <c r="V164" i="3"/>
  <c r="U164" i="3"/>
  <c r="O166" i="3"/>
  <c r="P166" i="3" s="1"/>
  <c r="Q166" i="3" s="1"/>
  <c r="R166" i="3" s="1"/>
  <c r="A169" i="3"/>
  <c r="A169" i="52254" s="1"/>
  <c r="K168" i="3"/>
  <c r="D167" i="3"/>
  <c r="F167" i="3" s="1"/>
  <c r="E167" i="3"/>
  <c r="G167" i="3" s="1"/>
  <c r="E166" i="3"/>
  <c r="G166" i="3" s="1"/>
  <c r="D166" i="3"/>
  <c r="F166" i="3" s="1"/>
  <c r="M167" i="3"/>
  <c r="L167" i="3"/>
  <c r="N167" i="3" s="1"/>
  <c r="B168" i="3"/>
  <c r="C166" i="52254"/>
  <c r="E166" i="52254" s="1"/>
  <c r="G36" i="52256"/>
  <c r="B167" i="52254"/>
  <c r="K164" i="52254" l="1"/>
  <c r="V165" i="3"/>
  <c r="H165" i="52254"/>
  <c r="B169" i="3"/>
  <c r="C169" i="3" s="1"/>
  <c r="U165" i="3"/>
  <c r="I167" i="3"/>
  <c r="I166" i="3"/>
  <c r="J165" i="3"/>
  <c r="D166" i="52254"/>
  <c r="C167" i="52254"/>
  <c r="D167" i="52254" s="1"/>
  <c r="R167" i="52254"/>
  <c r="H166" i="3"/>
  <c r="C168" i="3"/>
  <c r="K169" i="3"/>
  <c r="A170" i="3"/>
  <c r="A170" i="52254" s="1"/>
  <c r="H36" i="52252"/>
  <c r="I36" i="52252" s="1"/>
  <c r="S166" i="3"/>
  <c r="O167" i="3"/>
  <c r="P167" i="3" s="1"/>
  <c r="Q167" i="3" s="1"/>
  <c r="R167" i="3" s="1"/>
  <c r="M168" i="3"/>
  <c r="L168" i="3"/>
  <c r="N168" i="3" s="1"/>
  <c r="H167" i="3"/>
  <c r="T166" i="3"/>
  <c r="H166" i="52254"/>
  <c r="B168" i="52254"/>
  <c r="K165" i="52254" l="1"/>
  <c r="J166" i="3"/>
  <c r="E167" i="52254"/>
  <c r="J36" i="52252"/>
  <c r="K36" i="52252" s="1"/>
  <c r="M36" i="52252" s="1"/>
  <c r="B170" i="3"/>
  <c r="C170" i="3" s="1"/>
  <c r="C168" i="52254"/>
  <c r="E168" i="52254" s="1"/>
  <c r="R168" i="52254"/>
  <c r="V166" i="3"/>
  <c r="S166" i="52254"/>
  <c r="S167" i="3"/>
  <c r="T167" i="3"/>
  <c r="A171" i="3"/>
  <c r="A171" i="52254" s="1"/>
  <c r="K170" i="3"/>
  <c r="D168" i="3"/>
  <c r="F168" i="3" s="1"/>
  <c r="E168" i="3"/>
  <c r="G168" i="3" s="1"/>
  <c r="I168" i="3" s="1"/>
  <c r="U166" i="3"/>
  <c r="K166" i="52254" s="1"/>
  <c r="J167" i="3"/>
  <c r="O168" i="3"/>
  <c r="P168" i="3" s="1"/>
  <c r="Q168" i="3" s="1"/>
  <c r="R168" i="3" s="1"/>
  <c r="M169" i="3"/>
  <c r="L169" i="3"/>
  <c r="N169" i="3" s="1"/>
  <c r="E169" i="3"/>
  <c r="G169" i="3" s="1"/>
  <c r="I169" i="3" s="1"/>
  <c r="D169" i="3"/>
  <c r="F169" i="3" s="1"/>
  <c r="B169" i="52254"/>
  <c r="D168" i="52254" l="1"/>
  <c r="H167" i="52254"/>
  <c r="H169" i="3"/>
  <c r="J169" i="3" s="1"/>
  <c r="O36" i="52252"/>
  <c r="C169" i="52254"/>
  <c r="D169" i="52254" s="1"/>
  <c r="R169" i="52254"/>
  <c r="V167" i="3"/>
  <c r="S167" i="52254"/>
  <c r="U167" i="3"/>
  <c r="S168" i="3"/>
  <c r="T168" i="3"/>
  <c r="S168" i="52254" s="1"/>
  <c r="D170" i="3"/>
  <c r="F170" i="3" s="1"/>
  <c r="E170" i="3"/>
  <c r="G170" i="3" s="1"/>
  <c r="B171" i="3"/>
  <c r="A172" i="3"/>
  <c r="A172" i="52254" s="1"/>
  <c r="K171" i="3"/>
  <c r="H168" i="3"/>
  <c r="O169" i="3"/>
  <c r="P169" i="3" s="1"/>
  <c r="Q169" i="3" s="1"/>
  <c r="R169" i="3" s="1"/>
  <c r="M170" i="3"/>
  <c r="L170" i="3"/>
  <c r="N170" i="3" s="1"/>
  <c r="H168" i="52254"/>
  <c r="B170" i="52254"/>
  <c r="K167" i="52254" l="1"/>
  <c r="E169" i="52254"/>
  <c r="I170" i="3"/>
  <c r="V168" i="3"/>
  <c r="C170" i="52254"/>
  <c r="D170" i="52254" s="1"/>
  <c r="R170" i="52254"/>
  <c r="H170" i="3"/>
  <c r="J170" i="3" s="1"/>
  <c r="S169" i="3"/>
  <c r="T169" i="3"/>
  <c r="S169" i="52254" s="1"/>
  <c r="O170" i="3"/>
  <c r="P170" i="3" s="1"/>
  <c r="Q170" i="3" s="1"/>
  <c r="R170" i="3" s="1"/>
  <c r="B172" i="3"/>
  <c r="A173" i="3"/>
  <c r="A173" i="52254" s="1"/>
  <c r="K172" i="3"/>
  <c r="J168" i="3"/>
  <c r="U168" i="3"/>
  <c r="L171" i="3"/>
  <c r="N171" i="3" s="1"/>
  <c r="M171" i="3"/>
  <c r="C171" i="3"/>
  <c r="G37" i="52252"/>
  <c r="B171" i="52254"/>
  <c r="R171" i="52254" s="1"/>
  <c r="K168" i="52254" l="1"/>
  <c r="S170" i="3"/>
  <c r="H169" i="52254"/>
  <c r="E170" i="52254"/>
  <c r="E171" i="3"/>
  <c r="G171" i="3" s="1"/>
  <c r="D171" i="3"/>
  <c r="F171" i="3" s="1"/>
  <c r="O171" i="3"/>
  <c r="P171" i="3" s="1"/>
  <c r="Q171" i="3" s="1"/>
  <c r="R171" i="3" s="1"/>
  <c r="L172" i="3"/>
  <c r="N172" i="3" s="1"/>
  <c r="M172" i="3"/>
  <c r="C172" i="3"/>
  <c r="B173" i="3"/>
  <c r="K173" i="3"/>
  <c r="A174" i="3"/>
  <c r="U169" i="3"/>
  <c r="V169" i="3"/>
  <c r="T170" i="3"/>
  <c r="S170" i="52254" s="1"/>
  <c r="C171" i="52254"/>
  <c r="D171" i="52254" s="1"/>
  <c r="G37" i="52256"/>
  <c r="B172" i="52254"/>
  <c r="K169" i="52254" l="1"/>
  <c r="T171" i="3"/>
  <c r="S171" i="52254" s="1"/>
  <c r="H171" i="3"/>
  <c r="H170" i="52254"/>
  <c r="I171" i="3"/>
  <c r="C172" i="52254"/>
  <c r="E172" i="52254" s="1"/>
  <c r="R172" i="52254"/>
  <c r="B174" i="3"/>
  <c r="C174" i="3" s="1"/>
  <c r="A174" i="52254"/>
  <c r="E171" i="52254"/>
  <c r="V170" i="3"/>
  <c r="U170" i="3"/>
  <c r="L173" i="3"/>
  <c r="N173" i="3" s="1"/>
  <c r="M173" i="3"/>
  <c r="O173" i="3" s="1"/>
  <c r="O172" i="3"/>
  <c r="P172" i="3" s="1"/>
  <c r="Q172" i="3" s="1"/>
  <c r="H37" i="52252"/>
  <c r="I37" i="52252" s="1"/>
  <c r="S171" i="3"/>
  <c r="K174" i="3"/>
  <c r="A175" i="3"/>
  <c r="A175" i="52254" s="1"/>
  <c r="C173" i="3"/>
  <c r="B173" i="52254"/>
  <c r="D172" i="3"/>
  <c r="F172" i="3" s="1"/>
  <c r="E172" i="3"/>
  <c r="G172" i="3" s="1"/>
  <c r="K170" i="52254" l="1"/>
  <c r="P173" i="3"/>
  <c r="Q173" i="3" s="1"/>
  <c r="R173" i="3" s="1"/>
  <c r="V171" i="3"/>
  <c r="R172" i="3"/>
  <c r="S172" i="3" s="1"/>
  <c r="U171" i="3"/>
  <c r="J37" i="52252"/>
  <c r="K37" i="52252" s="1"/>
  <c r="M37" i="52252" s="1"/>
  <c r="J171" i="3"/>
  <c r="H171" i="52254"/>
  <c r="D172" i="52254"/>
  <c r="I172" i="3"/>
  <c r="B175" i="3"/>
  <c r="C175" i="3" s="1"/>
  <c r="C173" i="52254"/>
  <c r="E173" i="52254" s="1"/>
  <c r="R173" i="52254"/>
  <c r="D173" i="3"/>
  <c r="F173" i="3" s="1"/>
  <c r="E173" i="3"/>
  <c r="G173" i="3" s="1"/>
  <c r="K175" i="3"/>
  <c r="A176" i="3"/>
  <c r="A176" i="52254" s="1"/>
  <c r="E174" i="3"/>
  <c r="G174" i="3" s="1"/>
  <c r="I174" i="3" s="1"/>
  <c r="D174" i="3"/>
  <c r="F174" i="3" s="1"/>
  <c r="H172" i="3"/>
  <c r="M174" i="3"/>
  <c r="L174" i="3"/>
  <c r="N174" i="3" s="1"/>
  <c r="B174" i="52254"/>
  <c r="K171" i="52254" l="1"/>
  <c r="T172" i="3"/>
  <c r="S172" i="52254" s="1"/>
  <c r="O37" i="52252"/>
  <c r="H174" i="3"/>
  <c r="J174" i="3" s="1"/>
  <c r="D173" i="52254"/>
  <c r="H172" i="52254"/>
  <c r="I173" i="3"/>
  <c r="C174" i="52254"/>
  <c r="D174" i="52254" s="1"/>
  <c r="R174" i="52254"/>
  <c r="H173" i="52254"/>
  <c r="S173" i="3"/>
  <c r="T173" i="3"/>
  <c r="S173" i="52254" s="1"/>
  <c r="O174" i="3"/>
  <c r="P174" i="3" s="1"/>
  <c r="Q174" i="3" s="1"/>
  <c r="R174" i="3" s="1"/>
  <c r="J172" i="3"/>
  <c r="B176" i="3"/>
  <c r="K176" i="3"/>
  <c r="A177" i="3"/>
  <c r="A177" i="52254" s="1"/>
  <c r="H173" i="3"/>
  <c r="D175" i="3"/>
  <c r="F175" i="3" s="1"/>
  <c r="E175" i="3"/>
  <c r="G175" i="3" s="1"/>
  <c r="L175" i="3"/>
  <c r="N175" i="3" s="1"/>
  <c r="M175" i="3"/>
  <c r="B175" i="52254"/>
  <c r="U172" i="3" l="1"/>
  <c r="V172" i="3"/>
  <c r="S174" i="3"/>
  <c r="V173" i="3"/>
  <c r="I175" i="3"/>
  <c r="H175" i="3"/>
  <c r="E174" i="52254"/>
  <c r="B177" i="3"/>
  <c r="C177" i="3" s="1"/>
  <c r="C175" i="52254"/>
  <c r="D175" i="52254" s="1"/>
  <c r="R175" i="52254"/>
  <c r="J173" i="3"/>
  <c r="U173" i="3"/>
  <c r="K173" i="52254" s="1"/>
  <c r="A178" i="3"/>
  <c r="A178" i="52254" s="1"/>
  <c r="K177" i="3"/>
  <c r="C176" i="3"/>
  <c r="G38" i="52252"/>
  <c r="O175" i="3"/>
  <c r="P175" i="3" s="1"/>
  <c r="Q175" i="3" s="1"/>
  <c r="R175" i="3" s="1"/>
  <c r="L176" i="3"/>
  <c r="N176" i="3" s="1"/>
  <c r="M176" i="3"/>
  <c r="T174" i="3"/>
  <c r="S174" i="52254" s="1"/>
  <c r="B176" i="52254"/>
  <c r="R176" i="52254" s="1"/>
  <c r="K172" i="52254" l="1"/>
  <c r="J175" i="3"/>
  <c r="H174" i="52254"/>
  <c r="E175" i="52254"/>
  <c r="B178" i="3"/>
  <c r="C178" i="3" s="1"/>
  <c r="S175" i="3"/>
  <c r="T175" i="3"/>
  <c r="S175" i="52254" s="1"/>
  <c r="U174" i="3"/>
  <c r="V174" i="3"/>
  <c r="D176" i="3"/>
  <c r="F176" i="3" s="1"/>
  <c r="E176" i="3"/>
  <c r="G176" i="3" s="1"/>
  <c r="I176" i="3" s="1"/>
  <c r="A179" i="3"/>
  <c r="A179" i="52254" s="1"/>
  <c r="K178" i="3"/>
  <c r="O176" i="3"/>
  <c r="P176" i="3" s="1"/>
  <c r="Q176" i="3" s="1"/>
  <c r="R176" i="3" s="1"/>
  <c r="E177" i="3"/>
  <c r="G177" i="3" s="1"/>
  <c r="I177" i="3" s="1"/>
  <c r="D177" i="3"/>
  <c r="F177" i="3" s="1"/>
  <c r="L177" i="3"/>
  <c r="M177" i="3"/>
  <c r="C176" i="52254"/>
  <c r="D176" i="52254" s="1"/>
  <c r="G38" i="52256"/>
  <c r="B177" i="52254"/>
  <c r="K174" i="52254" l="1"/>
  <c r="H175" i="52254"/>
  <c r="E176" i="52254"/>
  <c r="C177" i="52254"/>
  <c r="D177" i="52254" s="1"/>
  <c r="R177" i="52254"/>
  <c r="H176" i="3"/>
  <c r="J176" i="3" s="1"/>
  <c r="H38" i="52252"/>
  <c r="I38" i="52252" s="1"/>
  <c r="S176" i="3"/>
  <c r="T176" i="3"/>
  <c r="V176" i="3" s="1"/>
  <c r="L178" i="3"/>
  <c r="M178" i="3"/>
  <c r="N177" i="3"/>
  <c r="O177" i="3"/>
  <c r="B179" i="3"/>
  <c r="A180" i="3"/>
  <c r="A180" i="52254" s="1"/>
  <c r="K179" i="3"/>
  <c r="E178" i="3"/>
  <c r="G178" i="3" s="1"/>
  <c r="D178" i="3"/>
  <c r="F178" i="3" s="1"/>
  <c r="V175" i="3"/>
  <c r="U175" i="3"/>
  <c r="H177" i="3"/>
  <c r="B178" i="52254"/>
  <c r="K175" i="52254" l="1"/>
  <c r="E177" i="52254"/>
  <c r="H176" i="52254"/>
  <c r="B180" i="3"/>
  <c r="C180" i="3" s="1"/>
  <c r="I178" i="3"/>
  <c r="J38" i="52252"/>
  <c r="K38" i="52252" s="1"/>
  <c r="M38" i="52252" s="1"/>
  <c r="H178" i="3"/>
  <c r="C178" i="52254"/>
  <c r="E178" i="52254" s="1"/>
  <c r="R178" i="52254"/>
  <c r="U176" i="3"/>
  <c r="K176" i="52254" s="1"/>
  <c r="S176" i="52254"/>
  <c r="J177" i="3"/>
  <c r="K180" i="3"/>
  <c r="L180" i="3" s="1"/>
  <c r="A181" i="3"/>
  <c r="A181" i="52254" s="1"/>
  <c r="N178" i="3"/>
  <c r="M179" i="3"/>
  <c r="L179" i="3"/>
  <c r="N179" i="3" s="1"/>
  <c r="C179" i="3"/>
  <c r="B179" i="52254"/>
  <c r="O178" i="3"/>
  <c r="P177" i="3"/>
  <c r="Q177" i="3" s="1"/>
  <c r="R177" i="3" s="1"/>
  <c r="J178" i="3" l="1"/>
  <c r="H177" i="52254"/>
  <c r="D178" i="52254"/>
  <c r="O38" i="52252"/>
  <c r="C179" i="52254"/>
  <c r="E179" i="52254" s="1"/>
  <c r="R179" i="52254"/>
  <c r="B181" i="3"/>
  <c r="C181" i="3" s="1"/>
  <c r="S177" i="3"/>
  <c r="T177" i="3"/>
  <c r="S177" i="52254" s="1"/>
  <c r="K181" i="3"/>
  <c r="M181" i="3" s="1"/>
  <c r="A182" i="3"/>
  <c r="P178" i="3"/>
  <c r="Q178" i="3" s="1"/>
  <c r="D179" i="3"/>
  <c r="F179" i="3" s="1"/>
  <c r="E179" i="3"/>
  <c r="G179" i="3" s="1"/>
  <c r="I179" i="3" s="1"/>
  <c r="O179" i="3"/>
  <c r="P179" i="3" s="1"/>
  <c r="Q179" i="3" s="1"/>
  <c r="R179" i="3" s="1"/>
  <c r="M180" i="3"/>
  <c r="N180" i="3"/>
  <c r="E180" i="3"/>
  <c r="G180" i="3" s="1"/>
  <c r="I180" i="3" s="1"/>
  <c r="D180" i="3"/>
  <c r="F180" i="3" s="1"/>
  <c r="B180" i="52254"/>
  <c r="O181" i="3" l="1"/>
  <c r="O180" i="3"/>
  <c r="P180" i="3" s="1"/>
  <c r="Q180" i="3" s="1"/>
  <c r="R180" i="3" s="1"/>
  <c r="S179" i="3"/>
  <c r="R178" i="3"/>
  <c r="S178" i="3" s="1"/>
  <c r="D179" i="52254"/>
  <c r="H178" i="52254"/>
  <c r="G39" i="52252"/>
  <c r="H180" i="3"/>
  <c r="J180" i="3" s="1"/>
  <c r="C180" i="52254"/>
  <c r="D180" i="52254" s="1"/>
  <c r="R180" i="52254"/>
  <c r="B182" i="3"/>
  <c r="C182" i="3" s="1"/>
  <c r="A182" i="52254"/>
  <c r="D181" i="3"/>
  <c r="F181" i="3" s="1"/>
  <c r="E181" i="3"/>
  <c r="G181" i="3" s="1"/>
  <c r="A183" i="3"/>
  <c r="A183" i="52254" s="1"/>
  <c r="K182" i="3"/>
  <c r="H179" i="3"/>
  <c r="L181" i="3"/>
  <c r="N181" i="3" s="1"/>
  <c r="V177" i="3"/>
  <c r="U177" i="3"/>
  <c r="H179" i="52254"/>
  <c r="B181" i="52254"/>
  <c r="R181" i="52254" s="1"/>
  <c r="K177" i="52254" l="1"/>
  <c r="T178" i="3"/>
  <c r="S178" i="52254" s="1"/>
  <c r="T179" i="3"/>
  <c r="S179" i="52254" s="1"/>
  <c r="P181" i="3"/>
  <c r="Q181" i="3" s="1"/>
  <c r="R181" i="3" s="1"/>
  <c r="T181" i="3" s="1"/>
  <c r="E180" i="52254"/>
  <c r="I181" i="3"/>
  <c r="H181" i="3"/>
  <c r="S180" i="3"/>
  <c r="T180" i="3"/>
  <c r="S180" i="52254" s="1"/>
  <c r="M182" i="3"/>
  <c r="L182" i="3"/>
  <c r="N182" i="3" s="1"/>
  <c r="E182" i="3"/>
  <c r="G182" i="3" s="1"/>
  <c r="I182" i="3" s="1"/>
  <c r="D182" i="3"/>
  <c r="F182" i="3" s="1"/>
  <c r="J179" i="3"/>
  <c r="B183" i="3"/>
  <c r="K183" i="3"/>
  <c r="A184" i="3"/>
  <c r="C181" i="52254"/>
  <c r="D181" i="52254" s="1"/>
  <c r="G39" i="52256"/>
  <c r="B182" i="52254"/>
  <c r="V178" i="3" l="1"/>
  <c r="U178" i="3"/>
  <c r="V179" i="3"/>
  <c r="U179" i="3"/>
  <c r="H39" i="52252"/>
  <c r="S181" i="3"/>
  <c r="J181" i="3"/>
  <c r="H180" i="52254"/>
  <c r="J39" i="52252"/>
  <c r="O39" i="52252" s="1"/>
  <c r="H182" i="3"/>
  <c r="J182" i="3" s="1"/>
  <c r="C182" i="52254"/>
  <c r="E182" i="52254" s="1"/>
  <c r="R182" i="52254"/>
  <c r="A185" i="3"/>
  <c r="B185" i="3" s="1"/>
  <c r="A184" i="52254"/>
  <c r="E181" i="52254"/>
  <c r="B184" i="3"/>
  <c r="C184" i="3" s="1"/>
  <c r="S181" i="52254"/>
  <c r="M183" i="3"/>
  <c r="L183" i="3"/>
  <c r="N183" i="3" s="1"/>
  <c r="K184" i="3"/>
  <c r="C183" i="3"/>
  <c r="O182" i="3"/>
  <c r="P182" i="3" s="1"/>
  <c r="Q182" i="3" s="1"/>
  <c r="R182" i="3" s="1"/>
  <c r="U180" i="3"/>
  <c r="V180" i="3"/>
  <c r="B183" i="52254"/>
  <c r="K180" i="52254" l="1"/>
  <c r="K178" i="52254"/>
  <c r="K179" i="52254"/>
  <c r="O183" i="3"/>
  <c r="P183" i="3" s="1"/>
  <c r="Q183" i="3" s="1"/>
  <c r="D182" i="52254"/>
  <c r="H181" i="52254"/>
  <c r="C183" i="52254"/>
  <c r="D183" i="52254" s="1"/>
  <c r="R183" i="52254"/>
  <c r="B186" i="3"/>
  <c r="A185" i="52254"/>
  <c r="S182" i="3"/>
  <c r="T182" i="3"/>
  <c r="S182" i="52254" s="1"/>
  <c r="V181" i="3"/>
  <c r="U181" i="3"/>
  <c r="I39" i="52252"/>
  <c r="I40" i="52252"/>
  <c r="E184" i="3"/>
  <c r="G184" i="3" s="1"/>
  <c r="I184" i="3" s="1"/>
  <c r="D184" i="3"/>
  <c r="F184" i="3" s="1"/>
  <c r="E183" i="3"/>
  <c r="G183" i="3" s="1"/>
  <c r="D183" i="3"/>
  <c r="F183" i="3" s="1"/>
  <c r="M184" i="3"/>
  <c r="L184" i="3"/>
  <c r="N184" i="3" s="1"/>
  <c r="C185" i="3"/>
  <c r="K185" i="3"/>
  <c r="H182" i="52254"/>
  <c r="B184" i="52254"/>
  <c r="K181" i="52254" l="1"/>
  <c r="R183" i="3"/>
  <c r="S183" i="3" s="1"/>
  <c r="E183" i="52254"/>
  <c r="I183" i="3"/>
  <c r="H184" i="3"/>
  <c r="J184" i="3" s="1"/>
  <c r="C184" i="52254"/>
  <c r="E184" i="52254" s="1"/>
  <c r="R184" i="52254"/>
  <c r="H183" i="3"/>
  <c r="B186" i="52254"/>
  <c r="R186" i="52254" s="1"/>
  <c r="G40" i="52252"/>
  <c r="C186" i="3"/>
  <c r="O184" i="3"/>
  <c r="P184" i="3" s="1"/>
  <c r="Q184" i="3" s="1"/>
  <c r="R184" i="3" s="1"/>
  <c r="K39" i="52252"/>
  <c r="M39" i="52252" s="1"/>
  <c r="L185" i="3"/>
  <c r="N185" i="3" s="1"/>
  <c r="M185" i="3"/>
  <c r="E185" i="3"/>
  <c r="G185" i="3" s="1"/>
  <c r="I185" i="3" s="1"/>
  <c r="D185" i="3"/>
  <c r="F185" i="3" s="1"/>
  <c r="U182" i="3"/>
  <c r="V182" i="3"/>
  <c r="B185" i="52254"/>
  <c r="K182" i="52254" l="1"/>
  <c r="T183" i="3"/>
  <c r="S183" i="52254" s="1"/>
  <c r="S184" i="3"/>
  <c r="O185" i="3"/>
  <c r="P185" i="3" s="1"/>
  <c r="Q185" i="3" s="1"/>
  <c r="R185" i="3" s="1"/>
  <c r="T185" i="3" s="1"/>
  <c r="J183" i="3"/>
  <c r="H183" i="52254"/>
  <c r="D184" i="52254"/>
  <c r="C185" i="52254"/>
  <c r="D185" i="52254" s="1"/>
  <c r="R185" i="52254"/>
  <c r="H185" i="3"/>
  <c r="J185" i="3" s="1"/>
  <c r="G40" i="52256"/>
  <c r="C186" i="52254"/>
  <c r="D186" i="3"/>
  <c r="F186" i="3" s="1"/>
  <c r="E186" i="3"/>
  <c r="G186" i="3" s="1"/>
  <c r="T184" i="3"/>
  <c r="S184" i="52254" s="1"/>
  <c r="H184" i="52254"/>
  <c r="U183" i="3" l="1"/>
  <c r="V183" i="3"/>
  <c r="I186" i="3"/>
  <c r="E185" i="52254"/>
  <c r="H186" i="3"/>
  <c r="S185" i="3"/>
  <c r="S186" i="52254"/>
  <c r="S185" i="52254"/>
  <c r="U184" i="3"/>
  <c r="V184" i="3"/>
  <c r="D186" i="52254"/>
  <c r="E186" i="52254"/>
  <c r="K184" i="52254" l="1"/>
  <c r="K183" i="52254"/>
  <c r="J186" i="3"/>
  <c r="S187" i="52254"/>
  <c r="J40" i="52252"/>
  <c r="K40" i="52252" s="1"/>
  <c r="H185" i="52254"/>
  <c r="V186" i="3"/>
  <c r="T187" i="3"/>
  <c r="U187" i="3" s="1"/>
  <c r="H186" i="52254"/>
  <c r="V185" i="3"/>
  <c r="U185" i="3"/>
  <c r="U186" i="3"/>
  <c r="M40" i="52252" l="1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L18" i="52252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K186" i="52254"/>
  <c r="K185" i="52254"/>
  <c r="T78" i="52254"/>
  <c r="T77" i="52254"/>
  <c r="T76" i="52254"/>
  <c r="U76" i="52254" s="1"/>
  <c r="T79" i="52254"/>
  <c r="T83" i="52254"/>
  <c r="T87" i="52254"/>
  <c r="T91" i="52254"/>
  <c r="T95" i="52254"/>
  <c r="T99" i="52254"/>
  <c r="T103" i="52254"/>
  <c r="T107" i="52254"/>
  <c r="T111" i="52254"/>
  <c r="T115" i="52254"/>
  <c r="T119" i="52254"/>
  <c r="T123" i="52254"/>
  <c r="T127" i="52254"/>
  <c r="T131" i="52254"/>
  <c r="T135" i="52254"/>
  <c r="T139" i="52254"/>
  <c r="T143" i="52254"/>
  <c r="T147" i="52254"/>
  <c r="T151" i="52254"/>
  <c r="T155" i="52254"/>
  <c r="T159" i="52254"/>
  <c r="T167" i="52254"/>
  <c r="T179" i="52254"/>
  <c r="T86" i="52254"/>
  <c r="T94" i="52254"/>
  <c r="T102" i="52254"/>
  <c r="T110" i="52254"/>
  <c r="T118" i="52254"/>
  <c r="T126" i="52254"/>
  <c r="T134" i="52254"/>
  <c r="T142" i="52254"/>
  <c r="T150" i="52254"/>
  <c r="T162" i="52254"/>
  <c r="T170" i="52254"/>
  <c r="T178" i="52254"/>
  <c r="T186" i="52254"/>
  <c r="T85" i="52254"/>
  <c r="T93" i="52254"/>
  <c r="T101" i="52254"/>
  <c r="T109" i="52254"/>
  <c r="T117" i="52254"/>
  <c r="T125" i="52254"/>
  <c r="T133" i="52254"/>
  <c r="T141" i="52254"/>
  <c r="T149" i="52254"/>
  <c r="T157" i="52254"/>
  <c r="T169" i="52254"/>
  <c r="T177" i="52254"/>
  <c r="T185" i="52254"/>
  <c r="T80" i="52254"/>
  <c r="T84" i="52254"/>
  <c r="T88" i="52254"/>
  <c r="T92" i="52254"/>
  <c r="T96" i="52254"/>
  <c r="T100" i="52254"/>
  <c r="T104" i="52254"/>
  <c r="T108" i="52254"/>
  <c r="T112" i="52254"/>
  <c r="T116" i="52254"/>
  <c r="T120" i="52254"/>
  <c r="T124" i="52254"/>
  <c r="T128" i="52254"/>
  <c r="T132" i="52254"/>
  <c r="T136" i="52254"/>
  <c r="T140" i="52254"/>
  <c r="T144" i="52254"/>
  <c r="T148" i="52254"/>
  <c r="T152" i="52254"/>
  <c r="T156" i="52254"/>
  <c r="T160" i="52254"/>
  <c r="T164" i="52254"/>
  <c r="T168" i="52254"/>
  <c r="T172" i="52254"/>
  <c r="T176" i="52254"/>
  <c r="T180" i="52254"/>
  <c r="T184" i="52254"/>
  <c r="T163" i="52254"/>
  <c r="T171" i="52254"/>
  <c r="T175" i="52254"/>
  <c r="T183" i="52254"/>
  <c r="T82" i="52254"/>
  <c r="T90" i="52254"/>
  <c r="T98" i="52254"/>
  <c r="T106" i="52254"/>
  <c r="T114" i="52254"/>
  <c r="T122" i="52254"/>
  <c r="T130" i="52254"/>
  <c r="T138" i="52254"/>
  <c r="T146" i="52254"/>
  <c r="T154" i="52254"/>
  <c r="T158" i="52254"/>
  <c r="T166" i="52254"/>
  <c r="T174" i="52254"/>
  <c r="T182" i="52254"/>
  <c r="T81" i="52254"/>
  <c r="T89" i="52254"/>
  <c r="T97" i="52254"/>
  <c r="T105" i="52254"/>
  <c r="T113" i="52254"/>
  <c r="T121" i="52254"/>
  <c r="T129" i="52254"/>
  <c r="T137" i="52254"/>
  <c r="T145" i="52254"/>
  <c r="T153" i="52254"/>
  <c r="T161" i="52254"/>
  <c r="T165" i="52254"/>
  <c r="T173" i="52254"/>
  <c r="T181" i="52254"/>
  <c r="O40" i="52252"/>
  <c r="V187" i="3"/>
  <c r="V189" i="3" s="1"/>
  <c r="U189" i="3"/>
  <c r="U192" i="3" l="1"/>
  <c r="W189" i="3"/>
  <c r="W191" i="3" s="1"/>
  <c r="U77" i="52254"/>
  <c r="U78" i="52254" s="1"/>
  <c r="U79" i="52254" s="1"/>
  <c r="U80" i="52254" s="1"/>
  <c r="U81" i="52254" s="1"/>
  <c r="U82" i="52254" s="1"/>
  <c r="U83" i="52254" s="1"/>
  <c r="U84" i="52254" s="1"/>
  <c r="U85" i="52254" s="1"/>
  <c r="U86" i="52254" s="1"/>
  <c r="U87" i="52254" s="1"/>
  <c r="U88" i="52254" s="1"/>
  <c r="U89" i="52254" s="1"/>
  <c r="U90" i="52254" s="1"/>
  <c r="U91" i="52254" s="1"/>
  <c r="U92" i="52254" s="1"/>
  <c r="U93" i="52254" s="1"/>
  <c r="U94" i="52254" s="1"/>
  <c r="U95" i="52254" s="1"/>
  <c r="U96" i="52254" s="1"/>
  <c r="U97" i="52254" s="1"/>
  <c r="U98" i="52254" s="1"/>
  <c r="U99" i="52254" s="1"/>
  <c r="U100" i="52254" s="1"/>
  <c r="U101" i="52254" s="1"/>
  <c r="U102" i="52254" s="1"/>
  <c r="U103" i="52254" s="1"/>
  <c r="U104" i="52254" s="1"/>
  <c r="U105" i="52254" s="1"/>
  <c r="U106" i="52254" s="1"/>
  <c r="U107" i="52254" s="1"/>
  <c r="U108" i="52254" s="1"/>
  <c r="U109" i="52254" s="1"/>
  <c r="U110" i="52254" s="1"/>
  <c r="U111" i="52254" s="1"/>
  <c r="U112" i="52254" s="1"/>
  <c r="U113" i="52254" s="1"/>
  <c r="U114" i="52254" s="1"/>
  <c r="U115" i="52254" s="1"/>
  <c r="U116" i="52254" s="1"/>
  <c r="U117" i="52254" s="1"/>
  <c r="U118" i="52254" s="1"/>
  <c r="U119" i="52254" s="1"/>
  <c r="U120" i="52254" s="1"/>
  <c r="U121" i="52254" s="1"/>
  <c r="U122" i="52254" s="1"/>
  <c r="U123" i="52254" s="1"/>
  <c r="U124" i="52254" s="1"/>
  <c r="U125" i="52254" s="1"/>
  <c r="U126" i="52254" s="1"/>
  <c r="U127" i="52254" s="1"/>
  <c r="U128" i="52254" s="1"/>
  <c r="U129" i="52254" s="1"/>
  <c r="U130" i="52254" s="1"/>
  <c r="U131" i="52254" s="1"/>
  <c r="U132" i="52254" s="1"/>
  <c r="U133" i="52254" s="1"/>
  <c r="U134" i="52254" s="1"/>
  <c r="U135" i="52254" s="1"/>
  <c r="U136" i="52254" s="1"/>
  <c r="U137" i="52254" s="1"/>
  <c r="U138" i="52254" s="1"/>
  <c r="U139" i="52254" s="1"/>
  <c r="U140" i="52254" s="1"/>
  <c r="U141" i="52254" s="1"/>
  <c r="U142" i="52254" s="1"/>
  <c r="U143" i="52254" s="1"/>
  <c r="U144" i="52254" s="1"/>
  <c r="U145" i="52254" s="1"/>
  <c r="U146" i="52254" s="1"/>
  <c r="U147" i="52254" s="1"/>
  <c r="U148" i="52254" s="1"/>
  <c r="U149" i="52254" s="1"/>
  <c r="U150" i="52254" s="1"/>
  <c r="U151" i="52254" s="1"/>
  <c r="U152" i="52254" s="1"/>
  <c r="U153" i="52254" s="1"/>
  <c r="U154" i="52254" s="1"/>
  <c r="U155" i="52254" s="1"/>
  <c r="U156" i="52254" s="1"/>
  <c r="U157" i="52254" s="1"/>
  <c r="U158" i="52254" s="1"/>
  <c r="U159" i="52254" s="1"/>
  <c r="U160" i="52254" s="1"/>
  <c r="U161" i="52254" s="1"/>
  <c r="U162" i="52254" s="1"/>
  <c r="U163" i="52254" s="1"/>
  <c r="U164" i="52254" s="1"/>
  <c r="U165" i="52254" s="1"/>
  <c r="U166" i="52254" s="1"/>
  <c r="U167" i="52254" s="1"/>
  <c r="U168" i="52254" s="1"/>
  <c r="U169" i="52254" s="1"/>
  <c r="U170" i="52254" s="1"/>
  <c r="U171" i="52254" s="1"/>
  <c r="U172" i="52254" s="1"/>
  <c r="U173" i="52254" s="1"/>
  <c r="U174" i="52254" s="1"/>
  <c r="U175" i="52254" s="1"/>
  <c r="U176" i="52254" s="1"/>
  <c r="U177" i="52254" s="1"/>
  <c r="U178" i="52254" s="1"/>
  <c r="U179" i="52254" s="1"/>
  <c r="U180" i="52254" s="1"/>
  <c r="U181" i="52254" s="1"/>
  <c r="U182" i="52254" s="1"/>
  <c r="U183" i="52254" s="1"/>
  <c r="U184" i="52254" s="1"/>
  <c r="U185" i="52254" s="1"/>
  <c r="U186" i="52254" s="1"/>
  <c r="K187" i="52254"/>
  <c r="L77" i="52254" s="1"/>
  <c r="N77" i="52254" s="1"/>
  <c r="T187" i="52254"/>
  <c r="V191" i="3"/>
  <c r="K41" i="52252"/>
  <c r="V190" i="3"/>
  <c r="V192" i="3"/>
  <c r="V42" i="52256"/>
  <c r="U191" i="3"/>
  <c r="U42" i="52252"/>
  <c r="V42" i="52252"/>
  <c r="U190" i="3"/>
  <c r="W190" i="3" l="1"/>
  <c r="C27" i="2" s="1"/>
  <c r="W192" i="3"/>
  <c r="C31" i="2" s="1"/>
  <c r="W20" i="2" s="1"/>
  <c r="L76" i="52254"/>
  <c r="M76" i="52254" s="1"/>
  <c r="L79" i="52254"/>
  <c r="L80" i="52254"/>
  <c r="V80" i="52254" s="1"/>
  <c r="D17" i="52252"/>
  <c r="D13" i="52256" s="1"/>
  <c r="D25" i="52255" s="1"/>
  <c r="L176" i="52254"/>
  <c r="L100" i="52254"/>
  <c r="L132" i="52254"/>
  <c r="L110" i="52254"/>
  <c r="L163" i="52254"/>
  <c r="L144" i="52254"/>
  <c r="L172" i="52254"/>
  <c r="L140" i="52254"/>
  <c r="L108" i="52254"/>
  <c r="L183" i="52254"/>
  <c r="L151" i="52254"/>
  <c r="L119" i="52254"/>
  <c r="L88" i="52254"/>
  <c r="L180" i="52254"/>
  <c r="L148" i="52254"/>
  <c r="N148" i="52254" s="1"/>
  <c r="L116" i="52254"/>
  <c r="L86" i="52254"/>
  <c r="L160" i="52254"/>
  <c r="L128" i="52254"/>
  <c r="L95" i="52254"/>
  <c r="L156" i="52254"/>
  <c r="L124" i="52254"/>
  <c r="L92" i="52254"/>
  <c r="L167" i="52254"/>
  <c r="L136" i="52254"/>
  <c r="L103" i="52254"/>
  <c r="L186" i="52254"/>
  <c r="L182" i="52254"/>
  <c r="L166" i="52254"/>
  <c r="L150" i="52254"/>
  <c r="L134" i="52254"/>
  <c r="L118" i="52254"/>
  <c r="L93" i="52254"/>
  <c r="L78" i="52254"/>
  <c r="L170" i="52254"/>
  <c r="L153" i="52254"/>
  <c r="L137" i="52254"/>
  <c r="L121" i="52254"/>
  <c r="L105" i="52254"/>
  <c r="L89" i="52254"/>
  <c r="L175" i="52254"/>
  <c r="L168" i="52254"/>
  <c r="L159" i="52254"/>
  <c r="L152" i="52254"/>
  <c r="L143" i="52254"/>
  <c r="L135" i="52254"/>
  <c r="L127" i="52254"/>
  <c r="L120" i="52254"/>
  <c r="L112" i="52254"/>
  <c r="L104" i="52254"/>
  <c r="L96" i="52254"/>
  <c r="L87" i="52254"/>
  <c r="L179" i="52254"/>
  <c r="L169" i="52254"/>
  <c r="L164" i="52254"/>
  <c r="L155" i="52254"/>
  <c r="L147" i="52254"/>
  <c r="L139" i="52254"/>
  <c r="L131" i="52254"/>
  <c r="L123" i="52254"/>
  <c r="L115" i="52254"/>
  <c r="L107" i="52254"/>
  <c r="L99" i="52254"/>
  <c r="L90" i="52254"/>
  <c r="L83" i="52254"/>
  <c r="L184" i="52254"/>
  <c r="L174" i="52254"/>
  <c r="L157" i="52254"/>
  <c r="L142" i="52254"/>
  <c r="L126" i="52254"/>
  <c r="L111" i="52254"/>
  <c r="L102" i="52254"/>
  <c r="L85" i="52254"/>
  <c r="L178" i="52254"/>
  <c r="L161" i="52254"/>
  <c r="L145" i="52254"/>
  <c r="L129" i="52254"/>
  <c r="L113" i="52254"/>
  <c r="L98" i="52254"/>
  <c r="L81" i="52254"/>
  <c r="L185" i="52254"/>
  <c r="L177" i="52254"/>
  <c r="L171" i="52254"/>
  <c r="L162" i="52254"/>
  <c r="L154" i="52254"/>
  <c r="L146" i="52254"/>
  <c r="L138" i="52254"/>
  <c r="L130" i="52254"/>
  <c r="L122" i="52254"/>
  <c r="L114" i="52254"/>
  <c r="L106" i="52254"/>
  <c r="L97" i="52254"/>
  <c r="L91" i="52254"/>
  <c r="L82" i="52254"/>
  <c r="L181" i="52254"/>
  <c r="L173" i="52254"/>
  <c r="L165" i="52254"/>
  <c r="L158" i="52254"/>
  <c r="L149" i="52254"/>
  <c r="L141" i="52254"/>
  <c r="L133" i="52254"/>
  <c r="L125" i="52254"/>
  <c r="L117" i="52254"/>
  <c r="L109" i="52254"/>
  <c r="L101" i="52254"/>
  <c r="L94" i="52254"/>
  <c r="L84" i="52254"/>
  <c r="V77" i="52254"/>
  <c r="D18" i="52252" l="1"/>
  <c r="F13" i="52256" s="1"/>
  <c r="F25" i="52255" s="1"/>
  <c r="V76" i="52254"/>
  <c r="N76" i="52254"/>
  <c r="I18" i="52256"/>
  <c r="N101" i="52254"/>
  <c r="V101" i="52254"/>
  <c r="N133" i="52254"/>
  <c r="V133" i="52254"/>
  <c r="N165" i="52254"/>
  <c r="V165" i="52254"/>
  <c r="V91" i="52254"/>
  <c r="N122" i="52254"/>
  <c r="V122" i="52254"/>
  <c r="N154" i="52254"/>
  <c r="V154" i="52254"/>
  <c r="N185" i="52254"/>
  <c r="V185" i="52254"/>
  <c r="N129" i="52254"/>
  <c r="V129" i="52254"/>
  <c r="V85" i="52254"/>
  <c r="V142" i="52254"/>
  <c r="V83" i="52254"/>
  <c r="V115" i="52254"/>
  <c r="N147" i="52254"/>
  <c r="V147" i="52254"/>
  <c r="N179" i="52254"/>
  <c r="V179" i="52254"/>
  <c r="N104" i="52254"/>
  <c r="V104" i="52254"/>
  <c r="N135" i="52254"/>
  <c r="V135" i="52254"/>
  <c r="N168" i="52254"/>
  <c r="V168" i="52254"/>
  <c r="N121" i="52254"/>
  <c r="V121" i="52254"/>
  <c r="V78" i="52254"/>
  <c r="N150" i="52254"/>
  <c r="V150" i="52254"/>
  <c r="V103" i="52254"/>
  <c r="N124" i="52254"/>
  <c r="V124" i="52254"/>
  <c r="N160" i="52254"/>
  <c r="V160" i="52254"/>
  <c r="N180" i="52254"/>
  <c r="V180" i="52254"/>
  <c r="N183" i="52254"/>
  <c r="V183" i="52254"/>
  <c r="N144" i="52254"/>
  <c r="V144" i="52254"/>
  <c r="N100" i="52254"/>
  <c r="V100" i="52254"/>
  <c r="V94" i="52254"/>
  <c r="N125" i="52254"/>
  <c r="V125" i="52254"/>
  <c r="N158" i="52254"/>
  <c r="V158" i="52254"/>
  <c r="V82" i="52254"/>
  <c r="V114" i="52254"/>
  <c r="V146" i="52254"/>
  <c r="V177" i="52254"/>
  <c r="V113" i="52254"/>
  <c r="N178" i="52254"/>
  <c r="V178" i="52254"/>
  <c r="V126" i="52254"/>
  <c r="N184" i="52254"/>
  <c r="V184" i="52254"/>
  <c r="N107" i="52254"/>
  <c r="V107" i="52254"/>
  <c r="N139" i="52254"/>
  <c r="V139" i="52254"/>
  <c r="N169" i="52254"/>
  <c r="V169" i="52254"/>
  <c r="V96" i="52254"/>
  <c r="V127" i="52254"/>
  <c r="V159" i="52254"/>
  <c r="V105" i="52254"/>
  <c r="N170" i="52254"/>
  <c r="V170" i="52254"/>
  <c r="V134" i="52254"/>
  <c r="N186" i="52254"/>
  <c r="V186" i="52254"/>
  <c r="N92" i="52254"/>
  <c r="V92" i="52254"/>
  <c r="V128" i="52254"/>
  <c r="V148" i="52254"/>
  <c r="V151" i="52254"/>
  <c r="V172" i="52254"/>
  <c r="V132" i="52254"/>
  <c r="N84" i="52254"/>
  <c r="V84" i="52254"/>
  <c r="N117" i="52254"/>
  <c r="V117" i="52254"/>
  <c r="N149" i="52254"/>
  <c r="V149" i="52254"/>
  <c r="N181" i="52254"/>
  <c r="V181" i="52254"/>
  <c r="V106" i="52254"/>
  <c r="V138" i="52254"/>
  <c r="N171" i="52254"/>
  <c r="V171" i="52254"/>
  <c r="V98" i="52254"/>
  <c r="N161" i="52254"/>
  <c r="V161" i="52254"/>
  <c r="V111" i="52254"/>
  <c r="V174" i="52254"/>
  <c r="V99" i="52254"/>
  <c r="N131" i="52254"/>
  <c r="V131" i="52254"/>
  <c r="N164" i="52254"/>
  <c r="V164" i="52254"/>
  <c r="N87" i="52254"/>
  <c r="V87" i="52254"/>
  <c r="N120" i="52254"/>
  <c r="V120" i="52254"/>
  <c r="V152" i="52254"/>
  <c r="N89" i="52254"/>
  <c r="V89" i="52254"/>
  <c r="V153" i="52254"/>
  <c r="N118" i="52254"/>
  <c r="V118" i="52254"/>
  <c r="N182" i="52254"/>
  <c r="V182" i="52254"/>
  <c r="N167" i="52254"/>
  <c r="V167" i="52254"/>
  <c r="V95" i="52254"/>
  <c r="N116" i="52254"/>
  <c r="V116" i="52254"/>
  <c r="V119" i="52254"/>
  <c r="V140" i="52254"/>
  <c r="V110" i="52254"/>
  <c r="N79" i="52254"/>
  <c r="V79" i="52254"/>
  <c r="M77" i="52254"/>
  <c r="M78" i="52254" s="1"/>
  <c r="V109" i="52254"/>
  <c r="V141" i="52254"/>
  <c r="N173" i="52254"/>
  <c r="V173" i="52254"/>
  <c r="N97" i="52254"/>
  <c r="V97" i="52254"/>
  <c r="V130" i="52254"/>
  <c r="V162" i="52254"/>
  <c r="V81" i="52254"/>
  <c r="N145" i="52254"/>
  <c r="V145" i="52254"/>
  <c r="N102" i="52254"/>
  <c r="V102" i="52254"/>
  <c r="N157" i="52254"/>
  <c r="V157" i="52254"/>
  <c r="N90" i="52254"/>
  <c r="V90" i="52254"/>
  <c r="N123" i="52254"/>
  <c r="V123" i="52254"/>
  <c r="V155" i="52254"/>
  <c r="N80" i="52254"/>
  <c r="N112" i="52254"/>
  <c r="V112" i="52254"/>
  <c r="N143" i="52254"/>
  <c r="V143" i="52254"/>
  <c r="N175" i="52254"/>
  <c r="V175" i="52254"/>
  <c r="V137" i="52254"/>
  <c r="N93" i="52254"/>
  <c r="V93" i="52254"/>
  <c r="V166" i="52254"/>
  <c r="N136" i="52254"/>
  <c r="V136" i="52254"/>
  <c r="N156" i="52254"/>
  <c r="V156" i="52254"/>
  <c r="N86" i="52254"/>
  <c r="V86" i="52254"/>
  <c r="N88" i="52254"/>
  <c r="V88" i="52254"/>
  <c r="N108" i="52254"/>
  <c r="V108" i="52254"/>
  <c r="V163" i="52254"/>
  <c r="V176" i="52254"/>
  <c r="D31" i="52255"/>
  <c r="N110" i="52254"/>
  <c r="D16" i="52252"/>
  <c r="D30" i="52255" s="1"/>
  <c r="C30" i="2"/>
  <c r="V20" i="2" s="1"/>
  <c r="B58" i="52254" s="1"/>
  <c r="N128" i="52254"/>
  <c r="N142" i="52254"/>
  <c r="N83" i="52254"/>
  <c r="N105" i="52254"/>
  <c r="N151" i="52254"/>
  <c r="N163" i="52254"/>
  <c r="N115" i="52254"/>
  <c r="N176" i="52254"/>
  <c r="N91" i="52254"/>
  <c r="N155" i="52254"/>
  <c r="N85" i="52254"/>
  <c r="N103" i="52254"/>
  <c r="N166" i="52254"/>
  <c r="N78" i="52254"/>
  <c r="N132" i="52254"/>
  <c r="N172" i="52254"/>
  <c r="N96" i="52254"/>
  <c r="N126" i="52254"/>
  <c r="N127" i="52254"/>
  <c r="N159" i="52254"/>
  <c r="N113" i="52254"/>
  <c r="N109" i="52254"/>
  <c r="N137" i="52254"/>
  <c r="N162" i="52254"/>
  <c r="N99" i="52254"/>
  <c r="N119" i="52254"/>
  <c r="N152" i="52254"/>
  <c r="N140" i="52254"/>
  <c r="N95" i="52254"/>
  <c r="N130" i="52254"/>
  <c r="N111" i="52254"/>
  <c r="N81" i="52254"/>
  <c r="N98" i="52254"/>
  <c r="N141" i="52254"/>
  <c r="N153" i="52254"/>
  <c r="N138" i="52254"/>
  <c r="N174" i="52254"/>
  <c r="N94" i="52254"/>
  <c r="N82" i="52254"/>
  <c r="N106" i="52254"/>
  <c r="N114" i="52254"/>
  <c r="N134" i="52254"/>
  <c r="N146" i="52254"/>
  <c r="N177" i="52254"/>
  <c r="L187" i="52254"/>
  <c r="H18" i="52256"/>
  <c r="B60" i="52254" l="1"/>
  <c r="B63" i="52254"/>
  <c r="D32" i="52255"/>
  <c r="B61" i="52254"/>
  <c r="B62" i="52254"/>
  <c r="B59" i="52254"/>
  <c r="N187" i="52254"/>
  <c r="N189" i="52254" s="1"/>
  <c r="N192" i="52254" s="1"/>
  <c r="O187" i="52254"/>
  <c r="M79" i="52254"/>
  <c r="M80" i="52254" s="1"/>
  <c r="M81" i="52254" s="1"/>
  <c r="H19" i="52256" s="1"/>
  <c r="I19" i="52256" s="1"/>
  <c r="B64" i="52254" l="1"/>
  <c r="F76" i="52254"/>
  <c r="I76" i="52254" s="1"/>
  <c r="G76" i="52254"/>
  <c r="G77" i="52254"/>
  <c r="F77" i="52254"/>
  <c r="I77" i="52254" s="1"/>
  <c r="F78" i="52254"/>
  <c r="I78" i="52254" s="1"/>
  <c r="F79" i="52254"/>
  <c r="I79" i="52254" s="1"/>
  <c r="G78" i="52254"/>
  <c r="G80" i="52254"/>
  <c r="G79" i="52254"/>
  <c r="F81" i="52254"/>
  <c r="I81" i="52254" s="1"/>
  <c r="F80" i="52254"/>
  <c r="I80" i="52254" s="1"/>
  <c r="G81" i="52254"/>
  <c r="G82" i="52254"/>
  <c r="F83" i="52254"/>
  <c r="I83" i="52254" s="1"/>
  <c r="F82" i="52254"/>
  <c r="I82" i="52254" s="1"/>
  <c r="G84" i="52254"/>
  <c r="G83" i="52254"/>
  <c r="G85" i="52254"/>
  <c r="F84" i="52254"/>
  <c r="I84" i="52254" s="1"/>
  <c r="G86" i="52254"/>
  <c r="F85" i="52254"/>
  <c r="I85" i="52254" s="1"/>
  <c r="F86" i="52254"/>
  <c r="I86" i="52254" s="1"/>
  <c r="F87" i="52254"/>
  <c r="I87" i="52254" s="1"/>
  <c r="F88" i="52254"/>
  <c r="I88" i="52254" s="1"/>
  <c r="G87" i="52254"/>
  <c r="G88" i="52254"/>
  <c r="F89" i="52254"/>
  <c r="I89" i="52254" s="1"/>
  <c r="G89" i="52254"/>
  <c r="G90" i="52254"/>
  <c r="G91" i="52254"/>
  <c r="F90" i="52254"/>
  <c r="I90" i="52254" s="1"/>
  <c r="F92" i="52254"/>
  <c r="I92" i="52254" s="1"/>
  <c r="F91" i="52254"/>
  <c r="I91" i="52254" s="1"/>
  <c r="F93" i="52254"/>
  <c r="I93" i="52254" s="1"/>
  <c r="G92" i="52254"/>
  <c r="G94" i="52254"/>
  <c r="G93" i="52254"/>
  <c r="F94" i="52254"/>
  <c r="I94" i="52254" s="1"/>
  <c r="F95" i="52254"/>
  <c r="I95" i="52254" s="1"/>
  <c r="F96" i="52254"/>
  <c r="I96" i="52254" s="1"/>
  <c r="G95" i="52254"/>
  <c r="F97" i="52254"/>
  <c r="I97" i="52254" s="1"/>
  <c r="G96" i="52254"/>
  <c r="F98" i="52254"/>
  <c r="I98" i="52254" s="1"/>
  <c r="G97" i="52254"/>
  <c r="G99" i="52254"/>
  <c r="G98" i="52254"/>
  <c r="G100" i="52254"/>
  <c r="F99" i="52254"/>
  <c r="I99" i="52254" s="1"/>
  <c r="F100" i="52254"/>
  <c r="I100" i="52254" s="1"/>
  <c r="F101" i="52254"/>
  <c r="I101" i="52254" s="1"/>
  <c r="G101" i="52254"/>
  <c r="G102" i="52254"/>
  <c r="F103" i="52254"/>
  <c r="I103" i="52254" s="1"/>
  <c r="F102" i="52254"/>
  <c r="I102" i="52254" s="1"/>
  <c r="G103" i="52254"/>
  <c r="G104" i="52254"/>
  <c r="F104" i="52254"/>
  <c r="I104" i="52254" s="1"/>
  <c r="G105" i="52254"/>
  <c r="F106" i="52254"/>
  <c r="I106" i="52254" s="1"/>
  <c r="F105" i="52254"/>
  <c r="I105" i="52254" s="1"/>
  <c r="F107" i="52254"/>
  <c r="I107" i="52254" s="1"/>
  <c r="G106" i="52254"/>
  <c r="F108" i="52254"/>
  <c r="I108" i="52254" s="1"/>
  <c r="G107" i="52254"/>
  <c r="G108" i="52254"/>
  <c r="F109" i="52254"/>
  <c r="I109" i="52254" s="1"/>
  <c r="G110" i="52254"/>
  <c r="G109" i="52254"/>
  <c r="F110" i="52254"/>
  <c r="I110" i="52254" s="1"/>
  <c r="F111" i="52254"/>
  <c r="G112" i="52254"/>
  <c r="G111" i="52254"/>
  <c r="G113" i="52254"/>
  <c r="F112" i="52254"/>
  <c r="I112" i="52254" s="1"/>
  <c r="F113" i="52254"/>
  <c r="I113" i="52254" s="1"/>
  <c r="G114" i="52254"/>
  <c r="F115" i="52254"/>
  <c r="F114" i="52254"/>
  <c r="I114" i="52254" s="1"/>
  <c r="G115" i="52254"/>
  <c r="G116" i="52254"/>
  <c r="F117" i="52254"/>
  <c r="F116" i="52254"/>
  <c r="I116" i="52254" s="1"/>
  <c r="G117" i="52254"/>
  <c r="F118" i="52254"/>
  <c r="G118" i="52254"/>
  <c r="G119" i="52254"/>
  <c r="G120" i="52254"/>
  <c r="F119" i="52254"/>
  <c r="I119" i="52254" s="1"/>
  <c r="F120" i="52254"/>
  <c r="I120" i="52254" s="1"/>
  <c r="G121" i="52254"/>
  <c r="F121" i="52254"/>
  <c r="I121" i="52254" s="1"/>
  <c r="G122" i="52254"/>
  <c r="F122" i="52254"/>
  <c r="I122" i="52254" s="1"/>
  <c r="G123" i="52254"/>
  <c r="G124" i="52254"/>
  <c r="F123" i="52254"/>
  <c r="I123" i="52254" s="1"/>
  <c r="F125" i="52254"/>
  <c r="F124" i="52254"/>
  <c r="I124" i="52254" s="1"/>
  <c r="F126" i="52254"/>
  <c r="G125" i="52254"/>
  <c r="I125" i="52254" s="1"/>
  <c r="G127" i="52254"/>
  <c r="G126" i="52254"/>
  <c r="G128" i="52254"/>
  <c r="F127" i="52254"/>
  <c r="I127" i="52254" s="1"/>
  <c r="G129" i="52254"/>
  <c r="F128" i="52254"/>
  <c r="I128" i="52254" s="1"/>
  <c r="G130" i="52254"/>
  <c r="F129" i="52254"/>
  <c r="I129" i="52254" s="1"/>
  <c r="F131" i="52254"/>
  <c r="F130" i="52254"/>
  <c r="G132" i="52254"/>
  <c r="G131" i="52254"/>
  <c r="F132" i="52254"/>
  <c r="I132" i="52254" s="1"/>
  <c r="G133" i="52254"/>
  <c r="F133" i="52254"/>
  <c r="G134" i="52254"/>
  <c r="F135" i="52254"/>
  <c r="F134" i="52254"/>
  <c r="F136" i="52254"/>
  <c r="G135" i="52254"/>
  <c r="G137" i="52254"/>
  <c r="G136" i="52254"/>
  <c r="I136" i="52254" s="1"/>
  <c r="G138" i="52254"/>
  <c r="F137" i="52254"/>
  <c r="I137" i="52254" s="1"/>
  <c r="F138" i="52254"/>
  <c r="G139" i="52254"/>
  <c r="F139" i="52254"/>
  <c r="G140" i="52254"/>
  <c r="I140" i="52254" s="1"/>
  <c r="F140" i="52254"/>
  <c r="G141" i="52254"/>
  <c r="I141" i="52254" s="1"/>
  <c r="F141" i="52254"/>
  <c r="G142" i="52254"/>
  <c r="I142" i="52254" s="1"/>
  <c r="F143" i="52254"/>
  <c r="F142" i="52254"/>
  <c r="G143" i="52254"/>
  <c r="I143" i="52254" s="1"/>
  <c r="F144" i="52254"/>
  <c r="F145" i="52254"/>
  <c r="G144" i="52254"/>
  <c r="I144" i="52254" s="1"/>
  <c r="F146" i="52254"/>
  <c r="G145" i="52254"/>
  <c r="I145" i="52254" s="1"/>
  <c r="G147" i="52254"/>
  <c r="I147" i="52254" s="1"/>
  <c r="G146" i="52254"/>
  <c r="I146" i="52254" s="1"/>
  <c r="F148" i="52254"/>
  <c r="F147" i="52254"/>
  <c r="G148" i="52254"/>
  <c r="I148" i="52254" s="1"/>
  <c r="F149" i="52254"/>
  <c r="G149" i="52254"/>
  <c r="I149" i="52254" s="1"/>
  <c r="G150" i="52254"/>
  <c r="I150" i="52254" s="1"/>
  <c r="F151" i="52254"/>
  <c r="F150" i="52254"/>
  <c r="F152" i="52254"/>
  <c r="G151" i="52254"/>
  <c r="I151" i="52254" s="1"/>
  <c r="G152" i="52254"/>
  <c r="I152" i="52254" s="1"/>
  <c r="F153" i="52254"/>
  <c r="G153" i="52254"/>
  <c r="I153" i="52254" s="1"/>
  <c r="G154" i="52254"/>
  <c r="F154" i="52254"/>
  <c r="F155" i="52254"/>
  <c r="G156" i="52254"/>
  <c r="G155" i="52254"/>
  <c r="I155" i="52254" s="1"/>
  <c r="G157" i="52254"/>
  <c r="I157" i="52254" s="1"/>
  <c r="F156" i="52254"/>
  <c r="I156" i="52254" s="1"/>
  <c r="G158" i="52254"/>
  <c r="I158" i="52254" s="1"/>
  <c r="F157" i="52254"/>
  <c r="G159" i="52254"/>
  <c r="I159" i="52254" s="1"/>
  <c r="F158" i="52254"/>
  <c r="F159" i="52254"/>
  <c r="G160" i="52254"/>
  <c r="I160" i="52254" s="1"/>
  <c r="F160" i="52254"/>
  <c r="F161" i="52254"/>
  <c r="F162" i="52254"/>
  <c r="G161" i="52254"/>
  <c r="I161" i="52254" s="1"/>
  <c r="G162" i="52254"/>
  <c r="I162" i="52254" s="1"/>
  <c r="F163" i="52254"/>
  <c r="F164" i="52254"/>
  <c r="G163" i="52254"/>
  <c r="I163" i="52254" s="1"/>
  <c r="F165" i="52254"/>
  <c r="G164" i="52254"/>
  <c r="I164" i="52254" s="1"/>
  <c r="G165" i="52254"/>
  <c r="I165" i="52254" s="1"/>
  <c r="G166" i="52254"/>
  <c r="F166" i="52254"/>
  <c r="F167" i="52254"/>
  <c r="G167" i="52254"/>
  <c r="I167" i="52254" s="1"/>
  <c r="G168" i="52254"/>
  <c r="I168" i="52254" s="1"/>
  <c r="F168" i="52254"/>
  <c r="F169" i="52254"/>
  <c r="F170" i="52254"/>
  <c r="G169" i="52254"/>
  <c r="I169" i="52254" s="1"/>
  <c r="F171" i="52254"/>
  <c r="G170" i="52254"/>
  <c r="I170" i="52254" s="1"/>
  <c r="G172" i="52254"/>
  <c r="I172" i="52254" s="1"/>
  <c r="G171" i="52254"/>
  <c r="I171" i="52254" s="1"/>
  <c r="G173" i="52254"/>
  <c r="I173" i="52254" s="1"/>
  <c r="F172" i="52254"/>
  <c r="F174" i="52254"/>
  <c r="F173" i="52254"/>
  <c r="G174" i="52254"/>
  <c r="I174" i="52254" s="1"/>
  <c r="F175" i="52254"/>
  <c r="G175" i="52254"/>
  <c r="I175" i="52254" s="1"/>
  <c r="F176" i="52254"/>
  <c r="F177" i="52254"/>
  <c r="G176" i="52254"/>
  <c r="I176" i="52254" s="1"/>
  <c r="G178" i="52254"/>
  <c r="I178" i="52254" s="1"/>
  <c r="G177" i="52254"/>
  <c r="I177" i="52254" s="1"/>
  <c r="F178" i="52254"/>
  <c r="G179" i="52254"/>
  <c r="I179" i="52254" s="1"/>
  <c r="F180" i="52254"/>
  <c r="F179" i="52254"/>
  <c r="G180" i="52254"/>
  <c r="I180" i="52254" s="1"/>
  <c r="F181" i="52254"/>
  <c r="G182" i="52254"/>
  <c r="I182" i="52254" s="1"/>
  <c r="G181" i="52254"/>
  <c r="I181" i="52254" s="1"/>
  <c r="F182" i="52254"/>
  <c r="F183" i="52254"/>
  <c r="G184" i="52254"/>
  <c r="I184" i="52254" s="1"/>
  <c r="G183" i="52254"/>
  <c r="I183" i="52254" s="1"/>
  <c r="F184" i="52254"/>
  <c r="F185" i="52254"/>
  <c r="F186" i="52254"/>
  <c r="G186" i="52254"/>
  <c r="I186" i="52254" s="1"/>
  <c r="G185" i="52254"/>
  <c r="I185" i="52254" s="1"/>
  <c r="N191" i="52254"/>
  <c r="U42" i="52256"/>
  <c r="N190" i="52254"/>
  <c r="M82" i="52254"/>
  <c r="M83" i="52254" s="1"/>
  <c r="M84" i="52254" s="1"/>
  <c r="M85" i="52254" s="1"/>
  <c r="M86" i="52254" s="1"/>
  <c r="H20" i="52256" s="1"/>
  <c r="I20" i="52256" s="1"/>
  <c r="I138" i="52254" l="1"/>
  <c r="I135" i="52254"/>
  <c r="I131" i="52254"/>
  <c r="I130" i="52254"/>
  <c r="I126" i="52254"/>
  <c r="I111" i="52254"/>
  <c r="J183" i="52254"/>
  <c r="O183" i="52254"/>
  <c r="X183" i="52254" s="1"/>
  <c r="Q183" i="52254" s="1"/>
  <c r="J168" i="52254"/>
  <c r="O168" i="52254"/>
  <c r="X168" i="52254" s="1"/>
  <c r="Q168" i="52254" s="1"/>
  <c r="J160" i="52254"/>
  <c r="O160" i="52254"/>
  <c r="X160" i="52254" s="1"/>
  <c r="Q160" i="52254" s="1"/>
  <c r="J33" i="52256"/>
  <c r="O33" i="52256" s="1"/>
  <c r="J151" i="52254"/>
  <c r="O151" i="52254"/>
  <c r="X151" i="52254" s="1"/>
  <c r="Q151" i="52254" s="1"/>
  <c r="J140" i="52254"/>
  <c r="O140" i="52254"/>
  <c r="X140" i="52254" s="1"/>
  <c r="Q140" i="52254" s="1"/>
  <c r="J29" i="52256"/>
  <c r="O29" i="52256" s="1"/>
  <c r="J131" i="52254"/>
  <c r="O131" i="52254"/>
  <c r="X131" i="52254" s="1"/>
  <c r="Q131" i="52254" s="1"/>
  <c r="J123" i="52254"/>
  <c r="O123" i="52254"/>
  <c r="X123" i="52254" s="1"/>
  <c r="Q123" i="52254" s="1"/>
  <c r="J76" i="52254"/>
  <c r="J18" i="52256"/>
  <c r="O76" i="52254"/>
  <c r="J38" i="52256"/>
  <c r="O38" i="52256" s="1"/>
  <c r="J176" i="52254"/>
  <c r="O176" i="52254"/>
  <c r="X176" i="52254" s="1"/>
  <c r="Q176" i="52254" s="1"/>
  <c r="J184" i="52254"/>
  <c r="O184" i="52254"/>
  <c r="X184" i="52254" s="1"/>
  <c r="Q184" i="52254" s="1"/>
  <c r="J182" i="52254"/>
  <c r="O182" i="52254"/>
  <c r="X182" i="52254" s="1"/>
  <c r="Q182" i="52254" s="1"/>
  <c r="J178" i="52254"/>
  <c r="O178" i="52254"/>
  <c r="X178" i="52254" s="1"/>
  <c r="Q178" i="52254" s="1"/>
  <c r="J175" i="52254"/>
  <c r="O175" i="52254"/>
  <c r="X175" i="52254" s="1"/>
  <c r="Q175" i="52254" s="1"/>
  <c r="J172" i="52254"/>
  <c r="O172" i="52254"/>
  <c r="X172" i="52254" s="1"/>
  <c r="Q172" i="52254" s="1"/>
  <c r="J167" i="52254"/>
  <c r="O167" i="52254"/>
  <c r="X167" i="52254" s="1"/>
  <c r="Q167" i="52254" s="1"/>
  <c r="J165" i="52254"/>
  <c r="O165" i="52254"/>
  <c r="X165" i="52254" s="1"/>
  <c r="Q165" i="52254" s="1"/>
  <c r="J158" i="52254"/>
  <c r="O158" i="52254"/>
  <c r="X158" i="52254" s="1"/>
  <c r="Q158" i="52254" s="1"/>
  <c r="J153" i="52254"/>
  <c r="O153" i="52254"/>
  <c r="X153" i="52254" s="1"/>
  <c r="Q153" i="52254" s="1"/>
  <c r="J149" i="52254"/>
  <c r="O149" i="52254"/>
  <c r="X149" i="52254" s="1"/>
  <c r="Q149" i="52254" s="1"/>
  <c r="J143" i="52254"/>
  <c r="O143" i="52254"/>
  <c r="X143" i="52254" s="1"/>
  <c r="Q143" i="52254" s="1"/>
  <c r="J138" i="52254"/>
  <c r="O138" i="52254"/>
  <c r="X138" i="52254" s="1"/>
  <c r="Q138" i="52254" s="1"/>
  <c r="J27" i="52256"/>
  <c r="O27" i="52256" s="1"/>
  <c r="J121" i="52254"/>
  <c r="O121" i="52254"/>
  <c r="X121" i="52254" s="1"/>
  <c r="Q121" i="52254" s="1"/>
  <c r="J113" i="52254"/>
  <c r="O113" i="52254"/>
  <c r="X113" i="52254" s="1"/>
  <c r="Q113" i="52254" s="1"/>
  <c r="J108" i="52254"/>
  <c r="O108" i="52254"/>
  <c r="X108" i="52254" s="1"/>
  <c r="Q108" i="52254" s="1"/>
  <c r="J24" i="52256"/>
  <c r="O24" i="52256" s="1"/>
  <c r="J106" i="52254"/>
  <c r="O106" i="52254"/>
  <c r="X106" i="52254" s="1"/>
  <c r="Q106" i="52254" s="1"/>
  <c r="J98" i="52254"/>
  <c r="O98" i="52254"/>
  <c r="X98" i="52254" s="1"/>
  <c r="Q98" i="52254" s="1"/>
  <c r="J22" i="52256"/>
  <c r="O22" i="52256" s="1"/>
  <c r="J96" i="52254"/>
  <c r="O96" i="52254"/>
  <c r="X96" i="52254" s="1"/>
  <c r="Q96" i="52254" s="1"/>
  <c r="J92" i="52254"/>
  <c r="O92" i="52254"/>
  <c r="X92" i="52254" s="1"/>
  <c r="Q92" i="52254" s="1"/>
  <c r="J88" i="52254"/>
  <c r="O88" i="52254"/>
  <c r="J77" i="52254"/>
  <c r="O77" i="52254"/>
  <c r="X77" i="52254" s="1"/>
  <c r="Q77" i="52254" s="1"/>
  <c r="C64" i="52254"/>
  <c r="J51" i="52254"/>
  <c r="J55" i="52254"/>
  <c r="J54" i="52254"/>
  <c r="I52" i="52254"/>
  <c r="K52" i="52254" s="1"/>
  <c r="D23" i="52256" s="1"/>
  <c r="H37" i="52255" s="1"/>
  <c r="I51" i="52254"/>
  <c r="K51" i="52254" s="1"/>
  <c r="D22" i="52256" s="1"/>
  <c r="H36" i="52255" s="1"/>
  <c r="I56" i="52254"/>
  <c r="I53" i="52254"/>
  <c r="K53" i="52254" s="1"/>
  <c r="D24" i="52256" s="1"/>
  <c r="H38" i="52255" s="1"/>
  <c r="J56" i="52254"/>
  <c r="J53" i="52254"/>
  <c r="I55" i="52254"/>
  <c r="K55" i="52254" s="1"/>
  <c r="D26" i="52256" s="1"/>
  <c r="H40" i="52255" s="1"/>
  <c r="J52" i="52254"/>
  <c r="I54" i="52254"/>
  <c r="K54" i="52254" s="1"/>
  <c r="D25" i="52256" s="1"/>
  <c r="H39" i="52255" s="1"/>
  <c r="I139" i="52254"/>
  <c r="I133" i="52254"/>
  <c r="I117" i="52254"/>
  <c r="I115" i="52254"/>
  <c r="J40" i="52256"/>
  <c r="O40" i="52256" s="1"/>
  <c r="J186" i="52254"/>
  <c r="O186" i="52254"/>
  <c r="X186" i="52254" s="1"/>
  <c r="Q186" i="52254" s="1"/>
  <c r="J169" i="52254"/>
  <c r="O169" i="52254"/>
  <c r="X169" i="52254" s="1"/>
  <c r="Q169" i="52254" s="1"/>
  <c r="J163" i="52254"/>
  <c r="O163" i="52254"/>
  <c r="X163" i="52254" s="1"/>
  <c r="Q163" i="52254" s="1"/>
  <c r="J145" i="52254"/>
  <c r="O145" i="52254"/>
  <c r="X145" i="52254" s="1"/>
  <c r="Q145" i="52254" s="1"/>
  <c r="J137" i="52254"/>
  <c r="O137" i="52254"/>
  <c r="X137" i="52254" s="1"/>
  <c r="Q137" i="52254" s="1"/>
  <c r="J129" i="52254"/>
  <c r="O129" i="52254"/>
  <c r="X129" i="52254" s="1"/>
  <c r="Q129" i="52254" s="1"/>
  <c r="J119" i="52254"/>
  <c r="O119" i="52254"/>
  <c r="X119" i="52254" s="1"/>
  <c r="Q119" i="52254" s="1"/>
  <c r="J105" i="52254"/>
  <c r="O105" i="52254"/>
  <c r="X105" i="52254" s="1"/>
  <c r="Q105" i="52254" s="1"/>
  <c r="J78" i="52254"/>
  <c r="O78" i="52254"/>
  <c r="X78" i="52254" s="1"/>
  <c r="Q78" i="52254" s="1"/>
  <c r="J185" i="52254"/>
  <c r="O185" i="52254"/>
  <c r="X185" i="52254" s="1"/>
  <c r="Q185" i="52254" s="1"/>
  <c r="J180" i="52254"/>
  <c r="O180" i="52254"/>
  <c r="X180" i="52254" s="1"/>
  <c r="Q180" i="52254" s="1"/>
  <c r="J174" i="52254"/>
  <c r="O174" i="52254"/>
  <c r="X174" i="52254" s="1"/>
  <c r="Q174" i="52254" s="1"/>
  <c r="J173" i="52254"/>
  <c r="O173" i="52254"/>
  <c r="X173" i="52254" s="1"/>
  <c r="Q173" i="52254" s="1"/>
  <c r="J162" i="52254"/>
  <c r="O162" i="52254"/>
  <c r="X162" i="52254" s="1"/>
  <c r="Q162" i="52254" s="1"/>
  <c r="J159" i="52254"/>
  <c r="O159" i="52254"/>
  <c r="X159" i="52254" s="1"/>
  <c r="Q159" i="52254" s="1"/>
  <c r="J157" i="52254"/>
  <c r="O157" i="52254"/>
  <c r="X157" i="52254" s="1"/>
  <c r="Q157" i="52254" s="1"/>
  <c r="J152" i="52254"/>
  <c r="O152" i="52254"/>
  <c r="X152" i="52254" s="1"/>
  <c r="Q152" i="52254" s="1"/>
  <c r="J148" i="52254"/>
  <c r="O148" i="52254"/>
  <c r="X148" i="52254" s="1"/>
  <c r="Q148" i="52254" s="1"/>
  <c r="J147" i="52254"/>
  <c r="O147" i="52254"/>
  <c r="X147" i="52254" s="1"/>
  <c r="Q147" i="52254" s="1"/>
  <c r="J132" i="52254"/>
  <c r="O132" i="52254"/>
  <c r="X132" i="52254" s="1"/>
  <c r="Q132" i="52254" s="1"/>
  <c r="J122" i="52254"/>
  <c r="O122" i="52254"/>
  <c r="X122" i="52254" s="1"/>
  <c r="Q122" i="52254" s="1"/>
  <c r="J120" i="52254"/>
  <c r="O120" i="52254"/>
  <c r="X120" i="52254" s="1"/>
  <c r="Q120" i="52254" s="1"/>
  <c r="J110" i="52254"/>
  <c r="O110" i="52254"/>
  <c r="X110" i="52254" s="1"/>
  <c r="Q110" i="52254" s="1"/>
  <c r="J107" i="52254"/>
  <c r="O107" i="52254"/>
  <c r="X107" i="52254" s="1"/>
  <c r="Q107" i="52254" s="1"/>
  <c r="J104" i="52254"/>
  <c r="O104" i="52254"/>
  <c r="X104" i="52254" s="1"/>
  <c r="Q104" i="52254" s="1"/>
  <c r="J103" i="52254"/>
  <c r="O103" i="52254"/>
  <c r="X103" i="52254" s="1"/>
  <c r="Q103" i="52254" s="1"/>
  <c r="J100" i="52254"/>
  <c r="O100" i="52254"/>
  <c r="X100" i="52254" s="1"/>
  <c r="Q100" i="52254" s="1"/>
  <c r="J97" i="52254"/>
  <c r="O97" i="52254"/>
  <c r="X97" i="52254" s="1"/>
  <c r="Q97" i="52254" s="1"/>
  <c r="J94" i="52254"/>
  <c r="O94" i="52254"/>
  <c r="X94" i="52254" s="1"/>
  <c r="Q94" i="52254" s="1"/>
  <c r="J93" i="52254"/>
  <c r="O93" i="52254"/>
  <c r="X93" i="52254" s="1"/>
  <c r="Q93" i="52254" s="1"/>
  <c r="J86" i="52254"/>
  <c r="J20" i="52256"/>
  <c r="O20" i="52256" s="1"/>
  <c r="O86" i="52254"/>
  <c r="X86" i="52254" s="1"/>
  <c r="Q86" i="52254" s="1"/>
  <c r="J83" i="52254"/>
  <c r="O83" i="52254"/>
  <c r="X83" i="52254" s="1"/>
  <c r="Q83" i="52254" s="1"/>
  <c r="J19" i="52256"/>
  <c r="J81" i="52254"/>
  <c r="O81" i="52254"/>
  <c r="X81" i="52254" s="1"/>
  <c r="Q81" i="52254" s="1"/>
  <c r="J79" i="52254"/>
  <c r="O79" i="52254"/>
  <c r="X79" i="52254" s="1"/>
  <c r="Q79" i="52254" s="1"/>
  <c r="I166" i="52254"/>
  <c r="I154" i="52254"/>
  <c r="I118" i="52254"/>
  <c r="J39" i="52256"/>
  <c r="O39" i="52256" s="1"/>
  <c r="J181" i="52254"/>
  <c r="O181" i="52254"/>
  <c r="X181" i="52254" s="1"/>
  <c r="Q181" i="52254" s="1"/>
  <c r="J177" i="52254"/>
  <c r="O177" i="52254"/>
  <c r="X177" i="52254" s="1"/>
  <c r="Q177" i="52254" s="1"/>
  <c r="J171" i="52254"/>
  <c r="J37" i="52256"/>
  <c r="O37" i="52256" s="1"/>
  <c r="O171" i="52254"/>
  <c r="X171" i="52254" s="1"/>
  <c r="Q171" i="52254" s="1"/>
  <c r="J35" i="52256"/>
  <c r="O35" i="52256" s="1"/>
  <c r="J161" i="52254"/>
  <c r="O161" i="52254"/>
  <c r="X161" i="52254" s="1"/>
  <c r="Q161" i="52254" s="1"/>
  <c r="J155" i="52254"/>
  <c r="O155" i="52254"/>
  <c r="X155" i="52254" s="1"/>
  <c r="Q155" i="52254" s="1"/>
  <c r="J150" i="52254"/>
  <c r="O150" i="52254"/>
  <c r="X150" i="52254" s="1"/>
  <c r="Q150" i="52254" s="1"/>
  <c r="J142" i="52254"/>
  <c r="O142" i="52254"/>
  <c r="X142" i="52254" s="1"/>
  <c r="Q142" i="52254" s="1"/>
  <c r="J135" i="52254"/>
  <c r="O135" i="52254"/>
  <c r="X135" i="52254" s="1"/>
  <c r="Q135" i="52254" s="1"/>
  <c r="J127" i="52254"/>
  <c r="O127" i="52254"/>
  <c r="X127" i="52254" s="1"/>
  <c r="Q127" i="52254" s="1"/>
  <c r="J125" i="52254"/>
  <c r="O125" i="52254"/>
  <c r="X125" i="52254" s="1"/>
  <c r="Q125" i="52254" s="1"/>
  <c r="J25" i="52256"/>
  <c r="O25" i="52256" s="1"/>
  <c r="J111" i="52254"/>
  <c r="O111" i="52254"/>
  <c r="X111" i="52254" s="1"/>
  <c r="Q111" i="52254" s="1"/>
  <c r="J99" i="52254"/>
  <c r="O99" i="52254"/>
  <c r="X99" i="52254" s="1"/>
  <c r="Q99" i="52254" s="1"/>
  <c r="J21" i="52256"/>
  <c r="O21" i="52256" s="1"/>
  <c r="J91" i="52254"/>
  <c r="O91" i="52254"/>
  <c r="X91" i="52254" s="1"/>
  <c r="Q91" i="52254" s="1"/>
  <c r="J85" i="52254"/>
  <c r="O85" i="52254"/>
  <c r="X85" i="52254" s="1"/>
  <c r="Q85" i="52254" s="1"/>
  <c r="J179" i="52254"/>
  <c r="O179" i="52254"/>
  <c r="X179" i="52254" s="1"/>
  <c r="Q179" i="52254" s="1"/>
  <c r="J170" i="52254"/>
  <c r="O170" i="52254"/>
  <c r="X170" i="52254" s="1"/>
  <c r="Q170" i="52254" s="1"/>
  <c r="J164" i="52254"/>
  <c r="O164" i="52254"/>
  <c r="X164" i="52254" s="1"/>
  <c r="Q164" i="52254" s="1"/>
  <c r="J34" i="52256"/>
  <c r="O34" i="52256" s="1"/>
  <c r="J156" i="52254"/>
  <c r="O156" i="52254"/>
  <c r="X156" i="52254" s="1"/>
  <c r="Q156" i="52254" s="1"/>
  <c r="J32" i="52256"/>
  <c r="O32" i="52256" s="1"/>
  <c r="J146" i="52254"/>
  <c r="O146" i="52254"/>
  <c r="X146" i="52254" s="1"/>
  <c r="Q146" i="52254" s="1"/>
  <c r="J144" i="52254"/>
  <c r="O144" i="52254"/>
  <c r="X144" i="52254" s="1"/>
  <c r="Q144" i="52254" s="1"/>
  <c r="J141" i="52254"/>
  <c r="J31" i="52256"/>
  <c r="O31" i="52256" s="1"/>
  <c r="O141" i="52254"/>
  <c r="X141" i="52254" s="1"/>
  <c r="Q141" i="52254" s="1"/>
  <c r="J30" i="52256"/>
  <c r="O30" i="52256" s="1"/>
  <c r="J136" i="52254"/>
  <c r="O136" i="52254"/>
  <c r="X136" i="52254" s="1"/>
  <c r="Q136" i="52254" s="1"/>
  <c r="J130" i="52254"/>
  <c r="O130" i="52254"/>
  <c r="X130" i="52254" s="1"/>
  <c r="Q130" i="52254" s="1"/>
  <c r="J128" i="52254"/>
  <c r="O128" i="52254"/>
  <c r="X128" i="52254" s="1"/>
  <c r="Q128" i="52254" s="1"/>
  <c r="J126" i="52254"/>
  <c r="J28" i="52256"/>
  <c r="O28" i="52256" s="1"/>
  <c r="O126" i="52254"/>
  <c r="X126" i="52254" s="1"/>
  <c r="Q126" i="52254" s="1"/>
  <c r="J124" i="52254"/>
  <c r="O124" i="52254"/>
  <c r="X124" i="52254" s="1"/>
  <c r="Q124" i="52254" s="1"/>
  <c r="J26" i="52256"/>
  <c r="O26" i="52256" s="1"/>
  <c r="J116" i="52254"/>
  <c r="O116" i="52254"/>
  <c r="X116" i="52254" s="1"/>
  <c r="Q116" i="52254" s="1"/>
  <c r="J114" i="52254"/>
  <c r="O114" i="52254"/>
  <c r="X114" i="52254" s="1"/>
  <c r="Q114" i="52254" s="1"/>
  <c r="J112" i="52254"/>
  <c r="O112" i="52254"/>
  <c r="X112" i="52254" s="1"/>
  <c r="Q112" i="52254" s="1"/>
  <c r="J109" i="52254"/>
  <c r="O109" i="52254"/>
  <c r="X109" i="52254" s="1"/>
  <c r="Q109" i="52254" s="1"/>
  <c r="J102" i="52254"/>
  <c r="O102" i="52254"/>
  <c r="X102" i="52254" s="1"/>
  <c r="Q102" i="52254" s="1"/>
  <c r="J23" i="52256"/>
  <c r="O23" i="52256" s="1"/>
  <c r="J101" i="52254"/>
  <c r="O101" i="52254"/>
  <c r="X101" i="52254" s="1"/>
  <c r="Q101" i="52254" s="1"/>
  <c r="J95" i="52254"/>
  <c r="O95" i="52254"/>
  <c r="X95" i="52254" s="1"/>
  <c r="Q95" i="52254" s="1"/>
  <c r="J90" i="52254"/>
  <c r="O90" i="52254"/>
  <c r="X90" i="52254" s="1"/>
  <c r="Q90" i="52254" s="1"/>
  <c r="J89" i="52254"/>
  <c r="O89" i="52254"/>
  <c r="X89" i="52254" s="1"/>
  <c r="Q89" i="52254" s="1"/>
  <c r="J87" i="52254"/>
  <c r="O87" i="52254"/>
  <c r="J84" i="52254"/>
  <c r="O84" i="52254"/>
  <c r="J82" i="52254"/>
  <c r="O82" i="52254"/>
  <c r="X82" i="52254" s="1"/>
  <c r="Q82" i="52254" s="1"/>
  <c r="J80" i="52254"/>
  <c r="O80" i="52254"/>
  <c r="X80" i="52254" s="1"/>
  <c r="Q80" i="52254" s="1"/>
  <c r="I134" i="52254"/>
  <c r="W76" i="52254"/>
  <c r="V187" i="52254"/>
  <c r="M87" i="52254"/>
  <c r="M88" i="52254" s="1"/>
  <c r="M89" i="52254" s="1"/>
  <c r="M90" i="52254" s="1"/>
  <c r="M91" i="52254" s="1"/>
  <c r="M92" i="52254" s="1"/>
  <c r="M93" i="52254" s="1"/>
  <c r="M94" i="52254" s="1"/>
  <c r="M95" i="52254" s="1"/>
  <c r="M96" i="52254" s="1"/>
  <c r="K56" i="52254" l="1"/>
  <c r="D44" i="52255" s="1"/>
  <c r="J134" i="52254"/>
  <c r="O134" i="52254"/>
  <c r="X134" i="52254" s="1"/>
  <c r="Q134" i="52254" s="1"/>
  <c r="J36" i="52256"/>
  <c r="O36" i="52256" s="1"/>
  <c r="J166" i="52254"/>
  <c r="O166" i="52254"/>
  <c r="X166" i="52254" s="1"/>
  <c r="Q166" i="52254" s="1"/>
  <c r="J139" i="52254"/>
  <c r="O139" i="52254"/>
  <c r="X139" i="52254" s="1"/>
  <c r="Q139" i="52254" s="1"/>
  <c r="J118" i="52254"/>
  <c r="O118" i="52254"/>
  <c r="X118" i="52254" s="1"/>
  <c r="Q118" i="52254" s="1"/>
  <c r="O19" i="52256"/>
  <c r="K19" i="52256"/>
  <c r="M19" i="52256" s="1"/>
  <c r="J117" i="52254"/>
  <c r="O117" i="52254"/>
  <c r="X117" i="52254" s="1"/>
  <c r="Q117" i="52254" s="1"/>
  <c r="P55" i="52254" s="1"/>
  <c r="L40" i="52255" s="1"/>
  <c r="X76" i="52254"/>
  <c r="Q76" i="52254" s="1"/>
  <c r="P51" i="52254" s="1"/>
  <c r="L36" i="52255" s="1"/>
  <c r="J154" i="52254"/>
  <c r="O154" i="52254"/>
  <c r="X154" i="52254" s="1"/>
  <c r="Q154" i="52254" s="1"/>
  <c r="J133" i="52254"/>
  <c r="O133" i="52254"/>
  <c r="X133" i="52254" s="1"/>
  <c r="Q133" i="52254" s="1"/>
  <c r="O18" i="52256"/>
  <c r="K18" i="52256"/>
  <c r="J115" i="52254"/>
  <c r="O115" i="52254"/>
  <c r="X115" i="52254" s="1"/>
  <c r="Q115" i="52254" s="1"/>
  <c r="K20" i="52256"/>
  <c r="M20" i="52256" s="1"/>
  <c r="W77" i="52254"/>
  <c r="W78" i="52254" s="1"/>
  <c r="W79" i="52254" s="1"/>
  <c r="H21" i="52256"/>
  <c r="I21" i="52256" s="1"/>
  <c r="K21" i="52256" s="1"/>
  <c r="M21" i="52256" s="1"/>
  <c r="M97" i="52254"/>
  <c r="M98" i="52254" s="1"/>
  <c r="M99" i="52254" s="1"/>
  <c r="M100" i="52254" s="1"/>
  <c r="M101" i="52254" s="1"/>
  <c r="H22" i="52256"/>
  <c r="P52" i="52254" l="1"/>
  <c r="L37" i="52255" s="1"/>
  <c r="D43" i="52256"/>
  <c r="H58" i="52254"/>
  <c r="P54" i="52254"/>
  <c r="L39" i="52255" s="1"/>
  <c r="M18" i="52256"/>
  <c r="O189" i="52254"/>
  <c r="W80" i="52254"/>
  <c r="W81" i="52254" s="1"/>
  <c r="W82" i="52254" s="1"/>
  <c r="W83" i="52254" s="1"/>
  <c r="W84" i="52254" s="1"/>
  <c r="W85" i="52254" s="1"/>
  <c r="W86" i="52254" s="1"/>
  <c r="W87" i="52254" s="1"/>
  <c r="W88" i="52254" s="1"/>
  <c r="W89" i="52254" s="1"/>
  <c r="W90" i="52254" s="1"/>
  <c r="W91" i="52254" s="1"/>
  <c r="W92" i="52254" s="1"/>
  <c r="W93" i="52254" s="1"/>
  <c r="W94" i="52254" s="1"/>
  <c r="W95" i="52254" s="1"/>
  <c r="W96" i="52254" s="1"/>
  <c r="W97" i="52254" s="1"/>
  <c r="W98" i="52254" s="1"/>
  <c r="W99" i="52254" s="1"/>
  <c r="W100" i="52254" s="1"/>
  <c r="W101" i="52254" s="1"/>
  <c r="W102" i="52254" s="1"/>
  <c r="W103" i="52254" s="1"/>
  <c r="W104" i="52254" s="1"/>
  <c r="W105" i="52254" s="1"/>
  <c r="W106" i="52254" s="1"/>
  <c r="W107" i="52254" s="1"/>
  <c r="W108" i="52254" s="1"/>
  <c r="W109" i="52254" s="1"/>
  <c r="W110" i="52254" s="1"/>
  <c r="W111" i="52254" s="1"/>
  <c r="W112" i="52254" s="1"/>
  <c r="W113" i="52254" s="1"/>
  <c r="W114" i="52254" s="1"/>
  <c r="W115" i="52254" s="1"/>
  <c r="W116" i="52254" s="1"/>
  <c r="W117" i="52254" s="1"/>
  <c r="W118" i="52254" s="1"/>
  <c r="W119" i="52254" s="1"/>
  <c r="W120" i="52254" s="1"/>
  <c r="W121" i="52254" s="1"/>
  <c r="W122" i="52254" s="1"/>
  <c r="W123" i="52254" s="1"/>
  <c r="W124" i="52254" s="1"/>
  <c r="W125" i="52254" s="1"/>
  <c r="W126" i="52254" s="1"/>
  <c r="W127" i="52254" s="1"/>
  <c r="W128" i="52254" s="1"/>
  <c r="W129" i="52254" s="1"/>
  <c r="W130" i="52254" s="1"/>
  <c r="W131" i="52254" s="1"/>
  <c r="W132" i="52254" s="1"/>
  <c r="W133" i="52254" s="1"/>
  <c r="W134" i="52254" s="1"/>
  <c r="W135" i="52254" s="1"/>
  <c r="W136" i="52254" s="1"/>
  <c r="W137" i="52254" s="1"/>
  <c r="W138" i="52254" s="1"/>
  <c r="W139" i="52254" s="1"/>
  <c r="W140" i="52254" s="1"/>
  <c r="W141" i="52254" s="1"/>
  <c r="W142" i="52254" s="1"/>
  <c r="W143" i="52254" s="1"/>
  <c r="W144" i="52254" s="1"/>
  <c r="W145" i="52254" s="1"/>
  <c r="W146" i="52254" s="1"/>
  <c r="W147" i="52254" s="1"/>
  <c r="W148" i="52254" s="1"/>
  <c r="W149" i="52254" s="1"/>
  <c r="W150" i="52254" s="1"/>
  <c r="W151" i="52254" s="1"/>
  <c r="W152" i="52254" s="1"/>
  <c r="W153" i="52254" s="1"/>
  <c r="W154" i="52254" s="1"/>
  <c r="W155" i="52254" s="1"/>
  <c r="W156" i="52254" s="1"/>
  <c r="W157" i="52254" s="1"/>
  <c r="W158" i="52254" s="1"/>
  <c r="W159" i="52254" s="1"/>
  <c r="W160" i="52254" s="1"/>
  <c r="W161" i="52254" s="1"/>
  <c r="W162" i="52254" s="1"/>
  <c r="W163" i="52254" s="1"/>
  <c r="W164" i="52254" s="1"/>
  <c r="W165" i="52254" s="1"/>
  <c r="W166" i="52254" s="1"/>
  <c r="W167" i="52254" s="1"/>
  <c r="W168" i="52254" s="1"/>
  <c r="W169" i="52254" s="1"/>
  <c r="W170" i="52254" s="1"/>
  <c r="W171" i="52254" s="1"/>
  <c r="W172" i="52254" s="1"/>
  <c r="W173" i="52254" s="1"/>
  <c r="W174" i="52254" s="1"/>
  <c r="W175" i="52254" s="1"/>
  <c r="W176" i="52254" s="1"/>
  <c r="W177" i="52254" s="1"/>
  <c r="W178" i="52254" s="1"/>
  <c r="W179" i="52254" s="1"/>
  <c r="W180" i="52254" s="1"/>
  <c r="W181" i="52254" s="1"/>
  <c r="W182" i="52254" s="1"/>
  <c r="W183" i="52254" s="1"/>
  <c r="W184" i="52254" s="1"/>
  <c r="W185" i="52254" s="1"/>
  <c r="W186" i="52254" s="1"/>
  <c r="I22" i="52256"/>
  <c r="K22" i="52256" s="1"/>
  <c r="M22" i="52256" s="1"/>
  <c r="M102" i="52254"/>
  <c r="M103" i="52254" s="1"/>
  <c r="M104" i="52254" s="1"/>
  <c r="M105" i="52254" s="1"/>
  <c r="M106" i="52254" s="1"/>
  <c r="H23" i="52256"/>
  <c r="I23" i="52256" s="1"/>
  <c r="K23" i="52256" s="1"/>
  <c r="M23" i="52256" s="1"/>
  <c r="O190" i="52254" l="1"/>
  <c r="P190" i="52254" s="1"/>
  <c r="K41" i="52256"/>
  <c r="P189" i="52254"/>
  <c r="P191" i="52254" s="1"/>
  <c r="O192" i="52254"/>
  <c r="P192" i="52254" s="1"/>
  <c r="O191" i="52254"/>
  <c r="M107" i="52254"/>
  <c r="M108" i="52254" s="1"/>
  <c r="M109" i="52254" s="1"/>
  <c r="M110" i="52254" s="1"/>
  <c r="M111" i="52254" s="1"/>
  <c r="H24" i="52256"/>
  <c r="D17" i="52256" l="1"/>
  <c r="H31" i="52255" s="1"/>
  <c r="L31" i="52255" s="1"/>
  <c r="E30" i="2"/>
  <c r="E27" i="2"/>
  <c r="X84" i="52254" s="1"/>
  <c r="D16" i="52256"/>
  <c r="H30" i="52255" s="1"/>
  <c r="L30" i="52255" s="1"/>
  <c r="D18" i="52256"/>
  <c r="H32" i="52255" s="1"/>
  <c r="L32" i="52255" s="1"/>
  <c r="E31" i="2"/>
  <c r="H25" i="52256"/>
  <c r="I25" i="52256" s="1"/>
  <c r="K25" i="52256" s="1"/>
  <c r="M25" i="52256" s="1"/>
  <c r="M112" i="52254"/>
  <c r="M113" i="52254" s="1"/>
  <c r="M114" i="52254" s="1"/>
  <c r="M115" i="52254" s="1"/>
  <c r="M116" i="52254" s="1"/>
  <c r="I24" i="52256"/>
  <c r="K24" i="52256" s="1"/>
  <c r="X88" i="52254" l="1"/>
  <c r="Q88" i="52254" s="1"/>
  <c r="G31" i="2"/>
  <c r="G27" i="2" s="1"/>
  <c r="G30" i="2"/>
  <c r="X87" i="52254"/>
  <c r="X187" i="52254" s="1"/>
  <c r="Q84" i="52254"/>
  <c r="M24" i="52256"/>
  <c r="M117" i="52254"/>
  <c r="M118" i="52254" s="1"/>
  <c r="M119" i="52254" s="1"/>
  <c r="M120" i="52254" s="1"/>
  <c r="M121" i="52254" s="1"/>
  <c r="H26" i="52256"/>
  <c r="I26" i="52256" s="1"/>
  <c r="K26" i="52256" s="1"/>
  <c r="M26" i="52256" s="1"/>
  <c r="Y88" i="52254" l="1"/>
  <c r="Y114" i="52254"/>
  <c r="Y180" i="52254"/>
  <c r="Y166" i="52254"/>
  <c r="Y99" i="52254"/>
  <c r="Y144" i="52254"/>
  <c r="Y93" i="52254"/>
  <c r="Y95" i="52254"/>
  <c r="Y138" i="52254"/>
  <c r="Y82" i="52254"/>
  <c r="Y139" i="52254"/>
  <c r="Y134" i="52254"/>
  <c r="Y160" i="52254"/>
  <c r="Y178" i="52254"/>
  <c r="Y107" i="52254"/>
  <c r="Y84" i="52254"/>
  <c r="Y163" i="52254"/>
  <c r="Y120" i="52254"/>
  <c r="Y98" i="52254"/>
  <c r="Y146" i="52254"/>
  <c r="Y108" i="52254"/>
  <c r="Y106" i="52254"/>
  <c r="Y109" i="52254"/>
  <c r="Y154" i="52254"/>
  <c r="Y167" i="52254"/>
  <c r="Y158" i="52254"/>
  <c r="Y89" i="52254"/>
  <c r="Y147" i="52254"/>
  <c r="Y142" i="52254"/>
  <c r="Y179" i="52254"/>
  <c r="Y113" i="52254"/>
  <c r="Y112" i="52254"/>
  <c r="Y149" i="52254"/>
  <c r="Y150" i="52254"/>
  <c r="Y174" i="52254"/>
  <c r="Y151" i="52254"/>
  <c r="Y156" i="52254"/>
  <c r="Y169" i="52254"/>
  <c r="Y80" i="52254"/>
  <c r="Y79" i="52254"/>
  <c r="Y170" i="52254"/>
  <c r="Y83" i="52254"/>
  <c r="Y152" i="52254"/>
  <c r="Y176" i="52254"/>
  <c r="Y81" i="52254"/>
  <c r="Y164" i="52254"/>
  <c r="Y161" i="52254"/>
  <c r="Y92" i="52254"/>
  <c r="Y173" i="52254"/>
  <c r="Y86" i="52254"/>
  <c r="Y172" i="52254"/>
  <c r="Y104" i="52254"/>
  <c r="Y105" i="52254"/>
  <c r="Y102" i="52254"/>
  <c r="Y128" i="52254"/>
  <c r="Y77" i="52254"/>
  <c r="Y117" i="52254"/>
  <c r="Y85" i="52254"/>
  <c r="Y184" i="52254"/>
  <c r="Y78" i="52254"/>
  <c r="Y118" i="52254"/>
  <c r="Y145" i="52254"/>
  <c r="Y119" i="52254"/>
  <c r="Y103" i="52254"/>
  <c r="Y171" i="52254"/>
  <c r="Y115" i="52254"/>
  <c r="Y121" i="52254"/>
  <c r="Y133" i="52254"/>
  <c r="Y175" i="52254"/>
  <c r="Y141" i="52254"/>
  <c r="Y126" i="52254"/>
  <c r="Y135" i="52254"/>
  <c r="Y100" i="52254"/>
  <c r="Y122" i="52254"/>
  <c r="Y183" i="52254"/>
  <c r="Y153" i="52254"/>
  <c r="Y157" i="52254"/>
  <c r="Y129" i="52254"/>
  <c r="Y90" i="52254"/>
  <c r="Y140" i="52254"/>
  <c r="Y96" i="52254"/>
  <c r="Y123" i="52254"/>
  <c r="Y127" i="52254"/>
  <c r="Y124" i="52254"/>
  <c r="Y125" i="52254"/>
  <c r="Y148" i="52254"/>
  <c r="Y131" i="52254"/>
  <c r="Y159" i="52254"/>
  <c r="Y94" i="52254"/>
  <c r="Y111" i="52254"/>
  <c r="Y185" i="52254"/>
  <c r="Y137" i="52254"/>
  <c r="Y186" i="52254"/>
  <c r="Y110" i="52254"/>
  <c r="Y136" i="52254"/>
  <c r="Y76" i="52254"/>
  <c r="Y165" i="52254"/>
  <c r="Y101" i="52254"/>
  <c r="Y91" i="52254"/>
  <c r="Y132" i="52254"/>
  <c r="Y177" i="52254"/>
  <c r="Y155" i="52254"/>
  <c r="Y168" i="52254"/>
  <c r="Y116" i="52254"/>
  <c r="Y181" i="52254"/>
  <c r="Y162" i="52254"/>
  <c r="Y130" i="52254"/>
  <c r="Y143" i="52254"/>
  <c r="Y182" i="52254"/>
  <c r="Y97" i="52254"/>
  <c r="Q87" i="52254"/>
  <c r="P53" i="52254" s="1"/>
  <c r="L38" i="52255" s="1"/>
  <c r="Y87" i="52254"/>
  <c r="H27" i="52256"/>
  <c r="I27" i="52256" s="1"/>
  <c r="K27" i="52256" s="1"/>
  <c r="M27" i="52256" s="1"/>
  <c r="M122" i="52254"/>
  <c r="M123" i="52254" s="1"/>
  <c r="M124" i="52254" s="1"/>
  <c r="M125" i="52254" s="1"/>
  <c r="M126" i="52254" s="1"/>
  <c r="Y187" i="52254" l="1"/>
  <c r="Z76" i="52254"/>
  <c r="Z77" i="52254" s="1"/>
  <c r="Z78" i="52254" s="1"/>
  <c r="Z79" i="52254" s="1"/>
  <c r="Z80" i="52254" s="1"/>
  <c r="Z81" i="52254" s="1"/>
  <c r="Z82" i="52254" s="1"/>
  <c r="Z83" i="52254" s="1"/>
  <c r="Z84" i="52254" s="1"/>
  <c r="Z85" i="52254" s="1"/>
  <c r="Z86" i="52254" s="1"/>
  <c r="Z87" i="52254" s="1"/>
  <c r="Z88" i="52254" s="1"/>
  <c r="Z89" i="52254" s="1"/>
  <c r="Z90" i="52254" s="1"/>
  <c r="Z91" i="52254" s="1"/>
  <c r="Z92" i="52254" s="1"/>
  <c r="Z93" i="52254" s="1"/>
  <c r="Z94" i="52254" s="1"/>
  <c r="Z95" i="52254" s="1"/>
  <c r="Z96" i="52254" s="1"/>
  <c r="Z97" i="52254" s="1"/>
  <c r="Z98" i="52254" s="1"/>
  <c r="Z99" i="52254" s="1"/>
  <c r="Z100" i="52254" s="1"/>
  <c r="Z101" i="52254" s="1"/>
  <c r="Z102" i="52254" s="1"/>
  <c r="Z103" i="52254" s="1"/>
  <c r="Z104" i="52254" s="1"/>
  <c r="Z105" i="52254" s="1"/>
  <c r="Z106" i="52254" s="1"/>
  <c r="Z107" i="52254" s="1"/>
  <c r="Z108" i="52254" s="1"/>
  <c r="Z109" i="52254" s="1"/>
  <c r="Z110" i="52254" s="1"/>
  <c r="Z111" i="52254" s="1"/>
  <c r="Z112" i="52254" s="1"/>
  <c r="Z113" i="52254" s="1"/>
  <c r="Z114" i="52254" s="1"/>
  <c r="Z115" i="52254" s="1"/>
  <c r="Z116" i="52254" s="1"/>
  <c r="Z117" i="52254" s="1"/>
  <c r="Z118" i="52254" s="1"/>
  <c r="Z119" i="52254" s="1"/>
  <c r="Z120" i="52254" s="1"/>
  <c r="Z121" i="52254" s="1"/>
  <c r="Z122" i="52254" s="1"/>
  <c r="Z123" i="52254" s="1"/>
  <c r="Z124" i="52254" s="1"/>
  <c r="Z125" i="52254" s="1"/>
  <c r="Z126" i="52254" s="1"/>
  <c r="Z127" i="52254" s="1"/>
  <c r="Z128" i="52254" s="1"/>
  <c r="Z129" i="52254" s="1"/>
  <c r="Z130" i="52254" s="1"/>
  <c r="Z131" i="52254" s="1"/>
  <c r="Z132" i="52254" s="1"/>
  <c r="Z133" i="52254" s="1"/>
  <c r="Z134" i="52254" s="1"/>
  <c r="Z135" i="52254" s="1"/>
  <c r="Z136" i="52254" s="1"/>
  <c r="Z137" i="52254" s="1"/>
  <c r="Z138" i="52254" s="1"/>
  <c r="Z139" i="52254" s="1"/>
  <c r="Z140" i="52254" s="1"/>
  <c r="Z141" i="52254" s="1"/>
  <c r="Z142" i="52254" s="1"/>
  <c r="Z143" i="52254" s="1"/>
  <c r="Z144" i="52254" s="1"/>
  <c r="Z145" i="52254" s="1"/>
  <c r="Z146" i="52254" s="1"/>
  <c r="Z147" i="52254" s="1"/>
  <c r="Z148" i="52254" s="1"/>
  <c r="Z149" i="52254" s="1"/>
  <c r="Z150" i="52254" s="1"/>
  <c r="Z151" i="52254" s="1"/>
  <c r="Z152" i="52254" s="1"/>
  <c r="Z153" i="52254" s="1"/>
  <c r="Z154" i="52254" s="1"/>
  <c r="Z155" i="52254" s="1"/>
  <c r="Z156" i="52254" s="1"/>
  <c r="Z157" i="52254" s="1"/>
  <c r="Z158" i="52254" s="1"/>
  <c r="Z159" i="52254" s="1"/>
  <c r="Z160" i="52254" s="1"/>
  <c r="Z161" i="52254" s="1"/>
  <c r="Z162" i="52254" s="1"/>
  <c r="Z163" i="52254" s="1"/>
  <c r="Z164" i="52254" s="1"/>
  <c r="Z165" i="52254" s="1"/>
  <c r="Z166" i="52254" s="1"/>
  <c r="Z167" i="52254" s="1"/>
  <c r="Z168" i="52254" s="1"/>
  <c r="Z169" i="52254" s="1"/>
  <c r="Z170" i="52254" s="1"/>
  <c r="Z171" i="52254" s="1"/>
  <c r="Z172" i="52254" s="1"/>
  <c r="Z173" i="52254" s="1"/>
  <c r="Z174" i="52254" s="1"/>
  <c r="Z175" i="52254" s="1"/>
  <c r="Z176" i="52254" s="1"/>
  <c r="Z177" i="52254" s="1"/>
  <c r="Z178" i="52254" s="1"/>
  <c r="Z179" i="52254" s="1"/>
  <c r="Z180" i="52254" s="1"/>
  <c r="Z181" i="52254" s="1"/>
  <c r="Z182" i="52254" s="1"/>
  <c r="Z183" i="52254" s="1"/>
  <c r="Z184" i="52254" s="1"/>
  <c r="Z185" i="52254" s="1"/>
  <c r="Z186" i="52254" s="1"/>
  <c r="M127" i="52254"/>
  <c r="M128" i="52254" s="1"/>
  <c r="M129" i="52254" s="1"/>
  <c r="M130" i="52254" s="1"/>
  <c r="M131" i="52254" s="1"/>
  <c r="H28" i="52256"/>
  <c r="I28" i="52256" s="1"/>
  <c r="K28" i="52256" s="1"/>
  <c r="M28" i="52256" s="1"/>
  <c r="H29" i="52256" l="1"/>
  <c r="I29" i="52256" s="1"/>
  <c r="K29" i="52256" s="1"/>
  <c r="M29" i="52256" s="1"/>
  <c r="M132" i="52254"/>
  <c r="M133" i="52254" s="1"/>
  <c r="M134" i="52254" s="1"/>
  <c r="M135" i="52254" s="1"/>
  <c r="M136" i="52254" s="1"/>
  <c r="M137" i="52254" l="1"/>
  <c r="M138" i="52254" s="1"/>
  <c r="M139" i="52254" s="1"/>
  <c r="M140" i="52254" s="1"/>
  <c r="M141" i="52254" s="1"/>
  <c r="H30" i="52256"/>
  <c r="I30" i="52256" s="1"/>
  <c r="K30" i="52256" s="1"/>
  <c r="M30" i="52256" s="1"/>
  <c r="M142" i="52254" l="1"/>
  <c r="M143" i="52254" s="1"/>
  <c r="M144" i="52254" s="1"/>
  <c r="M145" i="52254" s="1"/>
  <c r="M146" i="52254" s="1"/>
  <c r="H31" i="52256"/>
  <c r="I31" i="52256" s="1"/>
  <c r="K31" i="52256" s="1"/>
  <c r="M31" i="52256" s="1"/>
  <c r="M147" i="52254" l="1"/>
  <c r="M148" i="52254" s="1"/>
  <c r="M149" i="52254" s="1"/>
  <c r="M150" i="52254" s="1"/>
  <c r="M151" i="52254" s="1"/>
  <c r="H32" i="52256"/>
  <c r="I32" i="52256" s="1"/>
  <c r="K32" i="52256" s="1"/>
  <c r="M32" i="52256" s="1"/>
  <c r="M152" i="52254" l="1"/>
  <c r="M153" i="52254" s="1"/>
  <c r="M154" i="52254" s="1"/>
  <c r="M155" i="52254" s="1"/>
  <c r="M156" i="52254" s="1"/>
  <c r="H33" i="52256"/>
  <c r="I33" i="52256" s="1"/>
  <c r="K33" i="52256" s="1"/>
  <c r="M33" i="52256" s="1"/>
  <c r="M157" i="52254" l="1"/>
  <c r="M158" i="52254" s="1"/>
  <c r="M159" i="52254" s="1"/>
  <c r="M160" i="52254" s="1"/>
  <c r="M161" i="52254" s="1"/>
  <c r="H34" i="52256"/>
  <c r="I34" i="52256" s="1"/>
  <c r="K34" i="52256" s="1"/>
  <c r="M34" i="52256" s="1"/>
  <c r="M162" i="52254" l="1"/>
  <c r="M163" i="52254" s="1"/>
  <c r="M164" i="52254" s="1"/>
  <c r="M165" i="52254" s="1"/>
  <c r="M166" i="52254" s="1"/>
  <c r="H35" i="52256"/>
  <c r="I35" i="52256" s="1"/>
  <c r="K35" i="52256" s="1"/>
  <c r="M35" i="52256" s="1"/>
  <c r="M167" i="52254" l="1"/>
  <c r="M168" i="52254" s="1"/>
  <c r="M169" i="52254" s="1"/>
  <c r="M170" i="52254" s="1"/>
  <c r="M171" i="52254" s="1"/>
  <c r="H36" i="52256"/>
  <c r="I36" i="52256" s="1"/>
  <c r="K36" i="52256" s="1"/>
  <c r="M36" i="52256" s="1"/>
  <c r="M172" i="52254" l="1"/>
  <c r="M173" i="52254" s="1"/>
  <c r="M174" i="52254" s="1"/>
  <c r="M175" i="52254" s="1"/>
  <c r="M176" i="52254" s="1"/>
  <c r="H37" i="52256"/>
  <c r="I37" i="52256" s="1"/>
  <c r="K37" i="52256" s="1"/>
  <c r="M37" i="52256" s="1"/>
  <c r="H38" i="52256" l="1"/>
  <c r="M177" i="52254"/>
  <c r="M178" i="52254" s="1"/>
  <c r="M179" i="52254" s="1"/>
  <c r="M180" i="52254" s="1"/>
  <c r="M181" i="52254" s="1"/>
  <c r="I38" i="52256" l="1"/>
  <c r="K38" i="52256" s="1"/>
  <c r="M182" i="52254"/>
  <c r="M183" i="52254" s="1"/>
  <c r="M184" i="52254" s="1"/>
  <c r="M185" i="52254" s="1"/>
  <c r="M186" i="52254" s="1"/>
  <c r="H40" i="52256" s="1"/>
  <c r="H39" i="52256"/>
  <c r="I40" i="52256" l="1"/>
  <c r="K40" i="52256" s="1"/>
  <c r="M38" i="52256"/>
  <c r="I39" i="52256"/>
  <c r="K39" i="52256" s="1"/>
  <c r="M39" i="52256" s="1"/>
  <c r="M40" i="52256" l="1"/>
  <c r="N18" i="52256" s="1"/>
  <c r="N19" i="52256" s="1"/>
  <c r="N20" i="52256" s="1"/>
  <c r="N21" i="52256" s="1"/>
  <c r="N22" i="52256" s="1"/>
  <c r="N23" i="52256" s="1"/>
  <c r="N24" i="52256" s="1"/>
  <c r="N25" i="52256" s="1"/>
  <c r="N26" i="52256" s="1"/>
  <c r="N27" i="52256" s="1"/>
  <c r="N28" i="52256" s="1"/>
  <c r="N29" i="52256" s="1"/>
  <c r="N30" i="52256" s="1"/>
  <c r="N31" i="52256" s="1"/>
  <c r="N32" i="52256" s="1"/>
  <c r="N33" i="52256" s="1"/>
  <c r="N34" i="52256" s="1"/>
  <c r="N35" i="52256" s="1"/>
  <c r="N36" i="52256" s="1"/>
  <c r="N37" i="52256" s="1"/>
  <c r="N38" i="52256" s="1"/>
  <c r="N39" i="52256" s="1"/>
  <c r="N40" i="52256" s="1"/>
  <c r="L18" i="52256"/>
  <c r="L19" i="52256" s="1"/>
  <c r="L20" i="52256" s="1"/>
  <c r="L21" i="52256" s="1"/>
  <c r="L22" i="52256" s="1"/>
  <c r="L23" i="52256" s="1"/>
  <c r="L24" i="52256" s="1"/>
  <c r="L25" i="52256" s="1"/>
  <c r="L26" i="52256" s="1"/>
  <c r="L27" i="52256" s="1"/>
  <c r="L28" i="52256" s="1"/>
  <c r="L29" i="52256" s="1"/>
  <c r="L30" i="52256" s="1"/>
  <c r="L31" i="52256" s="1"/>
  <c r="L32" i="52256" s="1"/>
  <c r="L33" i="52256" s="1"/>
  <c r="L34" i="52256" s="1"/>
  <c r="L35" i="52256" s="1"/>
  <c r="L36" i="52256" s="1"/>
  <c r="L37" i="52256" s="1"/>
  <c r="L38" i="52256" s="1"/>
  <c r="L39" i="52256" s="1"/>
  <c r="L40" i="52256" s="1"/>
  <c r="M41" i="52256" l="1"/>
</calcChain>
</file>

<file path=xl/sharedStrings.xml><?xml version="1.0" encoding="utf-8"?>
<sst xmlns="http://schemas.openxmlformats.org/spreadsheetml/2006/main" count="786" uniqueCount="301">
  <si>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</si>
  <si>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</si>
  <si>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</si>
  <si>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</si>
  <si>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</si>
  <si>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</si>
  <si>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</si>
  <si>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</si>
  <si>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</si>
  <si>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</si>
  <si>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</si>
  <si>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</si>
  <si>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</si>
  <si>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</si>
  <si>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soortelijke massa</t>
  </si>
  <si>
    <t>kg/Nm³</t>
  </si>
  <si>
    <t>kg/am³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</si>
  <si>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</si>
  <si>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</si>
  <si>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</si>
  <si>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</si>
  <si>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</si>
  <si>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</si>
  <si>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</si>
  <si>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</si>
  <si>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</si>
  <si>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</si>
  <si>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</si>
  <si>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</si>
  <si>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</si>
  <si>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</si>
  <si>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</si>
  <si>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</si>
  <si>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</si>
  <si>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</si>
  <si>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</si>
  <si>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</si>
  <si>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</si>
  <si>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</si>
  <si>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</si>
  <si>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</si>
  <si>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</si>
  <si>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</si>
  <si>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</si>
  <si>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</si>
  <si>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</si>
  <si>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</si>
  <si>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</si>
  <si>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</si>
  <si>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</si>
  <si>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</si>
  <si>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</si>
  <si>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</si>
  <si>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</si>
  <si>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</si>
  <si>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</si>
  <si>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</si>
  <si>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</si>
  <si>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</si>
  <si>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</si>
  <si>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</si>
  <si>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</si>
  <si>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</si>
  <si>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</si>
  <si>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</si>
  <si>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</si>
  <si>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</si>
  <si>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</si>
  <si>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</si>
  <si>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</si>
  <si>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</si>
  <si>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</si>
  <si>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</si>
  <si>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</si>
  <si>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</si>
  <si>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</si>
  <si>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</si>
  <si>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</si>
  <si>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</si>
  <si>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</si>
  <si>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</si>
  <si>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</si>
  <si>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</si>
  <si>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</si>
  <si>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</si>
  <si>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</si>
  <si>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</si>
  <si>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</si>
  <si>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</si>
  <si>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</si>
  <si>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</si>
  <si>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</si>
  <si>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</si>
  <si>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</si>
  <si>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</si>
  <si>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</si>
  <si>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</si>
  <si>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</si>
  <si>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</si>
  <si>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</si>
  <si>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</si>
  <si>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</si>
  <si>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</si>
  <si>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</si>
  <si>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</si>
  <si>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</si>
  <si>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</si>
  <si>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</si>
  <si>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</si>
  <si>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</si>
  <si>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</si>
  <si>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</si>
  <si>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</si>
  <si>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</si>
  <si>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</si>
  <si>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</si>
  <si>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</si>
  <si>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</si>
  <si>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</si>
  <si>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</si>
  <si>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</si>
  <si>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</si>
  <si>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</si>
  <si>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</si>
  <si>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</si>
  <si>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</si>
  <si>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</si>
  <si>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</si>
  <si>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</si>
  <si>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</si>
  <si>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</si>
  <si>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</si>
  <si>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</si>
  <si>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</si>
  <si>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</si>
  <si>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</si>
  <si>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</si>
  <si>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</si>
  <si>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</si>
  <si>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</si>
  <si>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</si>
  <si>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</si>
  <si>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</si>
  <si>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</si>
  <si>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</si>
  <si>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</si>
  <si>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</si>
  <si>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</si>
  <si>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</si>
  <si>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</si>
  <si>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</si>
  <si>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</si>
  <si>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</si>
  <si>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</si>
  <si>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</si>
  <si>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</si>
  <si>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</si>
  <si>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</si>
  <si>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</si>
  <si>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</si>
  <si>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</si>
  <si>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</si>
  <si>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</si>
  <si>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</si>
  <si>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</si>
  <si>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</si>
  <si>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</si>
  <si>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</si>
  <si>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</si>
  <si>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</si>
  <si>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</si>
  <si>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</si>
  <si>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</si>
  <si>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</si>
  <si>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</si>
  <si>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</si>
  <si>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</si>
  <si>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</si>
  <si>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</si>
  <si>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</si>
  <si>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</si>
  <si>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</si>
  <si>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</si>
  <si>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</si>
  <si>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</si>
  <si>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</si>
  <si>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</si>
  <si>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</si>
  <si>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</si>
  <si>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</si>
  <si>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</si>
  <si>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</si>
  <si>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</si>
  <si>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</si>
  <si>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</si>
  <si>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</si>
  <si>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</si>
  <si>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</si>
  <si>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</si>
  <si>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</si>
  <si>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</si>
  <si>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</si>
  <si>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</si>
  <si>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</si>
  <si>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</si>
  <si>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</si>
  <si>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</si>
  <si>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</si>
  <si>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</si>
  <si>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</si>
  <si>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</si>
  <si>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</si>
  <si>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</si>
  <si>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</si>
  <si>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</si>
  <si>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</si>
  <si>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</si>
  <si>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</si>
  <si>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</si>
  <si>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</si>
  <si>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</si>
  <si>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</si>
  <si>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</si>
  <si>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</si>
  <si>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</si>
  <si>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</si>
  <si>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</si>
  <si>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</si>
  <si>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</si>
  <si>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</si>
  <si>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</si>
  <si>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</si>
  <si>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</si>
  <si>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</si>
  <si>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</si>
  <si>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</si>
  <si>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</si>
  <si>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</si>
  <si>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</si>
  <si>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</si>
  <si>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</si>
  <si>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</si>
  <si>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</si>
  <si>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</si>
  <si>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</si>
  <si>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</si>
  <si>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</si>
  <si>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</si>
  <si>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</si>
  <si>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</si>
  <si>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</si>
  <si>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</si>
  <si>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</si>
  <si>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</si>
  <si>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</si>
  <si>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</si>
  <si>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</si>
  <si>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</si>
  <si>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</si>
  <si>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Verlies van eerste trap</t>
  </si>
  <si>
    <t>Cycloontype AC</t>
  </si>
  <si>
    <t>-</t>
  </si>
  <si>
    <t>TRAP 1</t>
  </si>
  <si>
    <t>TRAP 2</t>
  </si>
  <si>
    <t>BEREKENINGSINFO</t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</si>
  <si>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</t>
    </r>
  </si>
  <si>
    <t>KORRELGROOTTEVERDELING</t>
  </si>
  <si>
    <t>Dichtheid gas</t>
  </si>
  <si>
    <t>Deeltjesdichtheid</t>
  </si>
  <si>
    <t>TOTAL</t>
  </si>
  <si>
    <t>genormaliseerd</t>
  </si>
  <si>
    <t>psdcum [%]</t>
  </si>
  <si>
    <t>PERFORMANCE STAGE 1</t>
  </si>
  <si>
    <t>PERFORMANCE STAGE 2</t>
  </si>
  <si>
    <t>PERFORMANCE TOTAL</t>
  </si>
  <si>
    <t>Minimale deeltjesgrootte voor trap 2</t>
  </si>
  <si>
    <t>Deeltjesgrootteverdeling van trap 1</t>
  </si>
  <si>
    <t>μm are lost. Grade efficiency of stage 2 for these particles is 0 %</t>
  </si>
  <si>
    <t>Check in the graph if the calculated Rosin Rammler distribution matches given particle size distribution.</t>
  </si>
  <si>
    <t>Gebaseerd op minimale deeltjesgrootte voor trap 2</t>
  </si>
  <si>
    <t>μm are not relevant for calculation of cyclone efficiency. Grade efficiency of stage 2 for these particles is 100 %</t>
  </si>
  <si>
    <t>STAGE 1</t>
  </si>
  <si>
    <t>STAGE 2</t>
  </si>
  <si>
    <t>abs [g/Nm3]</t>
  </si>
  <si>
    <t>in</t>
  </si>
  <si>
    <t>eff. stage 1&amp;2</t>
  </si>
  <si>
    <t>TOTAL PERFORMANCE TRAP 1 &amp; 2</t>
  </si>
  <si>
    <t>Note: total fraction larger than dmax is assumed</t>
  </si>
  <si>
    <r>
      <rPr>
        <sz val="10"/>
        <rFont val="Arial"/>
        <family val="2"/>
      </rPr>
      <t>F/(F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);gebruikelijk:1; voor AC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>435 evt.getal tussen 0.8 en 1)</t>
    </r>
  </si>
  <si>
    <t>here to have loss number equal to that of dmax</t>
  </si>
  <si>
    <t>2e trap toegevoegd: 19-3-2014/gvg</t>
  </si>
  <si>
    <t>LOSS</t>
  </si>
  <si>
    <t>TOTAL GRADE</t>
  </si>
  <si>
    <t>IN</t>
  </si>
  <si>
    <t>LOSS 1</t>
  </si>
  <si>
    <t>LOSS 2</t>
  </si>
  <si>
    <t>L+M+3P=</t>
  </si>
  <si>
    <t>K multiplication factor</t>
  </si>
  <si>
    <t>1st stage</t>
  </si>
  <si>
    <t>2nd stage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</si>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</sst>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  <numFmt numFmtId="170" formatCode="0.000E+00"/>
    <numFmt numFmtId="171" formatCode="0.0E+00"/>
    <numFmt numFmtId="172" formatCode="&quot;Lucht bij T, waarde: &quot;0.000"/>
  </numFmts>
  <fonts count="2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47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5" xfId="0" applyBorder="1"/>
    <xf numFmtId="0" fontId="5" fillId="0" borderId="0" xfId="0" applyFont="1" applyBorder="1"/>
    <xf numFmtId="0" fontId="0" fillId="2" borderId="6" xfId="0" applyFill="1" applyBorder="1"/>
    <xf numFmtId="0" fontId="0" fillId="2" borderId="1" xfId="0" applyFill="1" applyBorder="1"/>
    <xf numFmtId="0" fontId="0" fillId="2" borderId="7" xfId="0" applyFill="1" applyBorder="1"/>
    <xf numFmtId="0" fontId="5" fillId="2" borderId="8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 applyBorder="1" applyAlignment="1"/>
    <xf numFmtId="0" fontId="9" fillId="0" borderId="0" xfId="0" applyFont="1" applyProtection="1"/>
    <xf numFmtId="0" fontId="9" fillId="0" borderId="6" xfId="0" applyFont="1" applyBorder="1" applyProtection="1"/>
    <xf numFmtId="0" fontId="9" fillId="0" borderId="1" xfId="0" applyFont="1" applyBorder="1" applyProtection="1"/>
    <xf numFmtId="0" fontId="9" fillId="0" borderId="0" xfId="0" applyFont="1" applyBorder="1" applyProtection="1"/>
    <xf numFmtId="0" fontId="9" fillId="0" borderId="11" xfId="0" applyFont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9" fillId="0" borderId="0" xfId="2" applyFont="1" applyProtection="1"/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Protection="1"/>
    <xf numFmtId="0" fontId="0" fillId="0" borderId="13" xfId="0" applyBorder="1"/>
    <xf numFmtId="0" fontId="9" fillId="0" borderId="14" xfId="0" applyFont="1" applyBorder="1" applyProtection="1"/>
    <xf numFmtId="0" fontId="0" fillId="0" borderId="8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/>
    </xf>
    <xf numFmtId="165" fontId="0" fillId="0" borderId="17" xfId="0" applyNumberFormat="1" applyBorder="1"/>
    <xf numFmtId="164" fontId="0" fillId="0" borderId="0" xfId="0" applyNumberForma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20" xfId="0" applyNumberFormat="1" applyBorder="1"/>
    <xf numFmtId="0" fontId="0" fillId="2" borderId="0" xfId="0" quotePrefix="1" applyFill="1" applyBorder="1" applyAlignment="1"/>
    <xf numFmtId="0" fontId="14" fillId="2" borderId="0" xfId="0" applyFont="1" applyFill="1" applyBorder="1" applyAlignment="1"/>
    <xf numFmtId="0" fontId="14" fillId="2" borderId="0" xfId="0" applyFont="1" applyFill="1" applyBorder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9" xfId="0" applyBorder="1"/>
    <xf numFmtId="0" fontId="0" fillId="0" borderId="21" xfId="0" applyBorder="1"/>
    <xf numFmtId="0" fontId="0" fillId="0" borderId="10" xfId="0" applyBorder="1"/>
    <xf numFmtId="164" fontId="0" fillId="0" borderId="14" xfId="0" applyNumberFormat="1" applyBorder="1"/>
    <xf numFmtId="0" fontId="5" fillId="0" borderId="22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4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0" fontId="0" fillId="0" borderId="22" xfId="0" applyBorder="1" applyProtection="1"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2" fillId="3" borderId="26" xfId="0" applyFont="1" applyFill="1" applyBorder="1" applyProtection="1">
      <protection locked="0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" fontId="0" fillId="0" borderId="31" xfId="0" applyNumberFormat="1" applyBorder="1"/>
    <xf numFmtId="0" fontId="0" fillId="0" borderId="32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34" xfId="0" applyNumberFormat="1" applyBorder="1"/>
    <xf numFmtId="0" fontId="13" fillId="0" borderId="6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/>
    </xf>
    <xf numFmtId="0" fontId="13" fillId="0" borderId="8" xfId="0" applyFont="1" applyBorder="1" applyAlignment="1" applyProtection="1">
      <alignment horizontal="left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Continuous" vertical="center"/>
      <protection locked="0"/>
    </xf>
    <xf numFmtId="0" fontId="16" fillId="0" borderId="0" xfId="0" quotePrefix="1" applyFont="1" applyBorder="1" applyAlignment="1" applyProtection="1">
      <alignment horizontal="centerContinuous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quotePrefix="1" applyFont="1" applyBorder="1" applyAlignment="1" applyProtection="1">
      <alignment horizontal="centerContinuous" vertical="center"/>
      <protection locked="0"/>
    </xf>
    <xf numFmtId="0" fontId="16" fillId="0" borderId="0" xfId="0" applyFont="1" applyBorder="1" applyAlignment="1">
      <alignment vertical="center"/>
    </xf>
    <xf numFmtId="0" fontId="16" fillId="0" borderId="0" xfId="0" quotePrefix="1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4" xfId="0" applyNumberFormat="1" applyBorder="1"/>
    <xf numFmtId="0" fontId="13" fillId="0" borderId="35" xfId="0" applyFont="1" applyBorder="1" applyAlignment="1">
      <alignment vertical="center"/>
    </xf>
    <xf numFmtId="0" fontId="13" fillId="0" borderId="36" xfId="0" applyFont="1" applyBorder="1" applyAlignment="1">
      <alignment vertical="center"/>
    </xf>
    <xf numFmtId="0" fontId="13" fillId="0" borderId="37" xfId="0" applyFont="1" applyBorder="1" applyAlignment="1">
      <alignment vertical="center"/>
    </xf>
    <xf numFmtId="167" fontId="0" fillId="0" borderId="0" xfId="0" applyNumberFormat="1" applyBorder="1"/>
    <xf numFmtId="0" fontId="0" fillId="0" borderId="21" xfId="0" applyBorder="1" applyAlignment="1">
      <alignment horizontal="right"/>
    </xf>
    <xf numFmtId="165" fontId="0" fillId="0" borderId="21" xfId="0" applyNumberFormat="1" applyBorder="1"/>
    <xf numFmtId="0" fontId="18" fillId="0" borderId="0" xfId="0" applyFont="1" applyBorder="1" applyAlignment="1" applyProtection="1">
      <alignment horizontal="center" vertical="center"/>
    </xf>
    <xf numFmtId="0" fontId="0" fillId="0" borderId="8" xfId="0" quotePrefix="1" applyBorder="1"/>
    <xf numFmtId="0" fontId="0" fillId="0" borderId="38" xfId="0" quotePrefix="1" applyBorder="1"/>
    <xf numFmtId="0" fontId="13" fillId="0" borderId="12" xfId="0" applyFont="1" applyBorder="1" applyAlignment="1" applyProtection="1">
      <alignment horizontal="left" vertical="center"/>
    </xf>
    <xf numFmtId="0" fontId="13" fillId="0" borderId="14" xfId="0" applyFont="1" applyBorder="1" applyAlignment="1" applyProtection="1">
      <alignment horizontal="left" vertical="center"/>
    </xf>
    <xf numFmtId="0" fontId="13" fillId="0" borderId="14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4" xfId="0" applyNumberFormat="1" applyBorder="1"/>
    <xf numFmtId="165" fontId="0" fillId="0" borderId="0" xfId="0" applyNumberFormat="1" applyBorder="1"/>
    <xf numFmtId="0" fontId="9" fillId="0" borderId="39" xfId="0" applyFont="1" applyBorder="1" applyProtection="1"/>
    <xf numFmtId="0" fontId="9" fillId="0" borderId="0" xfId="0" applyFont="1" applyFill="1" applyBorder="1" applyProtection="1"/>
    <xf numFmtId="0" fontId="9" fillId="0" borderId="14" xfId="0" applyFont="1" applyFill="1" applyBorder="1" applyProtection="1"/>
    <xf numFmtId="0" fontId="19" fillId="0" borderId="14" xfId="0" applyFont="1" applyBorder="1" applyProtection="1"/>
    <xf numFmtId="0" fontId="9" fillId="5" borderId="15" xfId="0" applyFont="1" applyFill="1" applyBorder="1" applyProtection="1"/>
    <xf numFmtId="0" fontId="9" fillId="5" borderId="39" xfId="0" applyFont="1" applyFill="1" applyBorder="1" applyProtection="1"/>
    <xf numFmtId="0" fontId="9" fillId="5" borderId="40" xfId="0" applyFont="1" applyFill="1" applyBorder="1" applyProtection="1"/>
    <xf numFmtId="0" fontId="9" fillId="0" borderId="11" xfId="0" applyFont="1" applyFill="1" applyBorder="1" applyProtection="1"/>
    <xf numFmtId="0" fontId="0" fillId="0" borderId="0" xfId="0" applyFill="1" applyBorder="1"/>
    <xf numFmtId="0" fontId="0" fillId="0" borderId="11" xfId="0" applyFill="1" applyBorder="1"/>
    <xf numFmtId="0" fontId="9" fillId="0" borderId="39" xfId="0" applyFont="1" applyBorder="1" applyAlignment="1" applyProtection="1">
      <alignment horizontal="left"/>
    </xf>
    <xf numFmtId="0" fontId="0" fillId="0" borderId="39" xfId="0" applyBorder="1"/>
    <xf numFmtId="0" fontId="9" fillId="0" borderId="40" xfId="0" applyFont="1" applyBorder="1" applyAlignment="1" applyProtection="1">
      <alignment horizontal="left"/>
    </xf>
    <xf numFmtId="0" fontId="0" fillId="0" borderId="15" xfId="0" applyBorder="1"/>
    <xf numFmtId="0" fontId="9" fillId="0" borderId="21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9" fillId="0" borderId="2" xfId="0" applyFont="1" applyBorder="1" applyProtection="1"/>
    <xf numFmtId="0" fontId="9" fillId="5" borderId="2" xfId="0" applyFont="1" applyFill="1" applyBorder="1" applyProtection="1"/>
    <xf numFmtId="0" fontId="9" fillId="0" borderId="10" xfId="0" applyFont="1" applyBorder="1" applyProtection="1"/>
    <xf numFmtId="0" fontId="9" fillId="0" borderId="15" xfId="0" applyFont="1" applyFill="1" applyBorder="1" applyProtection="1"/>
    <xf numFmtId="0" fontId="13" fillId="0" borderId="0" xfId="0" applyFont="1" applyFill="1" applyBorder="1"/>
    <xf numFmtId="0" fontId="9" fillId="0" borderId="15" xfId="0" applyFont="1" applyBorder="1" applyAlignment="1" applyProtection="1">
      <alignment horizontal="left"/>
    </xf>
    <xf numFmtId="0" fontId="9" fillId="0" borderId="1" xfId="0" applyFont="1" applyFill="1" applyBorder="1" applyProtection="1"/>
    <xf numFmtId="0" fontId="9" fillId="0" borderId="2" xfId="0" applyFont="1" applyBorder="1" applyAlignment="1" applyProtection="1">
      <alignment horizontal="left"/>
    </xf>
    <xf numFmtId="0" fontId="9" fillId="0" borderId="21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1" xfId="0" applyFill="1" applyBorder="1"/>
    <xf numFmtId="0" fontId="5" fillId="5" borderId="9" xfId="0" applyFont="1" applyFill="1" applyBorder="1"/>
    <xf numFmtId="0" fontId="5" fillId="5" borderId="10" xfId="0" applyFont="1" applyFill="1" applyBorder="1"/>
    <xf numFmtId="165" fontId="9" fillId="0" borderId="0" xfId="0" applyNumberFormat="1" applyFont="1" applyBorder="1" applyProtection="1"/>
    <xf numFmtId="0" fontId="9" fillId="0" borderId="11" xfId="0" applyFont="1" applyBorder="1" applyAlignment="1" applyProtection="1">
      <alignment horizontal="left"/>
    </xf>
    <xf numFmtId="0" fontId="0" fillId="0" borderId="0" xfId="0" applyFill="1"/>
    <xf numFmtId="0" fontId="13" fillId="0" borderId="13" xfId="0" applyFont="1" applyFill="1" applyBorder="1"/>
    <xf numFmtId="0" fontId="2" fillId="0" borderId="11" xfId="0" applyFont="1" applyFill="1" applyBorder="1"/>
    <xf numFmtId="2" fontId="0" fillId="0" borderId="12" xfId="0" applyNumberFormat="1" applyBorder="1"/>
    <xf numFmtId="167" fontId="13" fillId="0" borderId="39" xfId="0" applyNumberFormat="1" applyFont="1" applyFill="1" applyBorder="1"/>
    <xf numFmtId="167" fontId="13" fillId="0" borderId="40" xfId="0" applyNumberFormat="1" applyFont="1" applyFill="1" applyBorder="1"/>
    <xf numFmtId="0" fontId="0" fillId="0" borderId="12" xfId="0" applyFill="1" applyBorder="1"/>
    <xf numFmtId="0" fontId="9" fillId="0" borderId="13" xfId="0" applyFont="1" applyFill="1" applyBorder="1" applyProtection="1"/>
    <xf numFmtId="0" fontId="0" fillId="0" borderId="8" xfId="0" applyFill="1" applyBorder="1" applyProtection="1"/>
    <xf numFmtId="0" fontId="0" fillId="0" borderId="6" xfId="0" applyBorder="1" applyAlignment="1">
      <alignment horizontal="left"/>
    </xf>
    <xf numFmtId="0" fontId="9" fillId="0" borderId="1" xfId="0" applyFont="1" applyBorder="1" applyAlignment="1" applyProtection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Fill="1" applyBorder="1"/>
    <xf numFmtId="167" fontId="13" fillId="0" borderId="0" xfId="0" applyNumberFormat="1" applyFont="1" applyFill="1" applyBorder="1"/>
    <xf numFmtId="0" fontId="13" fillId="0" borderId="1" xfId="0" applyFont="1" applyFill="1" applyBorder="1"/>
    <xf numFmtId="167" fontId="13" fillId="0" borderId="15" xfId="0" applyNumberFormat="1" applyFont="1" applyFill="1" applyBorder="1"/>
    <xf numFmtId="0" fontId="2" fillId="0" borderId="13" xfId="0" applyFont="1" applyFill="1" applyBorder="1"/>
    <xf numFmtId="0" fontId="13" fillId="0" borderId="14" xfId="0" applyFont="1" applyFill="1" applyBorder="1"/>
    <xf numFmtId="0" fontId="0" fillId="0" borderId="14" xfId="0" applyFill="1" applyBorder="1"/>
    <xf numFmtId="0" fontId="0" fillId="0" borderId="0" xfId="0" applyFill="1" applyBorder="1" applyProtection="1"/>
    <xf numFmtId="0" fontId="0" fillId="0" borderId="7" xfId="0" applyFill="1" applyBorder="1"/>
    <xf numFmtId="0" fontId="9" fillId="0" borderId="0" xfId="0" applyFont="1" applyFill="1" applyProtection="1"/>
    <xf numFmtId="0" fontId="0" fillId="0" borderId="6" xfId="0" applyFill="1" applyBorder="1" applyProtection="1"/>
    <xf numFmtId="0" fontId="9" fillId="0" borderId="6" xfId="0" applyFont="1" applyFill="1" applyBorder="1" applyProtection="1"/>
    <xf numFmtId="0" fontId="9" fillId="0" borderId="15" xfId="0" quotePrefix="1" applyFont="1" applyFill="1" applyBorder="1" applyAlignment="1" applyProtection="1">
      <alignment horizontal="center"/>
    </xf>
    <xf numFmtId="0" fontId="2" fillId="0" borderId="6" xfId="0" applyFont="1" applyFill="1" applyBorder="1" applyProtection="1"/>
    <xf numFmtId="0" fontId="11" fillId="0" borderId="8" xfId="0" applyFont="1" applyFill="1" applyBorder="1" applyProtection="1"/>
    <xf numFmtId="0" fontId="9" fillId="0" borderId="8" xfId="0" applyFont="1" applyFill="1" applyBorder="1" applyProtection="1"/>
    <xf numFmtId="2" fontId="9" fillId="0" borderId="6" xfId="0" applyNumberFormat="1" applyFont="1" applyFill="1" applyBorder="1" applyProtection="1"/>
    <xf numFmtId="2" fontId="9" fillId="0" borderId="8" xfId="0" applyNumberFormat="1" applyFont="1" applyFill="1" applyBorder="1" applyProtection="1"/>
    <xf numFmtId="0" fontId="0" fillId="5" borderId="0" xfId="0" applyFill="1" applyBorder="1"/>
    <xf numFmtId="0" fontId="13" fillId="0" borderId="11" xfId="0" applyFont="1" applyFill="1" applyBorder="1"/>
    <xf numFmtId="0" fontId="13" fillId="0" borderId="6" xfId="0" applyFont="1" applyFill="1" applyBorder="1"/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12" xfId="0" applyFont="1" applyFill="1" applyBorder="1"/>
    <xf numFmtId="2" fontId="9" fillId="0" borderId="15" xfId="0" applyNumberFormat="1" applyFont="1" applyFill="1" applyBorder="1" applyProtection="1"/>
    <xf numFmtId="2" fontId="9" fillId="0" borderId="39" xfId="0" applyNumberFormat="1" applyFont="1" applyFill="1" applyBorder="1" applyProtection="1"/>
    <xf numFmtId="2" fontId="10" fillId="0" borderId="7" xfId="0" applyNumberFormat="1" applyFont="1" applyFill="1" applyBorder="1" applyProtection="1"/>
    <xf numFmtId="2" fontId="10" fillId="0" borderId="11" xfId="0" applyNumberFormat="1" applyFont="1" applyFill="1" applyBorder="1" applyProtection="1"/>
    <xf numFmtId="0" fontId="9" fillId="0" borderId="7" xfId="0" applyFont="1" applyBorder="1" applyProtection="1"/>
    <xf numFmtId="0" fontId="9" fillId="0" borderId="2" xfId="0" applyFont="1" applyFill="1" applyBorder="1" applyProtection="1"/>
    <xf numFmtId="0" fontId="5" fillId="5" borderId="21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8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1" xfId="0" applyFill="1" applyBorder="1"/>
    <xf numFmtId="164" fontId="0" fillId="5" borderId="11" xfId="0" applyNumberFormat="1" applyFill="1" applyBorder="1"/>
    <xf numFmtId="0" fontId="7" fillId="0" borderId="7" xfId="0" applyFont="1" applyBorder="1"/>
    <xf numFmtId="0" fontId="20" fillId="0" borderId="0" xfId="0" applyFont="1" applyFill="1"/>
    <xf numFmtId="0" fontId="21" fillId="0" borderId="0" xfId="0" applyFont="1"/>
    <xf numFmtId="2" fontId="0" fillId="0" borderId="0" xfId="0" applyNumberFormat="1" applyFill="1" applyBorder="1"/>
    <xf numFmtId="0" fontId="21" fillId="0" borderId="0" xfId="0" applyFont="1" applyFill="1" applyBorder="1"/>
    <xf numFmtId="0" fontId="2" fillId="0" borderId="0" xfId="0" applyFont="1" applyBorder="1" applyAlignment="1">
      <alignment vertical="top"/>
    </xf>
    <xf numFmtId="0" fontId="21" fillId="0" borderId="0" xfId="0" applyFon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/>
    <xf numFmtId="166" fontId="5" fillId="0" borderId="8" xfId="0" applyNumberFormat="1" applyFont="1" applyBorder="1"/>
    <xf numFmtId="165" fontId="0" fillId="0" borderId="1" xfId="0" applyNumberFormat="1" applyBorder="1"/>
    <xf numFmtId="0" fontId="20" fillId="0" borderId="0" xfId="0" applyFont="1" applyBorder="1" applyAlignment="1">
      <alignment horizontal="left"/>
    </xf>
    <xf numFmtId="0" fontId="20" fillId="0" borderId="8" xfId="0" applyFont="1" applyFill="1" applyBorder="1"/>
    <xf numFmtId="0" fontId="20" fillId="0" borderId="12" xfId="0" applyFont="1" applyFill="1" applyBorder="1"/>
    <xf numFmtId="165" fontId="0" fillId="4" borderId="8" xfId="0" applyNumberFormat="1" applyFill="1" applyBorder="1"/>
    <xf numFmtId="0" fontId="0" fillId="4" borderId="39" xfId="0" applyFill="1" applyBorder="1"/>
    <xf numFmtId="0" fontId="0" fillId="4" borderId="40" xfId="0" applyFill="1" applyBorder="1"/>
    <xf numFmtId="167" fontId="13" fillId="0" borderId="1" xfId="0" applyNumberFormat="1" applyFont="1" applyFill="1" applyBorder="1"/>
    <xf numFmtId="167" fontId="13" fillId="0" borderId="14" xfId="0" applyNumberFormat="1" applyFont="1" applyFill="1" applyBorder="1"/>
    <xf numFmtId="0" fontId="0" fillId="2" borderId="40" xfId="0" applyFill="1" applyBorder="1"/>
    <xf numFmtId="0" fontId="0" fillId="2" borderId="12" xfId="0" quotePrefix="1" applyFill="1" applyBorder="1"/>
    <xf numFmtId="0" fontId="0" fillId="0" borderId="40" xfId="0" applyBorder="1"/>
    <xf numFmtId="0" fontId="0" fillId="2" borderId="21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5" xfId="0" applyFill="1" applyBorder="1"/>
    <xf numFmtId="165" fontId="20" fillId="0" borderId="17" xfId="0" applyNumberFormat="1" applyFont="1" applyBorder="1"/>
    <xf numFmtId="0" fontId="0" fillId="0" borderId="15" xfId="0" applyFill="1" applyBorder="1"/>
    <xf numFmtId="0" fontId="0" fillId="2" borderId="7" xfId="0" applyFill="1" applyBorder="1" applyProtection="1">
      <protection locked="0"/>
    </xf>
    <xf numFmtId="0" fontId="4" fillId="2" borderId="0" xfId="0" applyFont="1" applyFill="1" applyBorder="1" applyAlignment="1"/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0" borderId="0" xfId="0" applyFont="1"/>
    <xf numFmtId="0" fontId="1" fillId="0" borderId="0" xfId="0" applyFont="1" applyAlignment="1">
      <alignment horizontal="right"/>
    </xf>
    <xf numFmtId="0" fontId="22" fillId="0" borderId="0" xfId="0" applyFont="1"/>
    <xf numFmtId="0" fontId="1" fillId="2" borderId="8" xfId="0" applyFont="1" applyFill="1" applyBorder="1"/>
    <xf numFmtId="0" fontId="0" fillId="6" borderId="0" xfId="0" applyFill="1" applyBorder="1" applyAlignment="1"/>
    <xf numFmtId="0" fontId="0" fillId="6" borderId="0" xfId="0" applyFill="1"/>
    <xf numFmtId="0" fontId="1" fillId="2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0" fillId="6" borderId="0" xfId="0" applyFill="1" applyBorder="1"/>
    <xf numFmtId="0" fontId="1" fillId="2" borderId="0" xfId="0" quotePrefix="1" applyFont="1" applyFill="1" applyBorder="1" applyAlignment="1"/>
    <xf numFmtId="0" fontId="5" fillId="2" borderId="9" xfId="0" applyFont="1" applyFill="1" applyBorder="1"/>
    <xf numFmtId="1" fontId="0" fillId="0" borderId="25" xfId="0" applyNumberForma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4" xfId="0" applyBorder="1" applyAlignment="1" applyProtection="1">
      <protection locked="0"/>
    </xf>
    <xf numFmtId="0" fontId="5" fillId="0" borderId="24" xfId="0" applyFont="1" applyBorder="1" applyProtection="1">
      <protection locked="0"/>
    </xf>
    <xf numFmtId="0" fontId="7" fillId="0" borderId="22" xfId="0" applyFont="1" applyBorder="1" applyProtection="1">
      <protection locked="0"/>
    </xf>
    <xf numFmtId="0" fontId="7" fillId="0" borderId="26" xfId="0" applyFont="1" applyBorder="1" applyProtection="1">
      <protection locked="0"/>
    </xf>
    <xf numFmtId="0" fontId="0" fillId="0" borderId="50" xfId="0" applyBorder="1" applyAlignment="1"/>
    <xf numFmtId="166" fontId="0" fillId="0" borderId="25" xfId="0" applyNumberFormat="1" applyFill="1" applyBorder="1" applyAlignment="1"/>
    <xf numFmtId="166" fontId="0" fillId="0" borderId="51" xfId="0" applyNumberFormat="1" applyFill="1" applyBorder="1" applyAlignment="1"/>
    <xf numFmtId="0" fontId="23" fillId="0" borderId="15" xfId="0" applyFont="1" applyBorder="1"/>
    <xf numFmtId="0" fontId="23" fillId="0" borderId="39" xfId="0" applyFont="1" applyBorder="1"/>
    <xf numFmtId="0" fontId="23" fillId="0" borderId="40" xfId="0" applyFont="1" applyBorder="1"/>
    <xf numFmtId="166" fontId="0" fillId="2" borderId="0" xfId="0" applyNumberFormat="1" applyFill="1" applyBorder="1"/>
    <xf numFmtId="0" fontId="22" fillId="2" borderId="0" xfId="0" applyFont="1" applyFill="1" applyBorder="1" applyAlignment="1"/>
    <xf numFmtId="0" fontId="0" fillId="4" borderId="11" xfId="0" applyFill="1" applyBorder="1" applyProtection="1">
      <protection locked="0"/>
    </xf>
    <xf numFmtId="1" fontId="0" fillId="2" borderId="11" xfId="0" applyNumberFormat="1" applyFill="1" applyBorder="1"/>
    <xf numFmtId="0" fontId="14" fillId="2" borderId="11" xfId="0" applyFont="1" applyFill="1" applyBorder="1" applyAlignment="1"/>
    <xf numFmtId="0" fontId="0" fillId="2" borderId="8" xfId="0" applyFill="1" applyBorder="1" applyAlignment="1"/>
    <xf numFmtId="0" fontId="0" fillId="2" borderId="11" xfId="0" quotePrefix="1" applyFill="1" applyBorder="1" applyAlignment="1"/>
    <xf numFmtId="164" fontId="0" fillId="2" borderId="11" xfId="0" applyNumberFormat="1" applyFill="1" applyBorder="1" applyAlignment="1"/>
    <xf numFmtId="166" fontId="0" fillId="6" borderId="11" xfId="0" applyNumberFormat="1" applyFill="1" applyBorder="1" applyAlignment="1"/>
    <xf numFmtId="0" fontId="0" fillId="2" borderId="12" xfId="0" applyFill="1" applyBorder="1" applyAlignment="1"/>
    <xf numFmtId="0" fontId="0" fillId="4" borderId="8" xfId="0" applyFill="1" applyBorder="1" applyProtection="1">
      <protection locked="0"/>
    </xf>
    <xf numFmtId="1" fontId="0" fillId="2" borderId="8" xfId="0" applyNumberFormat="1" applyFill="1" applyBorder="1"/>
    <xf numFmtId="0" fontId="14" fillId="2" borderId="8" xfId="0" applyFont="1" applyFill="1" applyBorder="1" applyAlignment="1"/>
    <xf numFmtId="164" fontId="0" fillId="2" borderId="8" xfId="0" applyNumberFormat="1" applyFill="1" applyBorder="1"/>
    <xf numFmtId="166" fontId="0" fillId="2" borderId="8" xfId="0" applyNumberFormat="1" applyFill="1" applyBorder="1"/>
    <xf numFmtId="0" fontId="5" fillId="2" borderId="6" xfId="0" applyFont="1" applyFill="1" applyBorder="1"/>
    <xf numFmtId="0" fontId="0" fillId="6" borderId="14" xfId="0" applyFill="1" applyBorder="1"/>
    <xf numFmtId="0" fontId="1" fillId="2" borderId="6" xfId="0" applyFont="1" applyFill="1" applyBorder="1"/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165" fontId="25" fillId="0" borderId="0" xfId="0" applyNumberFormat="1" applyFont="1" applyBorder="1" applyProtection="1"/>
    <xf numFmtId="11" fontId="22" fillId="0" borderId="0" xfId="0" applyNumberFormat="1" applyFont="1"/>
    <xf numFmtId="166" fontId="23" fillId="2" borderId="12" xfId="0" applyNumberFormat="1" applyFont="1" applyFill="1" applyBorder="1" applyAlignment="1"/>
    <xf numFmtId="166" fontId="23" fillId="2" borderId="8" xfId="0" applyNumberFormat="1" applyFont="1" applyFill="1" applyBorder="1" applyAlignment="1"/>
    <xf numFmtId="1" fontId="23" fillId="2" borderId="8" xfId="0" applyNumberFormat="1" applyFont="1" applyFill="1" applyBorder="1" applyAlignment="1"/>
    <xf numFmtId="1" fontId="0" fillId="6" borderId="11" xfId="0" applyNumberFormat="1" applyFill="1" applyBorder="1" applyAlignment="1"/>
    <xf numFmtId="166" fontId="0" fillId="6" borderId="11" xfId="0" applyNumberFormat="1" applyFill="1" applyBorder="1"/>
    <xf numFmtId="166" fontId="0" fillId="6" borderId="13" xfId="0" applyNumberFormat="1" applyFill="1" applyBorder="1"/>
    <xf numFmtId="165" fontId="23" fillId="2" borderId="8" xfId="0" applyNumberFormat="1" applyFont="1" applyFill="1" applyBorder="1" applyAlignment="1"/>
    <xf numFmtId="165" fontId="0" fillId="2" borderId="0" xfId="0" applyNumberFormat="1" applyFill="1" applyBorder="1"/>
    <xf numFmtId="165" fontId="0" fillId="6" borderId="11" xfId="0" applyNumberFormat="1" applyFill="1" applyBorder="1"/>
    <xf numFmtId="0" fontId="5" fillId="2" borderId="15" xfId="0" applyFont="1" applyFill="1" applyBorder="1" applyAlignment="1">
      <alignment horizontal="center"/>
    </xf>
    <xf numFmtId="0" fontId="0" fillId="4" borderId="39" xfId="0" applyFill="1" applyBorder="1" applyProtection="1">
      <protection locked="0"/>
    </xf>
    <xf numFmtId="0" fontId="24" fillId="2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166" fontId="0" fillId="2" borderId="11" xfId="0" applyNumberFormat="1" applyFill="1" applyBorder="1"/>
    <xf numFmtId="166" fontId="0" fillId="2" borderId="13" xfId="0" applyNumberFormat="1" applyFill="1" applyBorder="1"/>
    <xf numFmtId="0" fontId="0" fillId="6" borderId="6" xfId="0" applyFill="1" applyBorder="1"/>
    <xf numFmtId="165" fontId="0" fillId="6" borderId="7" xfId="0" applyNumberFormat="1" applyFill="1" applyBorder="1"/>
    <xf numFmtId="0" fontId="0" fillId="0" borderId="6" xfId="0" applyFill="1" applyBorder="1"/>
    <xf numFmtId="0" fontId="23" fillId="0" borderId="6" xfId="0" applyFont="1" applyBorder="1"/>
    <xf numFmtId="0" fontId="23" fillId="0" borderId="8" xfId="0" applyFont="1" applyBorder="1"/>
    <xf numFmtId="0" fontId="23" fillId="0" borderId="12" xfId="0" applyFont="1" applyBorder="1"/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Fill="1" applyBorder="1"/>
    <xf numFmtId="0" fontId="1" fillId="0" borderId="1" xfId="0" applyFont="1" applyBorder="1"/>
    <xf numFmtId="0" fontId="1" fillId="0" borderId="14" xfId="0" applyFont="1" applyFill="1" applyBorder="1"/>
    <xf numFmtId="2" fontId="0" fillId="0" borderId="0" xfId="0" applyNumberFormat="1"/>
    <xf numFmtId="165" fontId="20" fillId="0" borderId="0" xfId="0" applyNumberFormat="1" applyFont="1" applyBorder="1"/>
    <xf numFmtId="166" fontId="5" fillId="0" borderId="0" xfId="0" applyNumberFormat="1" applyFont="1" applyBorder="1"/>
    <xf numFmtId="0" fontId="20" fillId="0" borderId="0" xfId="0" applyFont="1" applyFill="1" applyBorder="1"/>
    <xf numFmtId="165" fontId="0" fillId="0" borderId="11" xfId="0" applyNumberFormat="1" applyBorder="1"/>
    <xf numFmtId="0" fontId="1" fillId="0" borderId="0" xfId="0" applyFont="1" applyBorder="1" applyAlignment="1">
      <alignment vertical="top"/>
    </xf>
    <xf numFmtId="166" fontId="0" fillId="0" borderId="14" xfId="0" applyNumberFormat="1" applyBorder="1"/>
    <xf numFmtId="0" fontId="5" fillId="0" borderId="8" xfId="0" applyFont="1" applyBorder="1"/>
    <xf numFmtId="0" fontId="1" fillId="0" borderId="0" xfId="0" applyFont="1" applyFill="1"/>
    <xf numFmtId="2" fontId="9" fillId="0" borderId="0" xfId="0" applyNumberFormat="1" applyFont="1" applyFill="1" applyBorder="1" applyProtection="1"/>
    <xf numFmtId="2" fontId="10" fillId="0" borderId="0" xfId="0" applyNumberFormat="1" applyFont="1" applyFill="1" applyBorder="1" applyProtection="1"/>
    <xf numFmtId="0" fontId="11" fillId="0" borderId="12" xfId="0" applyFont="1" applyFill="1" applyBorder="1" applyProtection="1"/>
    <xf numFmtId="0" fontId="9" fillId="0" borderId="12" xfId="0" applyFont="1" applyFill="1" applyBorder="1" applyProtection="1"/>
    <xf numFmtId="0" fontId="1" fillId="0" borderId="14" xfId="0" applyFont="1" applyBorder="1"/>
    <xf numFmtId="0" fontId="9" fillId="0" borderId="39" xfId="0" applyFont="1" applyFill="1" applyBorder="1" applyProtection="1"/>
    <xf numFmtId="0" fontId="9" fillId="0" borderId="40" xfId="0" applyFont="1" applyFill="1" applyBorder="1" applyProtection="1"/>
    <xf numFmtId="0" fontId="5" fillId="2" borderId="0" xfId="0" applyFont="1" applyFill="1" applyBorder="1"/>
    <xf numFmtId="0" fontId="9" fillId="0" borderId="1" xfId="0" applyFont="1" applyBorder="1"/>
    <xf numFmtId="0" fontId="9" fillId="0" borderId="0" xfId="0" applyFont="1" applyBorder="1"/>
    <xf numFmtId="0" fontId="9" fillId="0" borderId="14" xfId="0" applyFont="1" applyBorder="1"/>
    <xf numFmtId="0" fontId="9" fillId="0" borderId="21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0" fontId="9" fillId="0" borderId="21" xfId="0" applyFont="1" applyBorder="1" applyAlignment="1" applyProtection="1">
      <alignment horizontal="right"/>
    </xf>
    <xf numFmtId="0" fontId="9" fillId="0" borderId="7" xfId="0" applyFont="1" applyBorder="1"/>
    <xf numFmtId="0" fontId="9" fillId="0" borderId="11" xfId="0" applyFont="1" applyBorder="1"/>
    <xf numFmtId="0" fontId="9" fillId="0" borderId="13" xfId="0" applyFont="1" applyBorder="1"/>
    <xf numFmtId="170" fontId="0" fillId="0" borderId="0" xfId="0" applyNumberFormat="1" applyFill="1" applyBorder="1"/>
    <xf numFmtId="170" fontId="0" fillId="0" borderId="11" xfId="0" applyNumberFormat="1" applyFill="1" applyBorder="1"/>
    <xf numFmtId="169" fontId="0" fillId="7" borderId="0" xfId="0" applyNumberFormat="1" applyFill="1" applyBorder="1"/>
    <xf numFmtId="171" fontId="0" fillId="0" borderId="8" xfId="0" applyNumberFormat="1" applyFill="1" applyBorder="1"/>
    <xf numFmtId="171" fontId="0" fillId="0" borderId="0" xfId="0" applyNumberFormat="1" applyFill="1" applyBorder="1"/>
    <xf numFmtId="0" fontId="1" fillId="0" borderId="0" xfId="0" applyFont="1" applyBorder="1"/>
    <xf numFmtId="0" fontId="1" fillId="0" borderId="0" xfId="0" applyFont="1" applyAlignment="1" applyProtection="1">
      <alignment horizontal="right"/>
    </xf>
    <xf numFmtId="171" fontId="0" fillId="0" borderId="7" xfId="0" applyNumberFormat="1" applyFill="1" applyBorder="1"/>
    <xf numFmtId="171" fontId="0" fillId="5" borderId="7" xfId="0" applyNumberFormat="1" applyFill="1" applyBorder="1"/>
    <xf numFmtId="171" fontId="0" fillId="5" borderId="15" xfId="0" applyNumberFormat="1" applyFill="1" applyBorder="1"/>
    <xf numFmtId="171" fontId="0" fillId="0" borderId="11" xfId="0" applyNumberFormat="1" applyBorder="1"/>
    <xf numFmtId="171" fontId="0" fillId="5" borderId="11" xfId="0" applyNumberFormat="1" applyFill="1" applyBorder="1"/>
    <xf numFmtId="171" fontId="0" fillId="5" borderId="39" xfId="0" applyNumberFormat="1" applyFill="1" applyBorder="1"/>
    <xf numFmtId="171" fontId="0" fillId="0" borderId="13" xfId="0" applyNumberFormat="1" applyBorder="1"/>
    <xf numFmtId="171" fontId="0" fillId="5" borderId="13" xfId="0" applyNumberFormat="1" applyFill="1" applyBorder="1"/>
    <xf numFmtId="171" fontId="0" fillId="5" borderId="40" xfId="0" applyNumberFormat="1" applyFill="1" applyBorder="1"/>
    <xf numFmtId="171" fontId="0" fillId="0" borderId="7" xfId="0" applyNumberFormat="1" applyBorder="1"/>
    <xf numFmtId="171" fontId="0" fillId="0" borderId="14" xfId="0" applyNumberFormat="1" applyBorder="1"/>
    <xf numFmtId="165" fontId="1" fillId="0" borderId="1" xfId="0" applyNumberFormat="1" applyFont="1" applyBorder="1" applyProtection="1"/>
    <xf numFmtId="165" fontId="1" fillId="0" borderId="0" xfId="0" applyNumberFormat="1" applyFont="1" applyBorder="1" applyProtection="1"/>
    <xf numFmtId="165" fontId="1" fillId="0" borderId="14" xfId="0" applyNumberFormat="1" applyFont="1" applyBorder="1" applyProtection="1"/>
    <xf numFmtId="166" fontId="5" fillId="5" borderId="21" xfId="0" applyNumberFormat="1" applyFont="1" applyFill="1" applyBorder="1"/>
    <xf numFmtId="166" fontId="5" fillId="5" borderId="2" xfId="0" applyNumberFormat="1" applyFont="1" applyFill="1" applyBorder="1"/>
    <xf numFmtId="166" fontId="24" fillId="5" borderId="2" xfId="0" applyNumberFormat="1" applyFont="1" applyFill="1" applyBorder="1"/>
    <xf numFmtId="11" fontId="23" fillId="0" borderId="1" xfId="0" applyNumberFormat="1" applyFont="1" applyBorder="1"/>
    <xf numFmtId="11" fontId="0" fillId="5" borderId="15" xfId="0" applyNumberFormat="1" applyFill="1" applyBorder="1"/>
    <xf numFmtId="11" fontId="0" fillId="5" borderId="7" xfId="0" applyNumberFormat="1" applyFill="1" applyBorder="1"/>
    <xf numFmtId="11" fontId="23" fillId="0" borderId="0" xfId="0" applyNumberFormat="1" applyFont="1" applyBorder="1"/>
    <xf numFmtId="11" fontId="0" fillId="5" borderId="39" xfId="0" applyNumberFormat="1" applyFill="1" applyBorder="1"/>
    <xf numFmtId="11" fontId="0" fillId="5" borderId="11" xfId="0" applyNumberFormat="1" applyFill="1" applyBorder="1"/>
    <xf numFmtId="11" fontId="0" fillId="0" borderId="14" xfId="0" applyNumberFormat="1" applyBorder="1"/>
    <xf numFmtId="11" fontId="0" fillId="5" borderId="40" xfId="0" applyNumberFormat="1" applyFill="1" applyBorder="1"/>
    <xf numFmtId="11" fontId="0" fillId="5" borderId="13" xfId="0" applyNumberFormat="1" applyFill="1" applyBorder="1"/>
    <xf numFmtId="11" fontId="0" fillId="0" borderId="0" xfId="0" applyNumberFormat="1" applyBorder="1"/>
    <xf numFmtId="11" fontId="0" fillId="0" borderId="1" xfId="0" applyNumberFormat="1" applyBorder="1"/>
    <xf numFmtId="2" fontId="5" fillId="5" borderId="21" xfId="0" applyNumberFormat="1" applyFont="1" applyFill="1" applyBorder="1"/>
    <xf numFmtId="2" fontId="5" fillId="5" borderId="2" xfId="0" applyNumberFormat="1" applyFont="1" applyFill="1" applyBorder="1"/>
    <xf numFmtId="2" fontId="24" fillId="5" borderId="2" xfId="0" applyNumberFormat="1" applyFont="1" applyFill="1" applyBorder="1"/>
    <xf numFmtId="11" fontId="0" fillId="0" borderId="0" xfId="0" applyNumberFormat="1" applyFill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/>
    <xf numFmtId="0" fontId="1" fillId="0" borderId="13" xfId="0" applyFont="1" applyFill="1" applyBorder="1"/>
    <xf numFmtId="166" fontId="0" fillId="8" borderId="0" xfId="0" applyNumberFormat="1" applyFill="1" applyBorder="1"/>
    <xf numFmtId="165" fontId="0" fillId="8" borderId="0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166" fontId="0" fillId="8" borderId="31" xfId="0" applyNumberFormat="1" applyFill="1" applyBorder="1"/>
    <xf numFmtId="0" fontId="1" fillId="0" borderId="8" xfId="0" applyFont="1" applyFill="1" applyBorder="1" applyAlignment="1">
      <alignment horizontal="center"/>
    </xf>
    <xf numFmtId="166" fontId="0" fillId="0" borderId="15" xfId="0" applyNumberFormat="1" applyBorder="1"/>
    <xf numFmtId="166" fontId="0" fillId="0" borderId="39" xfId="0" applyNumberFormat="1" applyBorder="1"/>
    <xf numFmtId="166" fontId="0" fillId="0" borderId="40" xfId="0" applyNumberFormat="1" applyBorder="1"/>
    <xf numFmtId="0" fontId="1" fillId="0" borderId="6" xfId="0" applyFont="1" applyBorder="1"/>
    <xf numFmtId="0" fontId="1" fillId="0" borderId="12" xfId="0" applyFont="1" applyBorder="1"/>
    <xf numFmtId="11" fontId="0" fillId="0" borderId="11" xfId="0" applyNumberFormat="1" applyBorder="1"/>
    <xf numFmtId="0" fontId="1" fillId="0" borderId="0" xfId="0" applyFont="1" applyFill="1" applyBorder="1"/>
    <xf numFmtId="0" fontId="1" fillId="2" borderId="0" xfId="0" applyFont="1" applyFill="1" applyBorder="1"/>
    <xf numFmtId="0" fontId="0" fillId="9" borderId="2" xfId="0" applyFill="1" applyBorder="1"/>
    <xf numFmtId="0" fontId="0" fillId="0" borderId="8" xfId="0" applyFill="1" applyBorder="1"/>
    <xf numFmtId="11" fontId="23" fillId="0" borderId="15" xfId="0" applyNumberFormat="1" applyFont="1" applyFill="1" applyBorder="1"/>
    <xf numFmtId="11" fontId="23" fillId="0" borderId="39" xfId="0" applyNumberFormat="1" applyFont="1" applyFill="1" applyBorder="1"/>
    <xf numFmtId="11" fontId="23" fillId="0" borderId="40" xfId="0" applyNumberFormat="1" applyFont="1" applyFill="1" applyBorder="1"/>
    <xf numFmtId="0" fontId="0" fillId="4" borderId="40" xfId="0" applyFill="1" applyBorder="1" applyProtection="1">
      <protection locked="0"/>
    </xf>
    <xf numFmtId="0" fontId="5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Protection="1">
      <protection locked="0"/>
    </xf>
    <xf numFmtId="1" fontId="0" fillId="0" borderId="0" xfId="0" applyNumberFormat="1" applyFill="1" applyBorder="1"/>
    <xf numFmtId="0" fontId="1" fillId="0" borderId="0" xfId="0" quotePrefix="1" applyFont="1" applyFill="1" applyBorder="1" applyAlignment="1"/>
    <xf numFmtId="172" fontId="0" fillId="6" borderId="8" xfId="0" applyNumberFormat="1" applyFill="1" applyBorder="1" applyAlignment="1">
      <alignment horizontal="left"/>
    </xf>
    <xf numFmtId="172" fontId="0" fillId="6" borderId="0" xfId="0" applyNumberFormat="1" applyFill="1" applyBorder="1" applyAlignment="1">
      <alignment horizontal="left"/>
    </xf>
    <xf numFmtId="0" fontId="1" fillId="4" borderId="9" xfId="0" applyFont="1" applyFill="1" applyBorder="1" applyAlignment="1" applyProtection="1">
      <alignment horizontal="left"/>
      <protection locked="0"/>
    </xf>
    <xf numFmtId="0" fontId="0" fillId="4" borderId="21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4" borderId="9" xfId="0" applyFont="1" applyFill="1" applyBorder="1" applyAlignment="1" applyProtection="1">
      <alignment horizontal="left"/>
      <protection locked="0"/>
    </xf>
    <xf numFmtId="14" fontId="0" fillId="4" borderId="9" xfId="0" quotePrefix="1" applyNumberFormat="1" applyFill="1" applyBorder="1" applyAlignment="1" applyProtection="1">
      <alignment horizontal="left"/>
      <protection locked="0"/>
    </xf>
    <xf numFmtId="0" fontId="5" fillId="0" borderId="3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168" fontId="13" fillId="0" borderId="43" xfId="0" applyNumberFormat="1" applyFont="1" applyBorder="1" applyAlignment="1" applyProtection="1">
      <alignment horizontal="left" vertical="center"/>
      <protection locked="0"/>
    </xf>
    <xf numFmtId="168" fontId="13" fillId="0" borderId="44" xfId="0" applyNumberFormat="1" applyFont="1" applyBorder="1" applyAlignment="1" applyProtection="1">
      <alignment horizontal="left" vertical="center"/>
      <protection locked="0"/>
    </xf>
    <xf numFmtId="0" fontId="13" fillId="0" borderId="46" xfId="0" applyFont="1" applyBorder="1" applyAlignment="1" applyProtection="1">
      <alignment horizontal="left" vertical="center"/>
      <protection locked="0"/>
    </xf>
    <xf numFmtId="0" fontId="13" fillId="0" borderId="47" xfId="0" applyFont="1" applyBorder="1" applyAlignment="1" applyProtection="1">
      <alignment horizontal="left" vertical="center"/>
      <protection locked="0"/>
    </xf>
    <xf numFmtId="0" fontId="2" fillId="0" borderId="48" xfId="0" applyFont="1" applyBorder="1" applyAlignment="1">
      <alignment horizontal="left"/>
    </xf>
    <xf numFmtId="0" fontId="2" fillId="0" borderId="49" xfId="0" applyFont="1" applyBorder="1" applyAlignment="1">
      <alignment horizontal="left"/>
    </xf>
    <xf numFmtId="0" fontId="2" fillId="0" borderId="43" xfId="0" applyFont="1" applyBorder="1" applyAlignment="1" applyProtection="1">
      <alignment horizontal="left"/>
    </xf>
    <xf numFmtId="0" fontId="2" fillId="0" borderId="44" xfId="0" applyFont="1" applyBorder="1" applyAlignment="1" applyProtection="1">
      <alignment horizontal="left"/>
    </xf>
    <xf numFmtId="0" fontId="2" fillId="0" borderId="46" xfId="0" applyFont="1" applyBorder="1" applyAlignment="1" applyProtection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49" xfId="0" applyFont="1" applyBorder="1" applyAlignment="1" applyProtection="1">
      <alignment horizontal="left"/>
    </xf>
    <xf numFmtId="0" fontId="0" fillId="0" borderId="4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18" fillId="0" borderId="6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8" fillId="0" borderId="14" xfId="0" applyFont="1" applyBorder="1" applyAlignment="1" applyProtection="1">
      <alignment horizontal="center" vertical="center"/>
    </xf>
    <xf numFmtId="0" fontId="18" fillId="0" borderId="13" xfId="0" applyFont="1" applyBorder="1" applyAlignment="1" applyProtection="1">
      <alignment horizontal="center" vertical="center"/>
    </xf>
    <xf numFmtId="0" fontId="0" fillId="0" borderId="45" xfId="0" applyBorder="1" applyAlignment="1">
      <alignment horizontal="center"/>
    </xf>
    <xf numFmtId="165" fontId="0" fillId="4" borderId="6" xfId="0" applyNumberFormat="1" applyFill="1" applyBorder="1"/>
  </cellXfs>
  <cellStyles count="3"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16E-2"/>
          <c:y val="0.16744939518748214"/>
          <c:w val="0.8860624254952062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80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99.2</c:v>
                </c:pt>
                <c:pt idx="2">
                  <c:v>85.2</c:v>
                </c:pt>
                <c:pt idx="3">
                  <c:v>57.5</c:v>
                </c:pt>
                <c:pt idx="4">
                  <c:v>15.4</c:v>
                </c:pt>
                <c:pt idx="5">
                  <c:v>10</c:v>
                </c:pt>
                <c:pt idx="6">
                  <c:v>6.7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5E-4E71-9701-3B13F1D1DA2D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0.64480515387890014</c:v>
                </c:pt>
                <c:pt idx="1">
                  <c:v>0.67531675580071404</c:v>
                </c:pt>
                <c:pt idx="2">
                  <c:v>0.70727213937693145</c:v>
                </c:pt>
                <c:pt idx="3">
                  <c:v>0.74073962306133068</c:v>
                </c:pt>
                <c:pt idx="4">
                  <c:v>0.77579075807568643</c:v>
                </c:pt>
                <c:pt idx="5">
                  <c:v>0.81250048138145436</c:v>
                </c:pt>
                <c:pt idx="6">
                  <c:v>0.85094727588993779</c:v>
                </c:pt>
                <c:pt idx="7">
                  <c:v>0.89121333825345594</c:v>
                </c:pt>
                <c:pt idx="8">
                  <c:v>0.93338475459624037</c:v>
                </c:pt>
                <c:pt idx="9">
                  <c:v>0.97755168456075958</c:v>
                </c:pt>
                <c:pt idx="10">
                  <c:v>1.0238085540629507</c:v>
                </c:pt>
                <c:pt idx="11">
                  <c:v>1.0722542571684557</c:v>
                </c:pt>
                <c:pt idx="12">
                  <c:v>1.122992367521461</c:v>
                </c:pt>
                <c:pt idx="13">
                  <c:v>1.1761313597781595</c:v>
                </c:pt>
                <c:pt idx="14">
                  <c:v>1.2317848415182457</c:v>
                </c:pt>
                <c:pt idx="15">
                  <c:v>1.2900717961302552</c:v>
                </c:pt>
                <c:pt idx="16">
                  <c:v>1.3511168371900206</c:v>
                </c:pt>
                <c:pt idx="17">
                  <c:v>1.4150504748760875</c:v>
                </c:pt>
                <c:pt idx="18">
                  <c:v>1.4820093949916695</c:v>
                </c:pt>
                <c:pt idx="19">
                  <c:v>1.5521367511896729</c:v>
                </c:pt>
                <c:pt idx="20">
                  <c:v>1.625582471025546</c:v>
                </c:pt>
                <c:pt idx="21">
                  <c:v>1.702503576492276</c:v>
                </c:pt>
                <c:pt idx="22">
                  <c:v>1.7830645197228145</c:v>
                </c:pt>
                <c:pt idx="23">
                  <c:v>1.8674375345776404</c:v>
                </c:pt>
                <c:pt idx="24">
                  <c:v>1.9558030048691317</c:v>
                </c:pt>
                <c:pt idx="25">
                  <c:v>2.0483498500099846</c:v>
                </c:pt>
                <c:pt idx="26">
                  <c:v>2.145275928910169</c:v>
                </c:pt>
                <c:pt idx="27">
                  <c:v>2.2467884629859274</c:v>
                </c:pt>
                <c:pt idx="28">
                  <c:v>2.3531044791851801</c:v>
                </c:pt>
                <c:pt idx="29">
                  <c:v>2.4644512739764939</c:v>
                </c:pt>
                <c:pt idx="30">
                  <c:v>2.5810668992935955</c:v>
                </c:pt>
                <c:pt idx="31">
                  <c:v>2.7032006714743417</c:v>
                </c:pt>
                <c:pt idx="32">
                  <c:v>2.8311137042822265</c:v>
                </c:pt>
                <c:pt idx="33">
                  <c:v>2.9650794671499878</c:v>
                </c:pt>
                <c:pt idx="34">
                  <c:v>3.1053843698388013</c:v>
                </c:pt>
                <c:pt idx="35">
                  <c:v>3.2523283747630227</c:v>
                </c:pt>
                <c:pt idx="36">
                  <c:v>3.4062256382895892</c:v>
                </c:pt>
                <c:pt idx="37">
                  <c:v>3.567405182383133</c:v>
                </c:pt>
                <c:pt idx="38">
                  <c:v>3.7362115980327393</c:v>
                </c:pt>
                <c:pt idx="39">
                  <c:v>3.9130057819642294</c:v>
                </c:pt>
                <c:pt idx="40">
                  <c:v>4.0981657082130063</c:v>
                </c:pt>
                <c:pt idx="41">
                  <c:v>4.2920872362070392</c:v>
                </c:pt>
                <c:pt idx="42">
                  <c:v>4.4951849570876057</c:v>
                </c:pt>
                <c:pt idx="43">
                  <c:v>4.7078930800771781</c:v>
                </c:pt>
                <c:pt idx="44">
                  <c:v>4.9306663607894397</c:v>
                </c:pt>
                <c:pt idx="45">
                  <c:v>5.1639810734661014</c:v>
                </c:pt>
                <c:pt idx="46">
                  <c:v>5.4083360292190914</c:v>
                </c:pt>
                <c:pt idx="47">
                  <c:v>5.6642536424550549</c:v>
                </c:pt>
                <c:pt idx="48">
                  <c:v>5.9322810477621024</c:v>
                </c:pt>
                <c:pt idx="49">
                  <c:v>6.2129912696466381</c:v>
                </c:pt>
                <c:pt idx="50">
                  <c:v>6.5069844476210896</c:v>
                </c:pt>
                <c:pt idx="51">
                  <c:v>6.8148891192616885</c:v>
                </c:pt>
                <c:pt idx="52">
                  <c:v>7.1373635639793944</c:v>
                </c:pt>
                <c:pt idx="53">
                  <c:v>7.4750972103768571</c:v>
                </c:pt>
                <c:pt idx="54">
                  <c:v>7.8288121102002464</c:v>
                </c:pt>
                <c:pt idx="55">
                  <c:v>8.1992644820371616</c:v>
                </c:pt>
                <c:pt idx="56">
                  <c:v>8.5872463280609441</c:v>
                </c:pt>
                <c:pt idx="57">
                  <c:v>8.9935871272778822</c:v>
                </c:pt>
                <c:pt idx="58">
                  <c:v>9.419155608897352</c:v>
                </c:pt>
                <c:pt idx="59">
                  <c:v>9.8648616096162467</c:v>
                </c:pt>
                <c:pt idx="60">
                  <c:v>10.331658018788442</c:v>
                </c:pt>
                <c:pt idx="61">
                  <c:v>10.82054281563793</c:v>
                </c:pt>
                <c:pt idx="62">
                  <c:v>11.332561202871064</c:v>
                </c:pt>
                <c:pt idx="63">
                  <c:v>11.868807841249414</c:v>
                </c:pt>
                <c:pt idx="64">
                  <c:v>12.430429189900602</c:v>
                </c:pt>
                <c:pt idx="65">
                  <c:v>13.018625957370567</c:v>
                </c:pt>
                <c:pt idx="66">
                  <c:v>13.634655668657405</c:v>
                </c:pt>
                <c:pt idx="67">
                  <c:v>14.279835353714962</c:v>
                </c:pt>
                <c:pt idx="68">
                  <c:v>14.955544363174001</c:v>
                </c:pt>
                <c:pt idx="69">
                  <c:v>15.66322731730078</c:v>
                </c:pt>
                <c:pt idx="70">
                  <c:v>16.404397194497694</c:v>
                </c:pt>
                <c:pt idx="71">
                  <c:v>17.18063856594901</c:v>
                </c:pt>
                <c:pt idx="72">
                  <c:v>17.99361098332713</c:v>
                </c:pt>
                <c:pt idx="73">
                  <c:v>18.845052526802082</c:v>
                </c:pt>
                <c:pt idx="74">
                  <c:v>19.73678352093965</c:v>
                </c:pt>
                <c:pt idx="75">
                  <c:v>20.670710426432443</c:v>
                </c:pt>
                <c:pt idx="76">
                  <c:v>21.648829915984233</c:v>
                </c:pt>
                <c:pt idx="77">
                  <c:v>22.673233143061449</c:v>
                </c:pt>
                <c:pt idx="78">
                  <c:v>23.746110212638179</c:v>
                </c:pt>
                <c:pt idx="79">
                  <c:v>24.86975486349283</c:v>
                </c:pt>
                <c:pt idx="80">
                  <c:v>26.046569372066841</c:v>
                </c:pt>
                <c:pt idx="81">
                  <c:v>27.279069688369631</c:v>
                </c:pt>
                <c:pt idx="82">
                  <c:v>28.569890814909932</c:v>
                </c:pt>
                <c:pt idx="83">
                  <c:v>29.921792440153354</c:v>
                </c:pt>
                <c:pt idx="84">
                  <c:v>31.337664838550097</c:v>
                </c:pt>
                <c:pt idx="85">
                  <c:v>32.820535049746702</c:v>
                </c:pt>
                <c:pt idx="86">
                  <c:v>34.373573350192551</c:v>
                </c:pt>
                <c:pt idx="87">
                  <c:v>36.000100030976988</c:v>
                </c:pt>
                <c:pt idx="88">
                  <c:v>37.703592496387621</c:v>
                </c:pt>
                <c:pt idx="89">
                  <c:v>39.487692698366033</c:v>
                </c:pt>
                <c:pt idx="90">
                  <c:v>41.356214922755292</c:v>
                </c:pt>
                <c:pt idx="91">
                  <c:v>43.313153943985682</c:v>
                </c:pt>
                <c:pt idx="92">
                  <c:v>45.362693565632895</c:v>
                </c:pt>
                <c:pt idx="93">
                  <c:v>47.509215565107738</c:v>
                </c:pt>
                <c:pt idx="94">
                  <c:v>49.757309061600566</c:v>
                </c:pt>
                <c:pt idx="95">
                  <c:v>52.111780327308445</c:v>
                </c:pt>
                <c:pt idx="96">
                  <c:v>54.577663062920799</c:v>
                </c:pt>
                <c:pt idx="97">
                  <c:v>57.160229159331799</c:v>
                </c:pt>
                <c:pt idx="98">
                  <c:v>59.864999968587362</c:v>
                </c:pt>
                <c:pt idx="99">
                  <c:v>62.697758108163249</c:v>
                </c:pt>
                <c:pt idx="100">
                  <c:v>65.664559823811032</c:v>
                </c:pt>
                <c:pt idx="101">
                  <c:v>68.771747937402836</c:v>
                </c:pt>
                <c:pt idx="102">
                  <c:v>72.025965407456496</c:v>
                </c:pt>
                <c:pt idx="103">
                  <c:v>75.434169531332628</c:v>
                </c:pt>
                <c:pt idx="104">
                  <c:v>79.00364681946688</c:v>
                </c:pt>
                <c:pt idx="105">
                  <c:v>82.74202857343758</c:v>
                </c:pt>
                <c:pt idx="106">
                  <c:v>86.65730720117358</c:v>
                </c:pt>
                <c:pt idx="107">
                  <c:v>90.757853304183044</c:v>
                </c:pt>
                <c:pt idx="108">
                  <c:v>95.052433573334682</c:v>
                </c:pt>
                <c:pt idx="109">
                  <c:v>99.550229531451237</c:v>
                </c:pt>
                <c:pt idx="110" formatCode="0.00">
                  <c:v>104.26085716278493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99.999999998690441</c:v>
                </c:pt>
                <c:pt idx="1">
                  <c:v>99.999999998157847</c:v>
                </c:pt>
                <c:pt idx="2">
                  <c:v>99.999999997408622</c:v>
                </c:pt>
                <c:pt idx="3">
                  <c:v>99.999999996354674</c:v>
                </c:pt>
                <c:pt idx="4">
                  <c:v>99.99999999487207</c:v>
                </c:pt>
                <c:pt idx="5">
                  <c:v>99.999999992786485</c:v>
                </c:pt>
                <c:pt idx="6">
                  <c:v>99.999999989852668</c:v>
                </c:pt>
                <c:pt idx="7">
                  <c:v>99.999999985725623</c:v>
                </c:pt>
                <c:pt idx="8">
                  <c:v>99.999999979920091</c:v>
                </c:pt>
                <c:pt idx="9">
                  <c:v>99.999999971753354</c:v>
                </c:pt>
                <c:pt idx="10">
                  <c:v>99.9999999602651</c:v>
                </c:pt>
                <c:pt idx="11">
                  <c:v>99.999999944104474</c:v>
                </c:pt>
                <c:pt idx="12">
                  <c:v>99.999999921371113</c:v>
                </c:pt>
                <c:pt idx="13">
                  <c:v>99.999999889391859</c:v>
                </c:pt>
                <c:pt idx="14">
                  <c:v>99.999999844406261</c:v>
                </c:pt>
                <c:pt idx="15">
                  <c:v>99.999999781124501</c:v>
                </c:pt>
                <c:pt idx="16">
                  <c:v>99.999999692105334</c:v>
                </c:pt>
                <c:pt idx="17">
                  <c:v>99.999999566881058</c:v>
                </c:pt>
                <c:pt idx="18">
                  <c:v>99.999999390726629</c:v>
                </c:pt>
                <c:pt idx="19">
                  <c:v>99.999999142928161</c:v>
                </c:pt>
                <c:pt idx="20">
                  <c:v>99.999998794347235</c:v>
                </c:pt>
                <c:pt idx="21">
                  <c:v>99.99999830399446</c:v>
                </c:pt>
                <c:pt idx="22">
                  <c:v>99.99999761420959</c:v>
                </c:pt>
                <c:pt idx="23">
                  <c:v>99.999996643881332</c:v>
                </c:pt>
                <c:pt idx="24">
                  <c:v>99.999995278909466</c:v>
                </c:pt>
                <c:pt idx="25">
                  <c:v>99.999993358787961</c:v>
                </c:pt>
                <c:pt idx="26">
                  <c:v>99.999990657731104</c:v>
                </c:pt>
                <c:pt idx="27">
                  <c:v>99.999986858123634</c:v>
                </c:pt>
                <c:pt idx="28">
                  <c:v>99.999981513172543</c:v>
                </c:pt>
                <c:pt idx="29">
                  <c:v>99.999973994369114</c:v>
                </c:pt>
                <c:pt idx="30">
                  <c:v>99.999963417583217</c:v>
                </c:pt>
                <c:pt idx="31">
                  <c:v>99.999948539099265</c:v>
                </c:pt>
                <c:pt idx="32">
                  <c:v>99.999927609369294</c:v>
                </c:pt>
                <c:pt idx="33">
                  <c:v>99.999898167285934</c:v>
                </c:pt>
                <c:pt idx="34">
                  <c:v>99.999856750784815</c:v>
                </c:pt>
                <c:pt idx="35">
                  <c:v>99.999798489747519</c:v>
                </c:pt>
                <c:pt idx="36">
                  <c:v>99.999716533336724</c:v>
                </c:pt>
                <c:pt idx="37">
                  <c:v>99.999601244428987</c:v>
                </c:pt>
                <c:pt idx="38">
                  <c:v>99.999439066427414</c:v>
                </c:pt>
                <c:pt idx="39">
                  <c:v>99.999210929220951</c:v>
                </c:pt>
                <c:pt idx="40">
                  <c:v>99.998890006881496</c:v>
                </c:pt>
                <c:pt idx="41">
                  <c:v>99.998438563495512</c:v>
                </c:pt>
                <c:pt idx="42">
                  <c:v>99.997803516365408</c:v>
                </c:pt>
                <c:pt idx="43">
                  <c:v>99.996910195123107</c:v>
                </c:pt>
                <c:pt idx="44">
                  <c:v>99.995653563412219</c:v>
                </c:pt>
                <c:pt idx="45">
                  <c:v>99.993885871928015</c:v>
                </c:pt>
                <c:pt idx="46">
                  <c:v>99.991399292974279</c:v>
                </c:pt>
                <c:pt idx="47">
                  <c:v>99.987901498560689</c:v>
                </c:pt>
                <c:pt idx="48">
                  <c:v>99.982981318230316</c:v>
                </c:pt>
                <c:pt idx="49">
                  <c:v>99.976060454060928</c:v>
                </c:pt>
                <c:pt idx="50">
                  <c:v>99.966325606132614</c:v>
                </c:pt>
                <c:pt idx="51">
                  <c:v>99.952633088648255</c:v>
                </c:pt>
                <c:pt idx="52">
                  <c:v>99.933374842234485</c:v>
                </c:pt>
                <c:pt idx="53">
                  <c:v>99.906290327473741</c:v>
                </c:pt>
                <c:pt idx="54">
                  <c:v>99.868202655968943</c:v>
                </c:pt>
                <c:pt idx="55">
                  <c:v>99.814648870709334</c:v>
                </c:pt>
                <c:pt idx="56">
                  <c:v>99.739362757238993</c:v>
                </c:pt>
                <c:pt idx="57">
                  <c:v>99.6335530341713</c:v>
                </c:pt>
                <c:pt idx="58">
                  <c:v>99.484899271027871</c:v>
                </c:pt>
                <c:pt idx="59">
                  <c:v>99.276161688463404</c:v>
                </c:pt>
                <c:pt idx="60">
                  <c:v>98.983269314064287</c:v>
                </c:pt>
                <c:pt idx="61">
                  <c:v>98.572716422436415</c:v>
                </c:pt>
                <c:pt idx="62">
                  <c:v>97.998067888114093</c:v>
                </c:pt>
                <c:pt idx="63">
                  <c:v>97.1953695634909</c:v>
                </c:pt>
                <c:pt idx="64">
                  <c:v>96.077322036904206</c:v>
                </c:pt>
                <c:pt idx="65">
                  <c:v>94.526288551387282</c:v>
                </c:pt>
                <c:pt idx="66">
                  <c:v>92.386724811750071</c:v>
                </c:pt>
                <c:pt idx="67">
                  <c:v>89.458701516349137</c:v>
                </c:pt>
                <c:pt idx="68">
                  <c:v>85.49622585182702</c:v>
                </c:pt>
                <c:pt idx="69">
                  <c:v>82.448200831183257</c:v>
                </c:pt>
                <c:pt idx="70">
                  <c:v>79.013234431087824</c:v>
                </c:pt>
                <c:pt idx="71">
                  <c:v>75.014206025846164</c:v>
                </c:pt>
                <c:pt idx="72">
                  <c:v>70.406655469009721</c:v>
                </c:pt>
                <c:pt idx="73">
                  <c:v>65.164913425861471</c:v>
                </c:pt>
                <c:pt idx="74">
                  <c:v>59.293274851884426</c:v>
                </c:pt>
                <c:pt idx="75">
                  <c:v>54.279122175041564</c:v>
                </c:pt>
                <c:pt idx="76">
                  <c:v>49.555649558249996</c:v>
                </c:pt>
                <c:pt idx="77">
                  <c:v>44.633622317216748</c:v>
                </c:pt>
                <c:pt idx="78">
                  <c:v>39.578732519609616</c:v>
                </c:pt>
                <c:pt idx="79">
                  <c:v>34.473375181902128</c:v>
                </c:pt>
                <c:pt idx="80">
                  <c:v>29.415010772236151</c:v>
                </c:pt>
                <c:pt idx="81">
                  <c:v>24.512405420402903</c:v>
                </c:pt>
                <c:pt idx="82">
                  <c:v>19.879460380734699</c:v>
                </c:pt>
                <c:pt idx="83">
                  <c:v>15.626692123071598</c:v>
                </c:pt>
                <c:pt idx="84">
                  <c:v>14.505371750739879</c:v>
                </c:pt>
                <c:pt idx="85">
                  <c:v>13.585433966313124</c:v>
                </c:pt>
                <c:pt idx="86">
                  <c:v>12.695577875388619</c:v>
                </c:pt>
                <c:pt idx="87">
                  <c:v>11.836763337906097</c:v>
                </c:pt>
                <c:pt idx="88">
                  <c:v>11.009842410755526</c:v>
                </c:pt>
                <c:pt idx="89">
                  <c:v>10.215552343914847</c:v>
                </c:pt>
                <c:pt idx="90">
                  <c:v>9.4569232449987997</c:v>
                </c:pt>
                <c:pt idx="91">
                  <c:v>8.7327018326305552</c:v>
                </c:pt>
                <c:pt idx="92">
                  <c:v>8.0422672409568072</c:v>
                </c:pt>
                <c:pt idx="93">
                  <c:v>7.3858414716778205</c:v>
                </c:pt>
                <c:pt idx="94">
                  <c:v>6.7635118357535049</c:v>
                </c:pt>
                <c:pt idx="95">
                  <c:v>6.1504816301903364</c:v>
                </c:pt>
                <c:pt idx="96">
                  <c:v>5.5715752214231955</c:v>
                </c:pt>
                <c:pt idx="97">
                  <c:v>5.0295025747868971</c:v>
                </c:pt>
                <c:pt idx="98">
                  <c:v>4.5237259666549958</c:v>
                </c:pt>
                <c:pt idx="99">
                  <c:v>4.0227483502843695</c:v>
                </c:pt>
                <c:pt idx="100">
                  <c:v>3.5599228114866932</c:v>
                </c:pt>
                <c:pt idx="101">
                  <c:v>3.135733247431765</c:v>
                </c:pt>
                <c:pt idx="102">
                  <c:v>2.748790529761449</c:v>
                </c:pt>
                <c:pt idx="103">
                  <c:v>2.3975543326353712</c:v>
                </c:pt>
                <c:pt idx="104">
                  <c:v>2.0803518073409206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5E-4E71-9701-3B13F1D1DA2D}"/>
            </c:ext>
          </c:extLst>
        </c:ser>
        <c:ser>
          <c:idx val="3"/>
          <c:order val="2"/>
          <c:tx>
            <c:v>Grade Efficiency Stage 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0.32240257693945007</c:v>
                </c:pt>
                <c:pt idx="1">
                  <c:v>0.66006095483980709</c:v>
                </c:pt>
                <c:pt idx="2">
                  <c:v>0.69129444758882275</c:v>
                </c:pt>
                <c:pt idx="3">
                  <c:v>0.72400588121913101</c:v>
                </c:pt>
                <c:pt idx="4">
                  <c:v>0.7582651905685085</c:v>
                </c:pt>
                <c:pt idx="5">
                  <c:v>0.79414561972857034</c:v>
                </c:pt>
                <c:pt idx="6">
                  <c:v>0.83172387863569608</c:v>
                </c:pt>
                <c:pt idx="7">
                  <c:v>0.87108030707169681</c:v>
                </c:pt>
                <c:pt idx="8">
                  <c:v>0.91229904642484816</c:v>
                </c:pt>
                <c:pt idx="9">
                  <c:v>0.95546821957850003</c:v>
                </c:pt>
                <c:pt idx="10">
                  <c:v>1.0006801193118551</c:v>
                </c:pt>
                <c:pt idx="11">
                  <c:v>1.0480314056157032</c:v>
                </c:pt>
                <c:pt idx="12">
                  <c:v>1.0976233123449584</c:v>
                </c:pt>
                <c:pt idx="13">
                  <c:v>1.1495618636498102</c:v>
                </c:pt>
                <c:pt idx="14">
                  <c:v>1.2039581006482027</c:v>
                </c:pt>
                <c:pt idx="15">
                  <c:v>1.2609283188242504</c:v>
                </c:pt>
                <c:pt idx="16">
                  <c:v>1.3205943166601379</c:v>
                </c:pt>
                <c:pt idx="17">
                  <c:v>1.3830836560330542</c:v>
                </c:pt>
                <c:pt idx="18">
                  <c:v>1.4485299349338785</c:v>
                </c:pt>
                <c:pt idx="19">
                  <c:v>1.5170730730906712</c:v>
                </c:pt>
                <c:pt idx="20">
                  <c:v>1.5888596111076094</c:v>
                </c:pt>
                <c:pt idx="21">
                  <c:v>1.664043023758911</c:v>
                </c:pt>
                <c:pt idx="22">
                  <c:v>1.7427840481075454</c:v>
                </c:pt>
                <c:pt idx="23">
                  <c:v>1.8252510271502276</c:v>
                </c:pt>
                <c:pt idx="24">
                  <c:v>1.9116202697233859</c:v>
                </c:pt>
                <c:pt idx="25">
                  <c:v>2.0020764274395582</c:v>
                </c:pt>
                <c:pt idx="26">
                  <c:v>2.096812889460077</c:v>
                </c:pt>
                <c:pt idx="27">
                  <c:v>2.1960321959480482</c:v>
                </c:pt>
                <c:pt idx="28">
                  <c:v>2.2999464710855539</c:v>
                </c:pt>
                <c:pt idx="29">
                  <c:v>2.408777876580837</c:v>
                </c:pt>
                <c:pt idx="30">
                  <c:v>2.5227590866350447</c:v>
                </c:pt>
                <c:pt idx="31">
                  <c:v>2.6421337853839688</c:v>
                </c:pt>
                <c:pt idx="32">
                  <c:v>2.7671571878782841</c:v>
                </c:pt>
                <c:pt idx="33">
                  <c:v>2.8980965857161074</c:v>
                </c:pt>
                <c:pt idx="34">
                  <c:v>3.0352319184943948</c:v>
                </c:pt>
                <c:pt idx="35">
                  <c:v>3.178856372300912</c:v>
                </c:pt>
                <c:pt idx="36">
                  <c:v>3.329277006526306</c:v>
                </c:pt>
                <c:pt idx="37">
                  <c:v>3.4868154103363613</c:v>
                </c:pt>
                <c:pt idx="38">
                  <c:v>3.6518083902079361</c:v>
                </c:pt>
                <c:pt idx="39">
                  <c:v>3.8246086899984846</c:v>
                </c:pt>
                <c:pt idx="40">
                  <c:v>4.0055857450886183</c:v>
                </c:pt>
                <c:pt idx="41">
                  <c:v>4.1951264722100223</c:v>
                </c:pt>
                <c:pt idx="42">
                  <c:v>4.393636096647322</c:v>
                </c:pt>
                <c:pt idx="43">
                  <c:v>4.6015390185823914</c:v>
                </c:pt>
                <c:pt idx="44">
                  <c:v>4.8192797204333093</c:v>
                </c:pt>
                <c:pt idx="45">
                  <c:v>5.0473237171277709</c:v>
                </c:pt>
                <c:pt idx="46">
                  <c:v>5.2861585513425968</c:v>
                </c:pt>
                <c:pt idx="47">
                  <c:v>5.5362948358370732</c:v>
                </c:pt>
                <c:pt idx="48">
                  <c:v>5.7982673451085791</c:v>
                </c:pt>
                <c:pt idx="49">
                  <c:v>6.0726361587043698</c:v>
                </c:pt>
                <c:pt idx="50">
                  <c:v>6.3599878586338638</c:v>
                </c:pt>
                <c:pt idx="51">
                  <c:v>6.6609367834413895</c:v>
                </c:pt>
                <c:pt idx="52">
                  <c:v>6.9761263416205415</c:v>
                </c:pt>
                <c:pt idx="53">
                  <c:v>7.3062303871781253</c:v>
                </c:pt>
                <c:pt idx="54">
                  <c:v>7.6519546602885518</c:v>
                </c:pt>
                <c:pt idx="55">
                  <c:v>8.014038296118704</c:v>
                </c:pt>
                <c:pt idx="56">
                  <c:v>8.3932554050490538</c:v>
                </c:pt>
                <c:pt idx="57">
                  <c:v>8.7904167276694132</c:v>
                </c:pt>
                <c:pt idx="58">
                  <c:v>9.2063713680876162</c:v>
                </c:pt>
                <c:pt idx="59">
                  <c:v>9.6420086092567985</c:v>
                </c:pt>
                <c:pt idx="60">
                  <c:v>10.098259814202343</c:v>
                </c:pt>
                <c:pt idx="61">
                  <c:v>10.576100417213187</c:v>
                </c:pt>
                <c:pt idx="62">
                  <c:v>11.076552009254497</c:v>
                </c:pt>
                <c:pt idx="63">
                  <c:v>11.600684522060238</c:v>
                </c:pt>
                <c:pt idx="64">
                  <c:v>12.149618515575007</c:v>
                </c:pt>
                <c:pt idx="65">
                  <c:v>12.724527573635584</c:v>
                </c:pt>
                <c:pt idx="66">
                  <c:v>13.326640813013986</c:v>
                </c:pt>
                <c:pt idx="67">
                  <c:v>13.957245511186184</c:v>
                </c:pt>
                <c:pt idx="68">
                  <c:v>14.617689858444482</c:v>
                </c:pt>
                <c:pt idx="69">
                  <c:v>15.30938584023739</c:v>
                </c:pt>
                <c:pt idx="70">
                  <c:v>16.033812255899235</c:v>
                </c:pt>
                <c:pt idx="71">
                  <c:v>16.79251788022335</c:v>
                </c:pt>
                <c:pt idx="72">
                  <c:v>17.58712477463807</c:v>
                </c:pt>
                <c:pt idx="73">
                  <c:v>18.419331755064604</c:v>
                </c:pt>
                <c:pt idx="74">
                  <c:v>19.290918023870866</c:v>
                </c:pt>
                <c:pt idx="75">
                  <c:v>20.203746973686044</c:v>
                </c:pt>
                <c:pt idx="76">
                  <c:v>21.159770171208336</c:v>
                </c:pt>
                <c:pt idx="77">
                  <c:v>22.161031529522841</c:v>
                </c:pt>
                <c:pt idx="78">
                  <c:v>23.209671677849812</c:v>
                </c:pt>
                <c:pt idx="79">
                  <c:v>24.307932538065504</c:v>
                </c:pt>
                <c:pt idx="80">
                  <c:v>25.458162117779835</c:v>
                </c:pt>
                <c:pt idx="81">
                  <c:v>26.662819530218236</c:v>
                </c:pt>
                <c:pt idx="82">
                  <c:v>27.924480251639782</c:v>
                </c:pt>
                <c:pt idx="83">
                  <c:v>29.245841627531643</c:v>
                </c:pt>
                <c:pt idx="84">
                  <c:v>30.629728639351725</c:v>
                </c:pt>
                <c:pt idx="85">
                  <c:v>32.079099944148396</c:v>
                </c:pt>
                <c:pt idx="86">
                  <c:v>33.597054199969627</c:v>
                </c:pt>
                <c:pt idx="87">
                  <c:v>35.186836690584769</c:v>
                </c:pt>
                <c:pt idx="88">
                  <c:v>36.851846263682305</c:v>
                </c:pt>
                <c:pt idx="89">
                  <c:v>38.595642597376823</c:v>
                </c:pt>
                <c:pt idx="90">
                  <c:v>40.421953810560666</c:v>
                </c:pt>
                <c:pt idx="91">
                  <c:v>42.334684433370484</c:v>
                </c:pt>
                <c:pt idx="92">
                  <c:v>44.337923754809289</c:v>
                </c:pt>
                <c:pt idx="93">
                  <c:v>46.435954565370317</c:v>
                </c:pt>
                <c:pt idx="94">
                  <c:v>48.633262313354152</c:v>
                </c:pt>
                <c:pt idx="95">
                  <c:v>50.934544694454502</c:v>
                </c:pt>
                <c:pt idx="96">
                  <c:v>53.344721695114622</c:v>
                </c:pt>
                <c:pt idx="97">
                  <c:v>55.868946111126299</c:v>
                </c:pt>
                <c:pt idx="98">
                  <c:v>58.51261456395958</c:v>
                </c:pt>
                <c:pt idx="99">
                  <c:v>61.281379038375306</c:v>
                </c:pt>
                <c:pt idx="100">
                  <c:v>64.181158965987137</c:v>
                </c:pt>
                <c:pt idx="101">
                  <c:v>67.218153880606934</c:v>
                </c:pt>
                <c:pt idx="102">
                  <c:v>70.398856672429673</c:v>
                </c:pt>
                <c:pt idx="103">
                  <c:v>73.730067469394555</c:v>
                </c:pt>
                <c:pt idx="104">
                  <c:v>77.218908175399747</c:v>
                </c:pt>
                <c:pt idx="105">
                  <c:v>80.872837696452223</c:v>
                </c:pt>
                <c:pt idx="106">
                  <c:v>84.69966788730558</c:v>
                </c:pt>
                <c:pt idx="107">
                  <c:v>88.707580252678312</c:v>
                </c:pt>
                <c:pt idx="108">
                  <c:v>92.90514343875887</c:v>
                </c:pt>
                <c:pt idx="109">
                  <c:v>97.301331552392952</c:v>
                </c:pt>
                <c:pt idx="110">
                  <c:v>101.90554334711808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1.8905598141246855</c:v>
                </c:pt>
                <c:pt idx="2">
                  <c:v>5.5054944522382669</c:v>
                </c:pt>
                <c:pt idx="3">
                  <c:v>8.3885724698793638</c:v>
                </c:pt>
                <c:pt idx="4">
                  <c:v>10.976316583692508</c:v>
                </c:pt>
                <c:pt idx="5">
                  <c:v>13.391581608968622</c:v>
                </c:pt>
                <c:pt idx="6">
                  <c:v>15.691539430141376</c:v>
                </c:pt>
                <c:pt idx="7">
                  <c:v>17.908525373397794</c:v>
                </c:pt>
                <c:pt idx="8">
                  <c:v>20.062916923207553</c:v>
                </c:pt>
                <c:pt idx="9">
                  <c:v>22.168460107651171</c:v>
                </c:pt>
                <c:pt idx="10">
                  <c:v>24.234856600073059</c:v>
                </c:pt>
                <c:pt idx="11">
                  <c:v>26.269164387984816</c:v>
                </c:pt>
                <c:pt idx="12">
                  <c:v>28.276618369091693</c:v>
                </c:pt>
                <c:pt idx="13">
                  <c:v>30.261140974711367</c:v>
                </c:pt>
                <c:pt idx="14">
                  <c:v>32.22567545417121</c:v>
                </c:pt>
                <c:pt idx="15">
                  <c:v>34.172412061735713</c:v>
                </c:pt>
                <c:pt idx="16">
                  <c:v>36.102946666710437</c:v>
                </c:pt>
                <c:pt idx="17">
                  <c:v>38.018395156770957</c:v>
                </c:pt>
                <c:pt idx="18">
                  <c:v>39.919478042991273</c:v>
                </c:pt>
                <c:pt idx="19">
                  <c:v>41.806584471876754</c:v>
                </c:pt>
                <c:pt idx="20">
                  <c:v>43.679821709548996</c:v>
                </c:pt>
                <c:pt idx="21">
                  <c:v>45.539054203622563</c:v>
                </c:pt>
                <c:pt idx="22">
                  <c:v>47.383935069032127</c:v>
                </c:pt>
                <c:pt idx="23">
                  <c:v>49.213932013493654</c:v>
                </c:pt>
                <c:pt idx="24">
                  <c:v>51.028349157484392</c:v>
                </c:pt>
                <c:pt idx="25">
                  <c:v>52.826345816781014</c:v>
                </c:pt>
                <c:pt idx="26">
                  <c:v>54.606953043360519</c:v>
                </c:pt>
                <c:pt idx="27">
                  <c:v>56.369088525199864</c:v>
                </c:pt>
                <c:pt idx="28">
                  <c:v>58.11157030280453</c:v>
                </c:pt>
                <c:pt idx="29">
                  <c:v>59.83312965401835</c:v>
                </c:pt>
                <c:pt idx="30">
                  <c:v>61.532423417960146</c:v>
                </c:pt>
                <c:pt idx="31">
                  <c:v>63.208045966371309</c:v>
                </c:pt>
                <c:pt idx="32">
                  <c:v>64.858540981094151</c:v>
                </c:pt>
                <c:pt idx="33">
                  <c:v>66.482413156218612</c:v>
                </c:pt>
                <c:pt idx="34">
                  <c:v>68.078139910074341</c:v>
                </c:pt>
                <c:pt idx="35">
                  <c:v>69.644183163880911</c:v>
                </c:pt>
                <c:pt idx="36">
                  <c:v>71.179001219196152</c:v>
                </c:pt>
                <c:pt idx="37">
                  <c:v>72.68106074439703</c:v>
                </c:pt>
                <c:pt idx="38">
                  <c:v>74.148848860639902</c:v>
                </c:pt>
                <c:pt idx="39">
                  <c:v>75.580885299640087</c:v>
                </c:pt>
                <c:pt idx="40">
                  <c:v>76.975734588905709</c:v>
                </c:pt>
                <c:pt idx="41">
                  <c:v>78.332018204606015</c:v>
                </c:pt>
                <c:pt idx="42">
                  <c:v>79.648426617996904</c:v>
                </c:pt>
                <c:pt idx="43">
                  <c:v>80.92373114829266</c:v>
                </c:pt>
                <c:pt idx="44">
                  <c:v>82.156795523159005</c:v>
                </c:pt>
                <c:pt idx="45">
                  <c:v>83.346587037747042</c:v>
                </c:pt>
                <c:pt idx="46">
                  <c:v>84.492187194581874</c:v>
                </c:pt>
                <c:pt idx="47">
                  <c:v>85.592801699871416</c:v>
                </c:pt>
                <c:pt idx="48">
                  <c:v>86.647769687148028</c:v>
                </c:pt>
                <c:pt idx="49">
                  <c:v>87.656572036835087</c:v>
                </c:pt>
                <c:pt idx="50">
                  <c:v>88.618838660580195</c:v>
                </c:pt>
                <c:pt idx="51">
                  <c:v>89.534354622235952</c:v>
                </c:pt>
                <c:pt idx="52">
                  <c:v>90.403064973389533</c:v>
                </c:pt>
                <c:pt idx="53">
                  <c:v>91.225078190491587</c:v>
                </c:pt>
                <c:pt idx="54">
                  <c:v>92.000668113007109</c:v>
                </c:pt>
                <c:pt idx="55">
                  <c:v>92.730274297630885</c:v>
                </c:pt>
                <c:pt idx="56">
                  <c:v>93.414500722419604</c:v>
                </c:pt>
                <c:pt idx="57">
                  <c:v>94.054112796545979</c:v>
                </c:pt>
                <c:pt idx="58">
                  <c:v>94.650032656024337</c:v>
                </c:pt>
                <c:pt idx="59">
                  <c:v>95.203332752836602</c:v>
                </c:pt>
                <c:pt idx="60">
                  <c:v>95.560784684604442</c:v>
                </c:pt>
                <c:pt idx="61">
                  <c:v>95.99230956294835</c:v>
                </c:pt>
                <c:pt idx="62">
                  <c:v>96.394236272238018</c:v>
                </c:pt>
                <c:pt idx="63">
                  <c:v>96.767293977956058</c:v>
                </c:pt>
                <c:pt idx="64">
                  <c:v>97.112313265289444</c:v>
                </c:pt>
                <c:pt idx="65">
                  <c:v>97.430218270598502</c:v>
                </c:pt>
                <c:pt idx="66">
                  <c:v>97.722017868041377</c:v>
                </c:pt>
                <c:pt idx="67">
                  <c:v>97.988796018513739</c:v>
                </c:pt>
                <c:pt idx="68">
                  <c:v>98.231701406353309</c:v>
                </c:pt>
                <c:pt idx="69">
                  <c:v>98.451936505689886</c:v>
                </c:pt>
                <c:pt idx="70">
                  <c:v>98.650746232329226</c:v>
                </c:pt>
                <c:pt idx="71">
                  <c:v>98.829406348111689</c:v>
                </c:pt>
                <c:pt idx="72">
                  <c:v>98.989211792303692</c:v>
                </c:pt>
                <c:pt idx="73">
                  <c:v>99.131465118358406</c:v>
                </c:pt>
                <c:pt idx="74">
                  <c:v>99.257465214016818</c:v>
                </c:pt>
                <c:pt idx="75">
                  <c:v>99.368496478027424</c:v>
                </c:pt>
                <c:pt idx="76">
                  <c:v>99.465818617692662</c:v>
                </c:pt>
                <c:pt idx="77">
                  <c:v>99.550657218108654</c:v>
                </c:pt>
                <c:pt idx="78">
                  <c:v>99.624195216608356</c:v>
                </c:pt>
                <c:pt idx="79">
                  <c:v>99.687565394968175</c:v>
                </c:pt>
                <c:pt idx="80">
                  <c:v>99.741843977961977</c:v>
                </c:pt>
                <c:pt idx="81">
                  <c:v>99.78804540054972</c:v>
                </c:pt>
                <c:pt idx="82">
                  <c:v>99.827118278188507</c:v>
                </c:pt>
                <c:pt idx="83">
                  <c:v>99.859942586353128</c:v>
                </c:pt>
                <c:pt idx="84">
                  <c:v>99.887328027295908</c:v>
                </c:pt>
                <c:pt idx="85">
                  <c:v>99.910013535314405</c:v>
                </c:pt>
                <c:pt idx="86">
                  <c:v>99.92866784724113</c:v>
                </c:pt>
                <c:pt idx="87">
                  <c:v>99.943891043349552</c:v>
                </c:pt>
                <c:pt idx="88">
                  <c:v>99.956216946088986</c:v>
                </c:pt>
                <c:pt idx="89">
                  <c:v>99.966116250559182</c:v>
                </c:pt>
                <c:pt idx="90">
                  <c:v>99.974000251764721</c:v>
                </c:pt>
                <c:pt idx="91">
                  <c:v>99.980225029595374</c:v>
                </c:pt>
                <c:pt idx="92">
                  <c:v>99.985095953090237</c:v>
                </c:pt>
                <c:pt idx="93">
                  <c:v>99.988872370581575</c:v>
                </c:pt>
                <c:pt idx="94">
                  <c:v>99.991772361310396</c:v>
                </c:pt>
                <c:pt idx="95">
                  <c:v>99.993977436429205</c:v>
                </c:pt>
                <c:pt idx="96">
                  <c:v>99.995637092207133</c:v>
                </c:pt>
                <c:pt idx="97">
                  <c:v>99.996873134901819</c:v>
                </c:pt>
                <c:pt idx="98">
                  <c:v>99.997783714309222</c:v>
                </c:pt>
                <c:pt idx="99">
                  <c:v>99.998447020617633</c:v>
                </c:pt>
                <c:pt idx="100">
                  <c:v>99.998924616117307</c:v>
                </c:pt>
                <c:pt idx="101">
                  <c:v>99.999264388900556</c:v>
                </c:pt>
                <c:pt idx="102">
                  <c:v>99.999503129417079</c:v>
                </c:pt>
                <c:pt idx="103">
                  <c:v>99.999668742266692</c:v>
                </c:pt>
                <c:pt idx="104">
                  <c:v>99.999782114720006</c:v>
                </c:pt>
                <c:pt idx="105">
                  <c:v>99.999858670115998</c:v>
                </c:pt>
                <c:pt idx="106">
                  <c:v>99.999909638589855</c:v>
                </c:pt>
                <c:pt idx="107">
                  <c:v>99.999943079746757</c:v>
                </c:pt>
                <c:pt idx="108">
                  <c:v>99.999964692213297</c:v>
                </c:pt>
                <c:pt idx="109">
                  <c:v>99.999978443816048</c:v>
                </c:pt>
                <c:pt idx="110">
                  <c:v>99.999987053825294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5E-4E71-9701-3B13F1D1D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34784"/>
        <c:axId val="189028224"/>
      </c:scatterChart>
      <c:valAx>
        <c:axId val="1889347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87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028224"/>
        <c:crossesAt val="0.1"/>
        <c:crossBetween val="midCat"/>
        <c:majorUnit val="10"/>
        <c:minorUnit val="10"/>
      </c:valAx>
      <c:valAx>
        <c:axId val="18902822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9347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91"/>
          <c:y val="9.5461804733049743E-2"/>
          <c:w val="0.60304369442806693"/>
          <c:h val="3.91236904643646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71E-2"/>
          <c:y val="0.16744939518748247"/>
          <c:w val="0.88606242549520575"/>
          <c:h val="0.73239548549290501"/>
        </c:manualLayout>
      </c:layout>
      <c:scatterChart>
        <c:scatterStyle val="smoothMarker"/>
        <c:varyColors val="0"/>
        <c:ser>
          <c:idx val="4"/>
          <c:order val="0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0.64480515387890014</c:v>
                </c:pt>
                <c:pt idx="1">
                  <c:v>0.67531675580071404</c:v>
                </c:pt>
                <c:pt idx="2">
                  <c:v>0.70727213937693145</c:v>
                </c:pt>
                <c:pt idx="3">
                  <c:v>0.74073962306133068</c:v>
                </c:pt>
                <c:pt idx="4">
                  <c:v>0.77579075807568643</c:v>
                </c:pt>
                <c:pt idx="5">
                  <c:v>0.81250048138145436</c:v>
                </c:pt>
                <c:pt idx="6">
                  <c:v>0.85094727588993779</c:v>
                </c:pt>
                <c:pt idx="7">
                  <c:v>0.89121333825345594</c:v>
                </c:pt>
                <c:pt idx="8">
                  <c:v>0.93338475459624037</c:v>
                </c:pt>
                <c:pt idx="9">
                  <c:v>0.97755168456075958</c:v>
                </c:pt>
                <c:pt idx="10">
                  <c:v>1.0238085540629507</c:v>
                </c:pt>
                <c:pt idx="11">
                  <c:v>1.0722542571684557</c:v>
                </c:pt>
                <c:pt idx="12">
                  <c:v>1.122992367521461</c:v>
                </c:pt>
                <c:pt idx="13">
                  <c:v>1.1761313597781595</c:v>
                </c:pt>
                <c:pt idx="14">
                  <c:v>1.2317848415182457</c:v>
                </c:pt>
                <c:pt idx="15">
                  <c:v>1.2900717961302552</c:v>
                </c:pt>
                <c:pt idx="16">
                  <c:v>1.3511168371900206</c:v>
                </c:pt>
                <c:pt idx="17">
                  <c:v>1.4150504748760875</c:v>
                </c:pt>
                <c:pt idx="18">
                  <c:v>1.4820093949916695</c:v>
                </c:pt>
                <c:pt idx="19">
                  <c:v>1.5521367511896729</c:v>
                </c:pt>
                <c:pt idx="20">
                  <c:v>1.625582471025546</c:v>
                </c:pt>
                <c:pt idx="21">
                  <c:v>1.702503576492276</c:v>
                </c:pt>
                <c:pt idx="22">
                  <c:v>1.7830645197228145</c:v>
                </c:pt>
                <c:pt idx="23">
                  <c:v>1.8674375345776404</c:v>
                </c:pt>
                <c:pt idx="24">
                  <c:v>1.9558030048691317</c:v>
                </c:pt>
                <c:pt idx="25">
                  <c:v>2.0483498500099846</c:v>
                </c:pt>
                <c:pt idx="26">
                  <c:v>2.145275928910169</c:v>
                </c:pt>
                <c:pt idx="27">
                  <c:v>2.2467884629859274</c:v>
                </c:pt>
                <c:pt idx="28">
                  <c:v>2.3531044791851801</c:v>
                </c:pt>
                <c:pt idx="29">
                  <c:v>2.4644512739764939</c:v>
                </c:pt>
                <c:pt idx="30">
                  <c:v>2.5810668992935955</c:v>
                </c:pt>
                <c:pt idx="31">
                  <c:v>2.7032006714743417</c:v>
                </c:pt>
                <c:pt idx="32">
                  <c:v>2.8311137042822265</c:v>
                </c:pt>
                <c:pt idx="33">
                  <c:v>2.9650794671499878</c:v>
                </c:pt>
                <c:pt idx="34">
                  <c:v>3.1053843698388013</c:v>
                </c:pt>
                <c:pt idx="35">
                  <c:v>3.2523283747630227</c:v>
                </c:pt>
                <c:pt idx="36">
                  <c:v>3.4062256382895892</c:v>
                </c:pt>
                <c:pt idx="37">
                  <c:v>3.567405182383133</c:v>
                </c:pt>
                <c:pt idx="38">
                  <c:v>3.7362115980327393</c:v>
                </c:pt>
                <c:pt idx="39">
                  <c:v>3.9130057819642294</c:v>
                </c:pt>
                <c:pt idx="40">
                  <c:v>4.0981657082130063</c:v>
                </c:pt>
                <c:pt idx="41">
                  <c:v>4.2920872362070392</c:v>
                </c:pt>
                <c:pt idx="42">
                  <c:v>4.4951849570876057</c:v>
                </c:pt>
                <c:pt idx="43">
                  <c:v>4.7078930800771781</c:v>
                </c:pt>
                <c:pt idx="44">
                  <c:v>4.9306663607894397</c:v>
                </c:pt>
                <c:pt idx="45">
                  <c:v>5.1639810734661014</c:v>
                </c:pt>
                <c:pt idx="46">
                  <c:v>5.4083360292190914</c:v>
                </c:pt>
                <c:pt idx="47">
                  <c:v>5.6642536424550549</c:v>
                </c:pt>
                <c:pt idx="48">
                  <c:v>5.9322810477621024</c:v>
                </c:pt>
                <c:pt idx="49">
                  <c:v>6.2129912696466381</c:v>
                </c:pt>
                <c:pt idx="50">
                  <c:v>6.5069844476210896</c:v>
                </c:pt>
                <c:pt idx="51">
                  <c:v>6.8148891192616885</c:v>
                </c:pt>
                <c:pt idx="52">
                  <c:v>7.1373635639793944</c:v>
                </c:pt>
                <c:pt idx="53">
                  <c:v>7.4750972103768571</c:v>
                </c:pt>
                <c:pt idx="54">
                  <c:v>7.8288121102002464</c:v>
                </c:pt>
                <c:pt idx="55">
                  <c:v>8.1992644820371616</c:v>
                </c:pt>
                <c:pt idx="56">
                  <c:v>8.5872463280609441</c:v>
                </c:pt>
                <c:pt idx="57">
                  <c:v>8.9935871272778822</c:v>
                </c:pt>
                <c:pt idx="58">
                  <c:v>9.419155608897352</c:v>
                </c:pt>
                <c:pt idx="59">
                  <c:v>9.8648616096162467</c:v>
                </c:pt>
                <c:pt idx="60">
                  <c:v>10.331658018788442</c:v>
                </c:pt>
                <c:pt idx="61">
                  <c:v>10.82054281563793</c:v>
                </c:pt>
                <c:pt idx="62">
                  <c:v>11.332561202871064</c:v>
                </c:pt>
                <c:pt idx="63">
                  <c:v>11.868807841249414</c:v>
                </c:pt>
                <c:pt idx="64">
                  <c:v>12.430429189900602</c:v>
                </c:pt>
                <c:pt idx="65">
                  <c:v>13.018625957370567</c:v>
                </c:pt>
                <c:pt idx="66">
                  <c:v>13.634655668657405</c:v>
                </c:pt>
                <c:pt idx="67">
                  <c:v>14.279835353714962</c:v>
                </c:pt>
                <c:pt idx="68">
                  <c:v>14.955544363174001</c:v>
                </c:pt>
                <c:pt idx="69">
                  <c:v>15.66322731730078</c:v>
                </c:pt>
                <c:pt idx="70">
                  <c:v>16.404397194497694</c:v>
                </c:pt>
                <c:pt idx="71">
                  <c:v>17.18063856594901</c:v>
                </c:pt>
                <c:pt idx="72">
                  <c:v>17.99361098332713</c:v>
                </c:pt>
                <c:pt idx="73">
                  <c:v>18.845052526802082</c:v>
                </c:pt>
                <c:pt idx="74">
                  <c:v>19.73678352093965</c:v>
                </c:pt>
                <c:pt idx="75">
                  <c:v>20.670710426432443</c:v>
                </c:pt>
                <c:pt idx="76">
                  <c:v>21.648829915984233</c:v>
                </c:pt>
                <c:pt idx="77">
                  <c:v>22.673233143061449</c:v>
                </c:pt>
                <c:pt idx="78">
                  <c:v>23.746110212638179</c:v>
                </c:pt>
                <c:pt idx="79">
                  <c:v>24.86975486349283</c:v>
                </c:pt>
                <c:pt idx="80">
                  <c:v>26.046569372066841</c:v>
                </c:pt>
                <c:pt idx="81">
                  <c:v>27.279069688369631</c:v>
                </c:pt>
                <c:pt idx="82">
                  <c:v>28.569890814909932</c:v>
                </c:pt>
                <c:pt idx="83">
                  <c:v>29.921792440153354</c:v>
                </c:pt>
                <c:pt idx="84">
                  <c:v>31.337664838550097</c:v>
                </c:pt>
                <c:pt idx="85">
                  <c:v>32.820535049746702</c:v>
                </c:pt>
                <c:pt idx="86">
                  <c:v>34.373573350192551</c:v>
                </c:pt>
                <c:pt idx="87">
                  <c:v>36.000100030976988</c:v>
                </c:pt>
                <c:pt idx="88">
                  <c:v>37.703592496387621</c:v>
                </c:pt>
                <c:pt idx="89">
                  <c:v>39.487692698366033</c:v>
                </c:pt>
                <c:pt idx="90">
                  <c:v>41.356214922755292</c:v>
                </c:pt>
                <c:pt idx="91">
                  <c:v>43.313153943985682</c:v>
                </c:pt>
                <c:pt idx="92">
                  <c:v>45.362693565632895</c:v>
                </c:pt>
                <c:pt idx="93">
                  <c:v>47.509215565107738</c:v>
                </c:pt>
                <c:pt idx="94">
                  <c:v>49.757309061600566</c:v>
                </c:pt>
                <c:pt idx="95">
                  <c:v>52.111780327308445</c:v>
                </c:pt>
                <c:pt idx="96">
                  <c:v>54.577663062920799</c:v>
                </c:pt>
                <c:pt idx="97">
                  <c:v>57.160229159331799</c:v>
                </c:pt>
                <c:pt idx="98">
                  <c:v>59.864999968587362</c:v>
                </c:pt>
                <c:pt idx="99">
                  <c:v>62.697758108163249</c:v>
                </c:pt>
                <c:pt idx="100">
                  <c:v>65.664559823811032</c:v>
                </c:pt>
                <c:pt idx="101">
                  <c:v>68.771747937402836</c:v>
                </c:pt>
                <c:pt idx="102">
                  <c:v>72.025965407456496</c:v>
                </c:pt>
                <c:pt idx="103">
                  <c:v>75.434169531332628</c:v>
                </c:pt>
                <c:pt idx="104">
                  <c:v>79.00364681946688</c:v>
                </c:pt>
                <c:pt idx="105">
                  <c:v>82.74202857343758</c:v>
                </c:pt>
                <c:pt idx="106">
                  <c:v>86.65730720117358</c:v>
                </c:pt>
                <c:pt idx="107">
                  <c:v>90.757853304183044</c:v>
                </c:pt>
                <c:pt idx="108">
                  <c:v>95.052433573334682</c:v>
                </c:pt>
                <c:pt idx="109">
                  <c:v>99.550229531451237</c:v>
                </c:pt>
                <c:pt idx="110">
                  <c:v>104.26085716278493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99.999999837208065</c:v>
                </c:pt>
                <c:pt idx="1">
                  <c:v>99.999999772250774</c:v>
                </c:pt>
                <c:pt idx="2">
                  <c:v>99.999999684241672</c:v>
                </c:pt>
                <c:pt idx="3">
                  <c:v>99.999999564214946</c:v>
                </c:pt>
                <c:pt idx="4">
                  <c:v>99.999999400140695</c:v>
                </c:pt>
                <c:pt idx="5">
                  <c:v>99.999999175598234</c:v>
                </c:pt>
                <c:pt idx="6">
                  <c:v>99.999998868119846</c:v>
                </c:pt>
                <c:pt idx="7">
                  <c:v>99.99999844696103</c:v>
                </c:pt>
                <c:pt idx="8">
                  <c:v>99.999997870060042</c:v>
                </c:pt>
                <c:pt idx="9">
                  <c:v>99.999997079901874</c:v>
                </c:pt>
                <c:pt idx="10">
                  <c:v>99.999995997887353</c:v>
                </c:pt>
                <c:pt idx="11">
                  <c:v>99.999994516674747</c:v>
                </c:pt>
                <c:pt idx="12">
                  <c:v>99.999992489765148</c:v>
                </c:pt>
                <c:pt idx="13">
                  <c:v>99.999989717381695</c:v>
                </c:pt>
                <c:pt idx="14">
                  <c:v>99.999985927299335</c:v>
                </c:pt>
                <c:pt idx="15">
                  <c:v>99.999980748888831</c:v>
                </c:pt>
                <c:pt idx="16">
                  <c:v>99.99997367799412</c:v>
                </c:pt>
                <c:pt idx="17">
                  <c:v>99.999964029459846</c:v>
                </c:pt>
                <c:pt idx="18">
                  <c:v>99.999950873053464</c:v>
                </c:pt>
                <c:pt idx="19">
                  <c:v>99.999932947092361</c:v>
                </c:pt>
                <c:pt idx="20">
                  <c:v>99.999908542157883</c:v>
                </c:pt>
                <c:pt idx="21">
                  <c:v>99.999875344776996</c:v>
                </c:pt>
                <c:pt idx="22">
                  <c:v>99.999830227588959</c:v>
                </c:pt>
                <c:pt idx="23">
                  <c:v>99.999768968113969</c:v>
                </c:pt>
                <c:pt idx="24">
                  <c:v>99.999685872434839</c:v>
                </c:pt>
                <c:pt idx="25">
                  <c:v>99.999573272476255</c:v>
                </c:pt>
                <c:pt idx="26">
                  <c:v>99.999420855598473</c:v>
                </c:pt>
                <c:pt idx="27">
                  <c:v>99.999214772194733</c:v>
                </c:pt>
                <c:pt idx="28">
                  <c:v>99.998936450016018</c:v>
                </c:pt>
                <c:pt idx="29">
                  <c:v>99.998561021959915</c:v>
                </c:pt>
                <c:pt idx="30">
                  <c:v>99.998055245584013</c:v>
                </c:pt>
                <c:pt idx="31">
                  <c:v>99.997374755917875</c:v>
                </c:pt>
                <c:pt idx="32">
                  <c:v>99.996460446035712</c:v>
                </c:pt>
                <c:pt idx="33">
                  <c:v>99.995233709552963</c:v>
                </c:pt>
                <c:pt idx="34">
                  <c:v>99.993590202408598</c:v>
                </c:pt>
                <c:pt idx="35">
                  <c:v>99.991391683849628</c:v>
                </c:pt>
                <c:pt idx="36">
                  <c:v>99.988455373489529</c:v>
                </c:pt>
                <c:pt idx="37">
                  <c:v>99.984540106733135</c:v>
                </c:pt>
                <c:pt idx="38">
                  <c:v>99.979328377661815</c:v>
                </c:pt>
                <c:pt idx="39">
                  <c:v>99.972403118445499</c:v>
                </c:pt>
                <c:pt idx="40">
                  <c:v>99.963217767963599</c:v>
                </c:pt>
                <c:pt idx="41">
                  <c:v>99.951057818880088</c:v>
                </c:pt>
                <c:pt idx="42">
                  <c:v>99.934991590072372</c:v>
                </c:pt>
                <c:pt idx="43">
                  <c:v>99.913807437506051</c:v>
                </c:pt>
                <c:pt idx="44">
                  <c:v>99.885933978472877</c:v>
                </c:pt>
                <c:pt idx="45">
                  <c:v>99.849339149561047</c:v>
                </c:pt>
                <c:pt idx="46">
                  <c:v>99.801403037905899</c:v>
                </c:pt>
                <c:pt idx="47">
                  <c:v>99.738758412968224</c:v>
                </c:pt>
                <c:pt idx="48">
                  <c:v>99.657091745270975</c:v>
                </c:pt>
                <c:pt idx="49">
                  <c:v>99.550896245685323</c:v>
                </c:pt>
                <c:pt idx="50">
                  <c:v>99.413167132433031</c:v>
                </c:pt>
                <c:pt idx="51">
                  <c:v>99.235028005791378</c:v>
                </c:pt>
                <c:pt idx="52">
                  <c:v>99.005276009494821</c:v>
                </c:pt>
                <c:pt idx="53">
                  <c:v>98.709832594685139</c:v>
                </c:pt>
                <c:pt idx="54">
                  <c:v>98.331086521891763</c:v>
                </c:pt>
                <c:pt idx="55">
                  <c:v>97.847116794410766</c:v>
                </c:pt>
                <c:pt idx="56">
                  <c:v>97.230786401968061</c:v>
                </c:pt>
                <c:pt idx="57">
                  <c:v>96.448704486328737</c:v>
                </c:pt>
                <c:pt idx="58">
                  <c:v>95.460067079670381</c:v>
                </c:pt>
                <c:pt idx="59">
                  <c:v>94.215408488769967</c:v>
                </c:pt>
                <c:pt idx="60">
                  <c:v>92.599099922463964</c:v>
                </c:pt>
                <c:pt idx="61">
                  <c:v>90.553723321257493</c:v>
                </c:pt>
                <c:pt idx="62">
                  <c:v>87.977938564591156</c:v>
                </c:pt>
                <c:pt idx="63">
                  <c:v>84.752204440185807</c:v>
                </c:pt>
                <c:pt idx="64">
                  <c:v>80.738731466948806</c:v>
                </c:pt>
                <c:pt idx="65">
                  <c:v>75.783916842221274</c:v>
                </c:pt>
                <c:pt idx="66">
                  <c:v>69.725131834853698</c:v>
                </c:pt>
                <c:pt idx="67">
                  <c:v>62.404633477368471</c:v>
                </c:pt>
                <c:pt idx="68">
                  <c:v>53.694351606208109</c:v>
                </c:pt>
                <c:pt idx="69">
                  <c:v>47.8286860522119</c:v>
                </c:pt>
                <c:pt idx="70">
                  <c:v>42.067311201707582</c:v>
                </c:pt>
                <c:pt idx="71">
                  <c:v>36.248012453681397</c:v>
                </c:pt>
                <c:pt idx="72">
                  <c:v>30.458522886712462</c:v>
                </c:pt>
                <c:pt idx="73">
                  <c:v>24.79909006130092</c:v>
                </c:pt>
                <c:pt idx="74">
                  <c:v>19.379254391892999</c:v>
                </c:pt>
                <c:pt idx="75">
                  <c:v>15.442998438240341</c:v>
                </c:pt>
                <c:pt idx="76">
                  <c:v>12.306391134867068</c:v>
                </c:pt>
                <c:pt idx="77">
                  <c:v>9.5570300424056498</c:v>
                </c:pt>
                <c:pt idx="78">
                  <c:v>7.195551545403867</c:v>
                </c:pt>
                <c:pt idx="79">
                  <c:v>5.2126768308715157</c:v>
                </c:pt>
                <c:pt idx="80">
                  <c:v>3.589363432292477</c:v>
                </c:pt>
                <c:pt idx="81">
                  <c:v>2.2976095364651021</c:v>
                </c:pt>
                <c:pt idx="82">
                  <c:v>1.3019376899594435</c:v>
                </c:pt>
                <c:pt idx="83">
                  <c:v>0.56150118912760827</c:v>
                </c:pt>
                <c:pt idx="84">
                  <c:v>0.40444479923545118</c:v>
                </c:pt>
                <c:pt idx="85">
                  <c:v>0.30153762648784954</c:v>
                </c:pt>
                <c:pt idx="86">
                  <c:v>0.2226307035014119</c:v>
                </c:pt>
                <c:pt idx="87">
                  <c:v>0.16272866800947186</c:v>
                </c:pt>
                <c:pt idx="88">
                  <c:v>0.11772167132699608</c:v>
                </c:pt>
                <c:pt idx="89">
                  <c:v>8.4265164635709822E-2</c:v>
                </c:pt>
                <c:pt idx="90">
                  <c:v>5.974583234258405E-2</c:v>
                </c:pt>
                <c:pt idx="91">
                  <c:v>4.1942667911768962E-2</c:v>
                </c:pt>
                <c:pt idx="92">
                  <c:v>2.9150717989867944E-2</c:v>
                </c:pt>
                <c:pt idx="93">
                  <c:v>2.0070458168160867E-2</c:v>
                </c:pt>
                <c:pt idx="94">
                  <c:v>1.3705351376491644E-2</c:v>
                </c:pt>
                <c:pt idx="95">
                  <c:v>9.1157679722775088E-3</c:v>
                </c:pt>
                <c:pt idx="96">
                  <c:v>5.9760228690998556E-3</c:v>
                </c:pt>
                <c:pt idx="97">
                  <c:v>3.8689641541287878E-3</c:v>
                </c:pt>
                <c:pt idx="98">
                  <c:v>2.4755042333866649E-3</c:v>
                </c:pt>
                <c:pt idx="99">
                  <c:v>1.5083538421396547E-3</c:v>
                </c:pt>
                <c:pt idx="100">
                  <c:v>8.8963856679003396E-4</c:v>
                </c:pt>
                <c:pt idx="101">
                  <c:v>5.017399302025985E-4</c:v>
                </c:pt>
                <c:pt idx="102">
                  <c:v>2.6273879564892911E-4</c:v>
                </c:pt>
                <c:pt idx="103">
                  <c:v>1.1810316554953097E-4</c:v>
                </c:pt>
                <c:pt idx="104">
                  <c:v>3.2187071079594937E-5</c:v>
                </c:pt>
                <c:pt idx="105">
                  <c:v>3.2187071079594937E-5</c:v>
                </c:pt>
                <c:pt idx="106">
                  <c:v>3.2187071079594937E-5</c:v>
                </c:pt>
                <c:pt idx="107">
                  <c:v>3.2187071079594937E-5</c:v>
                </c:pt>
                <c:pt idx="108">
                  <c:v>3.2187071079594937E-5</c:v>
                </c:pt>
                <c:pt idx="109">
                  <c:v>3.2187071079594937E-5</c:v>
                </c:pt>
                <c:pt idx="110">
                  <c:v>5.4410211687734578E-15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30-44FF-B504-4404C1E654B2}"/>
            </c:ext>
          </c:extLst>
        </c:ser>
        <c:ser>
          <c:idx val="0"/>
          <c:order val="1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0.32240257693945007</c:v>
                </c:pt>
                <c:pt idx="1">
                  <c:v>0.66006095483980709</c:v>
                </c:pt>
                <c:pt idx="2">
                  <c:v>0.69129444758882275</c:v>
                </c:pt>
                <c:pt idx="3">
                  <c:v>0.72400588121913101</c:v>
                </c:pt>
                <c:pt idx="4">
                  <c:v>0.7582651905685085</c:v>
                </c:pt>
                <c:pt idx="5">
                  <c:v>0.79414561972857034</c:v>
                </c:pt>
                <c:pt idx="6">
                  <c:v>0.83172387863569608</c:v>
                </c:pt>
                <c:pt idx="7">
                  <c:v>0.87108030707169681</c:v>
                </c:pt>
                <c:pt idx="8">
                  <c:v>0.91229904642484816</c:v>
                </c:pt>
                <c:pt idx="9">
                  <c:v>0.95546821957850003</c:v>
                </c:pt>
                <c:pt idx="10">
                  <c:v>1.0006801193118551</c:v>
                </c:pt>
                <c:pt idx="11">
                  <c:v>1.0480314056157032</c:v>
                </c:pt>
                <c:pt idx="12">
                  <c:v>1.0976233123449584</c:v>
                </c:pt>
                <c:pt idx="13">
                  <c:v>1.1495618636498102</c:v>
                </c:pt>
                <c:pt idx="14">
                  <c:v>1.2039581006482027</c:v>
                </c:pt>
                <c:pt idx="15">
                  <c:v>1.2609283188242504</c:v>
                </c:pt>
                <c:pt idx="16">
                  <c:v>1.3205943166601379</c:v>
                </c:pt>
                <c:pt idx="17">
                  <c:v>1.3830836560330542</c:v>
                </c:pt>
                <c:pt idx="18">
                  <c:v>1.4485299349338785</c:v>
                </c:pt>
                <c:pt idx="19">
                  <c:v>1.5170730730906712</c:v>
                </c:pt>
                <c:pt idx="20">
                  <c:v>1.5888596111076094</c:v>
                </c:pt>
                <c:pt idx="21">
                  <c:v>1.664043023758911</c:v>
                </c:pt>
                <c:pt idx="22">
                  <c:v>1.7427840481075454</c:v>
                </c:pt>
                <c:pt idx="23">
                  <c:v>1.8252510271502276</c:v>
                </c:pt>
                <c:pt idx="24">
                  <c:v>1.9116202697233859</c:v>
                </c:pt>
                <c:pt idx="25">
                  <c:v>2.0020764274395582</c:v>
                </c:pt>
                <c:pt idx="26">
                  <c:v>2.096812889460077</c:v>
                </c:pt>
                <c:pt idx="27">
                  <c:v>2.1960321959480482</c:v>
                </c:pt>
                <c:pt idx="28">
                  <c:v>2.2999464710855539</c:v>
                </c:pt>
                <c:pt idx="29">
                  <c:v>2.408777876580837</c:v>
                </c:pt>
                <c:pt idx="30">
                  <c:v>2.5227590866350447</c:v>
                </c:pt>
                <c:pt idx="31">
                  <c:v>2.6421337853839688</c:v>
                </c:pt>
                <c:pt idx="32">
                  <c:v>2.7671571878782841</c:v>
                </c:pt>
                <c:pt idx="33">
                  <c:v>2.8980965857161074</c:v>
                </c:pt>
                <c:pt idx="34">
                  <c:v>3.0352319184943948</c:v>
                </c:pt>
                <c:pt idx="35">
                  <c:v>3.178856372300912</c:v>
                </c:pt>
                <c:pt idx="36">
                  <c:v>3.329277006526306</c:v>
                </c:pt>
                <c:pt idx="37">
                  <c:v>3.4868154103363613</c:v>
                </c:pt>
                <c:pt idx="38">
                  <c:v>3.6518083902079361</c:v>
                </c:pt>
                <c:pt idx="39">
                  <c:v>3.8246086899984846</c:v>
                </c:pt>
                <c:pt idx="40">
                  <c:v>4.0055857450886183</c:v>
                </c:pt>
                <c:pt idx="41">
                  <c:v>4.1951264722100223</c:v>
                </c:pt>
                <c:pt idx="42">
                  <c:v>4.393636096647322</c:v>
                </c:pt>
                <c:pt idx="43">
                  <c:v>4.6015390185823914</c:v>
                </c:pt>
                <c:pt idx="44">
                  <c:v>4.8192797204333093</c:v>
                </c:pt>
                <c:pt idx="45">
                  <c:v>5.0473237171277709</c:v>
                </c:pt>
                <c:pt idx="46">
                  <c:v>5.2861585513425968</c:v>
                </c:pt>
                <c:pt idx="47">
                  <c:v>5.5362948358370732</c:v>
                </c:pt>
                <c:pt idx="48">
                  <c:v>5.7982673451085791</c:v>
                </c:pt>
                <c:pt idx="49">
                  <c:v>6.0726361587043698</c:v>
                </c:pt>
                <c:pt idx="50">
                  <c:v>6.3599878586338638</c:v>
                </c:pt>
                <c:pt idx="51">
                  <c:v>6.6609367834413895</c:v>
                </c:pt>
                <c:pt idx="52">
                  <c:v>6.9761263416205415</c:v>
                </c:pt>
                <c:pt idx="53">
                  <c:v>7.3062303871781253</c:v>
                </c:pt>
                <c:pt idx="54">
                  <c:v>7.6519546602885518</c:v>
                </c:pt>
                <c:pt idx="55">
                  <c:v>8.014038296118704</c:v>
                </c:pt>
                <c:pt idx="56">
                  <c:v>8.3932554050490538</c:v>
                </c:pt>
                <c:pt idx="57">
                  <c:v>8.7904167276694132</c:v>
                </c:pt>
                <c:pt idx="58">
                  <c:v>9.2063713680876162</c:v>
                </c:pt>
                <c:pt idx="59">
                  <c:v>9.6420086092567985</c:v>
                </c:pt>
                <c:pt idx="60">
                  <c:v>10.098259814202343</c:v>
                </c:pt>
                <c:pt idx="61">
                  <c:v>10.576100417213187</c:v>
                </c:pt>
                <c:pt idx="62">
                  <c:v>11.076552009254497</c:v>
                </c:pt>
                <c:pt idx="63">
                  <c:v>11.600684522060238</c:v>
                </c:pt>
                <c:pt idx="64">
                  <c:v>12.149618515575007</c:v>
                </c:pt>
                <c:pt idx="65">
                  <c:v>12.724527573635584</c:v>
                </c:pt>
                <c:pt idx="66">
                  <c:v>13.326640813013986</c:v>
                </c:pt>
                <c:pt idx="67">
                  <c:v>13.957245511186184</c:v>
                </c:pt>
                <c:pt idx="68">
                  <c:v>14.617689858444482</c:v>
                </c:pt>
                <c:pt idx="69">
                  <c:v>15.30938584023739</c:v>
                </c:pt>
                <c:pt idx="70">
                  <c:v>16.033812255899235</c:v>
                </c:pt>
                <c:pt idx="71">
                  <c:v>16.79251788022335</c:v>
                </c:pt>
                <c:pt idx="72">
                  <c:v>17.58712477463807</c:v>
                </c:pt>
                <c:pt idx="73">
                  <c:v>18.419331755064604</c:v>
                </c:pt>
                <c:pt idx="74">
                  <c:v>19.290918023870866</c:v>
                </c:pt>
                <c:pt idx="75">
                  <c:v>20.203746973686044</c:v>
                </c:pt>
                <c:pt idx="76">
                  <c:v>21.159770171208336</c:v>
                </c:pt>
                <c:pt idx="77">
                  <c:v>22.161031529522841</c:v>
                </c:pt>
                <c:pt idx="78">
                  <c:v>23.209671677849812</c:v>
                </c:pt>
                <c:pt idx="79">
                  <c:v>24.307932538065504</c:v>
                </c:pt>
                <c:pt idx="80">
                  <c:v>25.458162117779835</c:v>
                </c:pt>
                <c:pt idx="81">
                  <c:v>26.662819530218236</c:v>
                </c:pt>
                <c:pt idx="82">
                  <c:v>27.924480251639782</c:v>
                </c:pt>
                <c:pt idx="83">
                  <c:v>29.245841627531643</c:v>
                </c:pt>
                <c:pt idx="84">
                  <c:v>30.629728639351725</c:v>
                </c:pt>
                <c:pt idx="85">
                  <c:v>32.079099944148396</c:v>
                </c:pt>
                <c:pt idx="86">
                  <c:v>33.597054199969627</c:v>
                </c:pt>
                <c:pt idx="87">
                  <c:v>35.186836690584769</c:v>
                </c:pt>
                <c:pt idx="88">
                  <c:v>36.851846263682305</c:v>
                </c:pt>
                <c:pt idx="89">
                  <c:v>38.595642597376823</c:v>
                </c:pt>
                <c:pt idx="90">
                  <c:v>40.421953810560666</c:v>
                </c:pt>
                <c:pt idx="91">
                  <c:v>42.334684433370484</c:v>
                </c:pt>
                <c:pt idx="92">
                  <c:v>44.337923754809289</c:v>
                </c:pt>
                <c:pt idx="93">
                  <c:v>46.435954565370317</c:v>
                </c:pt>
                <c:pt idx="94">
                  <c:v>48.633262313354152</c:v>
                </c:pt>
                <c:pt idx="95">
                  <c:v>50.934544694454502</c:v>
                </c:pt>
                <c:pt idx="96">
                  <c:v>53.344721695114622</c:v>
                </c:pt>
                <c:pt idx="97">
                  <c:v>55.868946111126299</c:v>
                </c:pt>
                <c:pt idx="98">
                  <c:v>58.51261456395958</c:v>
                </c:pt>
                <c:pt idx="99">
                  <c:v>61.281379038375306</c:v>
                </c:pt>
                <c:pt idx="100">
                  <c:v>64.181158965987137</c:v>
                </c:pt>
                <c:pt idx="101">
                  <c:v>67.218153880606934</c:v>
                </c:pt>
                <c:pt idx="102">
                  <c:v>70.398856672429673</c:v>
                </c:pt>
                <c:pt idx="103">
                  <c:v>73.730067469394555</c:v>
                </c:pt>
                <c:pt idx="104">
                  <c:v>77.218908175399747</c:v>
                </c:pt>
                <c:pt idx="105">
                  <c:v>80.872837696452223</c:v>
                </c:pt>
                <c:pt idx="106">
                  <c:v>84.69966788730558</c:v>
                </c:pt>
                <c:pt idx="107">
                  <c:v>88.707580252678312</c:v>
                </c:pt>
                <c:pt idx="108">
                  <c:v>92.90514343875887</c:v>
                </c:pt>
                <c:pt idx="109">
                  <c:v>97.301331552392952</c:v>
                </c:pt>
                <c:pt idx="110">
                  <c:v>101.90554334711808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2.3693225984304576</c:v>
                </c:pt>
                <c:pt idx="2">
                  <c:v>5.3052882906061001</c:v>
                </c:pt>
                <c:pt idx="3">
                  <c:v>7.7556124593412363</c:v>
                </c:pt>
                <c:pt idx="4">
                  <c:v>9.9872118356110491</c:v>
                </c:pt>
                <c:pt idx="5">
                  <c:v>12.088452035896779</c:v>
                </c:pt>
                <c:pt idx="6">
                  <c:v>14.102614443294556</c:v>
                </c:pt>
                <c:pt idx="7">
                  <c:v>16.054870225399839</c:v>
                </c:pt>
                <c:pt idx="8">
                  <c:v>17.96138262579575</c:v>
                </c:pt>
                <c:pt idx="9">
                  <c:v>19.833214170554982</c:v>
                </c:pt>
                <c:pt idx="10">
                  <c:v>21.678270352436385</c:v>
                </c:pt>
                <c:pt idx="11">
                  <c:v>23.502369587113066</c:v>
                </c:pt>
                <c:pt idx="12">
                  <c:v>25.309877658529771</c:v>
                </c:pt>
                <c:pt idx="13">
                  <c:v>27.104106023594198</c:v>
                </c:pt>
                <c:pt idx="14">
                  <c:v>28.887573459432815</c:v>
                </c:pt>
                <c:pt idx="15">
                  <c:v>30.662184407371768</c:v>
                </c:pt>
                <c:pt idx="16">
                  <c:v>32.429354340759772</c:v>
                </c:pt>
                <c:pt idx="17">
                  <c:v>34.1901002424719</c:v>
                </c:pt>
                <c:pt idx="18">
                  <c:v>35.945107422771869</c:v>
                </c:pt>
                <c:pt idx="19">
                  <c:v>37.694779897270294</c:v>
                </c:pt>
                <c:pt idx="20">
                  <c:v>39.439279108314153</c:v>
                </c:pt>
                <c:pt idx="21">
                  <c:v>41.178554244372243</c:v>
                </c:pt>
                <c:pt idx="22">
                  <c:v>42.912366425077998</c:v>
                </c:pt>
                <c:pt idx="23">
                  <c:v>44.64030836626074</c:v>
                </c:pt>
                <c:pt idx="24">
                  <c:v>46.361820696934466</c:v>
                </c:pt>
                <c:pt idx="25">
                  <c:v>48.076205794498982</c:v>
                </c:pt>
                <c:pt idx="26">
                  <c:v>49.782639789098482</c:v>
                </c:pt>
                <c:pt idx="27">
                  <c:v>51.480183233709248</c:v>
                </c:pt>
                <c:pt idx="28">
                  <c:v>53.167790823908597</c:v>
                </c:pt>
                <c:pt idx="29">
                  <c:v>54.844320467677704</c:v>
                </c:pt>
                <c:pt idx="30">
                  <c:v>56.508541942403212</c:v>
                </c:pt>
                <c:pt idx="31">
                  <c:v>58.1591453275513</c:v>
                </c:pt>
                <c:pt idx="32">
                  <c:v>59.79474936316889</c:v>
                </c:pt>
                <c:pt idx="33">
                  <c:v>61.413909853499121</c:v>
                </c:pt>
                <c:pt idx="34">
                  <c:v>63.015128209495984</c:v>
                </c:pt>
                <c:pt idx="35">
                  <c:v>64.596860202375254</c:v>
                </c:pt>
                <c:pt idx="36">
                  <c:v>66.157524981446102</c:v>
                </c:pt>
                <c:pt idx="37">
                  <c:v>67.69551439252939</c:v>
                </c:pt>
                <c:pt idx="38">
                  <c:v>69.209202617699106</c:v>
                </c:pt>
                <c:pt idx="39">
                  <c:v>70.69695614246487</c:v>
                </c:pt>
                <c:pt idx="40">
                  <c:v>72.157144042552758</c:v>
                </c:pt>
                <c:pt idx="41">
                  <c:v>73.588148568947645</c:v>
                </c:pt>
                <c:pt idx="42">
                  <c:v>74.988375996722638</c:v>
                </c:pt>
                <c:pt idx="43">
                  <c:v>76.356267690357541</c:v>
                </c:pt>
                <c:pt idx="44">
                  <c:v>77.690311325758529</c:v>
                </c:pt>
                <c:pt idx="45">
                  <c:v>78.989052197098985</c:v>
                </c:pt>
                <c:pt idx="46">
                  <c:v>80.251104525024857</c:v>
                </c:pt>
                <c:pt idx="47">
                  <c:v>81.475162671856708</c:v>
                </c:pt>
                <c:pt idx="48">
                  <c:v>82.660012159364044</c:v>
                </c:pt>
                <c:pt idx="49">
                  <c:v>83.804540375703425</c:v>
                </c:pt>
                <c:pt idx="50">
                  <c:v>84.907746850440347</c:v>
                </c:pt>
                <c:pt idx="51">
                  <c:v>85.968752970475521</c:v>
                </c:pt>
                <c:pt idx="52">
                  <c:v>86.986811005436707</c:v>
                </c:pt>
                <c:pt idx="53">
                  <c:v>87.96131230894828</c:v>
                </c:pt>
                <c:pt idx="54">
                  <c:v>88.891794562412713</c:v>
                </c:pt>
                <c:pt idx="55">
                  <c:v>89.777947930775781</c:v>
                </c:pt>
                <c:pt idx="56">
                  <c:v>90.619620005412557</c:v>
                </c:pt>
                <c:pt idx="57">
                  <c:v>91.416819417934491</c:v>
                </c:pt>
                <c:pt idx="58">
                  <c:v>92.169718020496802</c:v>
                </c:pt>
                <c:pt idx="59">
                  <c:v>92.878651543125955</c:v>
                </c:pt>
                <c:pt idx="60">
                  <c:v>93.327295205307522</c:v>
                </c:pt>
                <c:pt idx="61">
                  <c:v>93.894848255249514</c:v>
                </c:pt>
                <c:pt idx="62">
                  <c:v>94.430703365092469</c:v>
                </c:pt>
                <c:pt idx="63">
                  <c:v>94.935101702228778</c:v>
                </c:pt>
                <c:pt idx="64">
                  <c:v>95.408407582707113</c:v>
                </c:pt>
                <c:pt idx="65">
                  <c:v>95.851105333471878</c:v>
                </c:pt>
                <c:pt idx="66">
                  <c:v>96.263794974468894</c:v>
                </c:pt>
                <c:pt idx="67">
                  <c:v>96.647186742141727</c:v>
                </c:pt>
                <c:pt idx="68">
                  <c:v>97.002094495948555</c:v>
                </c:pt>
                <c:pt idx="69">
                  <c:v>97.329428070052003</c:v>
                </c:pt>
                <c:pt idx="70">
                  <c:v>97.630184652794185</c:v>
                </c:pt>
                <c:pt idx="71">
                  <c:v>97.90543929644339</c:v>
                </c:pt>
                <c:pt idx="72">
                  <c:v>98.156334678430966</c:v>
                </c:pt>
                <c:pt idx="73">
                  <c:v>98.384070252316832</c:v>
                </c:pt>
                <c:pt idx="74">
                  <c:v>98.589890941459743</c:v>
                </c:pt>
                <c:pt idx="75">
                  <c:v>98.775075540281193</c:v>
                </c:pt>
                <c:pt idx="76">
                  <c:v>98.940924996601623</c:v>
                </c:pt>
                <c:pt idx="77">
                  <c:v>99.088750753366824</c:v>
                </c:pt>
                <c:pt idx="78">
                  <c:v>99.21986332883796</c:v>
                </c:pt>
                <c:pt idx="79">
                  <c:v>99.335561310770913</c:v>
                </c:pt>
                <c:pt idx="80">
                  <c:v>99.437120932172519</c:v>
                </c:pt>
                <c:pt idx="81">
                  <c:v>99.5257863839566</c:v>
                </c:pt>
                <c:pt idx="82">
                  <c:v>99.602761003446474</c:v>
                </c:pt>
                <c:pt idx="83">
                  <c:v>99.669199457563138</c:v>
                </c:pt>
                <c:pt idx="84">
                  <c:v>99.726201016227876</c:v>
                </c:pt>
                <c:pt idx="85">
                  <c:v>99.774803985669379</c:v>
                </c:pt>
                <c:pt idx="86">
                  <c:v>99.815981343748447</c:v>
                </c:pt>
                <c:pt idx="87">
                  <c:v>99.850637590985244</c:v>
                </c:pt>
                <c:pt idx="88">
                  <c:v>99.879606802631699</c:v>
                </c:pt>
                <c:pt idx="89">
                  <c:v>99.903651839835689</c:v>
                </c:pt>
                <c:pt idx="90">
                  <c:v>99.92346465262041</c:v>
                </c:pt>
                <c:pt idx="91">
                  <c:v>99.939667584910822</c:v>
                </c:pt>
                <c:pt idx="92">
                  <c:v>99.952815572922034</c:v>
                </c:pt>
                <c:pt idx="93">
                  <c:v>99.963399113472136</c:v>
                </c:pt>
                <c:pt idx="94">
                  <c:v>99.971847868602055</c:v>
                </c:pt>
                <c:pt idx="95">
                  <c:v>99.978534767479331</c:v>
                </c:pt>
                <c:pt idx="96">
                  <c:v>99.983780465920461</c:v>
                </c:pt>
                <c:pt idx="97">
                  <c:v>99.987858027761803</c:v>
                </c:pt>
                <c:pt idx="98">
                  <c:v>99.990997700323007</c:v>
                </c:pt>
                <c:pt idx="99">
                  <c:v>99.993391667745101</c:v>
                </c:pt>
                <c:pt idx="100">
                  <c:v>99.995198680325331</c:v>
                </c:pt>
                <c:pt idx="101">
                  <c:v>99.996548474297157</c:v>
                </c:pt>
                <c:pt idx="102">
                  <c:v>99.997545913964103</c:v>
                </c:pt>
                <c:pt idx="103">
                  <c:v>99.998274805846876</c:v>
                </c:pt>
                <c:pt idx="104">
                  <c:v>99.998801351760491</c:v>
                </c:pt>
                <c:pt idx="105">
                  <c:v>99.999177223813319</c:v>
                </c:pt>
                <c:pt idx="106">
                  <c:v>99.999442258661659</c:v>
                </c:pt>
                <c:pt idx="107">
                  <c:v>99.999626780553868</c:v>
                </c:pt>
                <c:pt idx="108">
                  <c:v>99.999753572519978</c:v>
                </c:pt>
                <c:pt idx="109">
                  <c:v>99.999839522419506</c:v>
                </c:pt>
                <c:pt idx="110">
                  <c:v>99.999896975514375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30-44FF-B504-4404C1E65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87456"/>
        <c:axId val="206414208"/>
      </c:scatterChart>
      <c:valAx>
        <c:axId val="206387456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1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414208"/>
        <c:crossesAt val="0.1"/>
        <c:crossBetween val="midCat"/>
        <c:majorUnit val="10"/>
        <c:minorUnit val="10"/>
      </c:valAx>
      <c:valAx>
        <c:axId val="2064142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87456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885497242360125"/>
          <c:y val="9.5461762264363828E-2"/>
          <c:w val="0.51591059928081651"/>
          <c:h val="4.06231513793630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43E-2"/>
          <c:y val="0.16744939518748231"/>
          <c:w val="0.88606242549520597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80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99.2</c:v>
                </c:pt>
                <c:pt idx="2">
                  <c:v>85.2</c:v>
                </c:pt>
                <c:pt idx="3">
                  <c:v>57.5</c:v>
                </c:pt>
                <c:pt idx="4">
                  <c:v>15.4</c:v>
                </c:pt>
                <c:pt idx="5">
                  <c:v>10</c:v>
                </c:pt>
                <c:pt idx="6">
                  <c:v>6.7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248-AD2E-914E80580FEF}"/>
            </c:ext>
          </c:extLst>
        </c:ser>
        <c:ser>
          <c:idx val="0"/>
          <c:order val="1"/>
          <c:tx>
            <c:v>PSD Rosin Rammler Stage 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0.64480515387890014</c:v>
                </c:pt>
                <c:pt idx="1">
                  <c:v>0.67531675580071404</c:v>
                </c:pt>
                <c:pt idx="2">
                  <c:v>0.70727213937693145</c:v>
                </c:pt>
                <c:pt idx="3">
                  <c:v>0.74073962306133068</c:v>
                </c:pt>
                <c:pt idx="4">
                  <c:v>0.77579075807568643</c:v>
                </c:pt>
                <c:pt idx="5">
                  <c:v>0.81250048138145436</c:v>
                </c:pt>
                <c:pt idx="6">
                  <c:v>0.85094727588993779</c:v>
                </c:pt>
                <c:pt idx="7">
                  <c:v>0.89121333825345594</c:v>
                </c:pt>
                <c:pt idx="8">
                  <c:v>0.93338475459624037</c:v>
                </c:pt>
                <c:pt idx="9">
                  <c:v>0.97755168456075958</c:v>
                </c:pt>
                <c:pt idx="10">
                  <c:v>1.0238085540629507</c:v>
                </c:pt>
                <c:pt idx="11">
                  <c:v>1.0722542571684557</c:v>
                </c:pt>
                <c:pt idx="12">
                  <c:v>1.122992367521461</c:v>
                </c:pt>
                <c:pt idx="13">
                  <c:v>1.1761313597781595</c:v>
                </c:pt>
                <c:pt idx="14">
                  <c:v>1.2317848415182457</c:v>
                </c:pt>
                <c:pt idx="15">
                  <c:v>1.2900717961302552</c:v>
                </c:pt>
                <c:pt idx="16">
                  <c:v>1.3511168371900206</c:v>
                </c:pt>
                <c:pt idx="17">
                  <c:v>1.4150504748760875</c:v>
                </c:pt>
                <c:pt idx="18">
                  <c:v>1.4820093949916695</c:v>
                </c:pt>
                <c:pt idx="19">
                  <c:v>1.5521367511896729</c:v>
                </c:pt>
                <c:pt idx="20">
                  <c:v>1.625582471025546</c:v>
                </c:pt>
                <c:pt idx="21">
                  <c:v>1.702503576492276</c:v>
                </c:pt>
                <c:pt idx="22">
                  <c:v>1.7830645197228145</c:v>
                </c:pt>
                <c:pt idx="23">
                  <c:v>1.8674375345776404</c:v>
                </c:pt>
                <c:pt idx="24">
                  <c:v>1.9558030048691317</c:v>
                </c:pt>
                <c:pt idx="25">
                  <c:v>2.0483498500099846</c:v>
                </c:pt>
                <c:pt idx="26">
                  <c:v>2.145275928910169</c:v>
                </c:pt>
                <c:pt idx="27">
                  <c:v>2.2467884629859274</c:v>
                </c:pt>
                <c:pt idx="28">
                  <c:v>2.3531044791851801</c:v>
                </c:pt>
                <c:pt idx="29">
                  <c:v>2.4644512739764939</c:v>
                </c:pt>
                <c:pt idx="30">
                  <c:v>2.5810668992935955</c:v>
                </c:pt>
                <c:pt idx="31">
                  <c:v>2.7032006714743417</c:v>
                </c:pt>
                <c:pt idx="32">
                  <c:v>2.8311137042822265</c:v>
                </c:pt>
                <c:pt idx="33">
                  <c:v>2.9650794671499878</c:v>
                </c:pt>
                <c:pt idx="34">
                  <c:v>3.1053843698388013</c:v>
                </c:pt>
                <c:pt idx="35">
                  <c:v>3.2523283747630227</c:v>
                </c:pt>
                <c:pt idx="36">
                  <c:v>3.4062256382895892</c:v>
                </c:pt>
                <c:pt idx="37">
                  <c:v>3.567405182383133</c:v>
                </c:pt>
                <c:pt idx="38">
                  <c:v>3.7362115980327393</c:v>
                </c:pt>
                <c:pt idx="39">
                  <c:v>3.9130057819642294</c:v>
                </c:pt>
                <c:pt idx="40">
                  <c:v>4.0981657082130063</c:v>
                </c:pt>
                <c:pt idx="41">
                  <c:v>4.2920872362070392</c:v>
                </c:pt>
                <c:pt idx="42">
                  <c:v>4.4951849570876057</c:v>
                </c:pt>
                <c:pt idx="43">
                  <c:v>4.7078930800771781</c:v>
                </c:pt>
                <c:pt idx="44">
                  <c:v>4.9306663607894397</c:v>
                </c:pt>
                <c:pt idx="45">
                  <c:v>5.1639810734661014</c:v>
                </c:pt>
                <c:pt idx="46">
                  <c:v>5.4083360292190914</c:v>
                </c:pt>
                <c:pt idx="47">
                  <c:v>5.6642536424550549</c:v>
                </c:pt>
                <c:pt idx="48">
                  <c:v>5.9322810477621024</c:v>
                </c:pt>
                <c:pt idx="49">
                  <c:v>6.2129912696466381</c:v>
                </c:pt>
                <c:pt idx="50">
                  <c:v>6.5069844476210896</c:v>
                </c:pt>
                <c:pt idx="51">
                  <c:v>6.8148891192616885</c:v>
                </c:pt>
                <c:pt idx="52">
                  <c:v>7.1373635639793944</c:v>
                </c:pt>
                <c:pt idx="53">
                  <c:v>7.4750972103768571</c:v>
                </c:pt>
                <c:pt idx="54">
                  <c:v>7.8288121102002464</c:v>
                </c:pt>
                <c:pt idx="55">
                  <c:v>8.1992644820371616</c:v>
                </c:pt>
                <c:pt idx="56">
                  <c:v>8.5872463280609441</c:v>
                </c:pt>
                <c:pt idx="57">
                  <c:v>8.9935871272778822</c:v>
                </c:pt>
                <c:pt idx="58">
                  <c:v>9.419155608897352</c:v>
                </c:pt>
                <c:pt idx="59">
                  <c:v>9.8648616096162467</c:v>
                </c:pt>
                <c:pt idx="60">
                  <c:v>10.331658018788442</c:v>
                </c:pt>
                <c:pt idx="61">
                  <c:v>10.82054281563793</c:v>
                </c:pt>
                <c:pt idx="62">
                  <c:v>11.332561202871064</c:v>
                </c:pt>
                <c:pt idx="63">
                  <c:v>11.868807841249414</c:v>
                </c:pt>
                <c:pt idx="64">
                  <c:v>12.430429189900602</c:v>
                </c:pt>
                <c:pt idx="65">
                  <c:v>13.018625957370567</c:v>
                </c:pt>
                <c:pt idx="66">
                  <c:v>13.634655668657405</c:v>
                </c:pt>
                <c:pt idx="67">
                  <c:v>14.279835353714962</c:v>
                </c:pt>
                <c:pt idx="68">
                  <c:v>14.955544363174001</c:v>
                </c:pt>
                <c:pt idx="69">
                  <c:v>15.66322731730078</c:v>
                </c:pt>
                <c:pt idx="70">
                  <c:v>16.404397194497694</c:v>
                </c:pt>
                <c:pt idx="71">
                  <c:v>17.18063856594901</c:v>
                </c:pt>
                <c:pt idx="72">
                  <c:v>17.99361098332713</c:v>
                </c:pt>
                <c:pt idx="73">
                  <c:v>18.845052526802082</c:v>
                </c:pt>
                <c:pt idx="74">
                  <c:v>19.73678352093965</c:v>
                </c:pt>
                <c:pt idx="75">
                  <c:v>20.670710426432443</c:v>
                </c:pt>
                <c:pt idx="76">
                  <c:v>21.648829915984233</c:v>
                </c:pt>
                <c:pt idx="77">
                  <c:v>22.673233143061449</c:v>
                </c:pt>
                <c:pt idx="78">
                  <c:v>23.746110212638179</c:v>
                </c:pt>
                <c:pt idx="79">
                  <c:v>24.86975486349283</c:v>
                </c:pt>
                <c:pt idx="80">
                  <c:v>26.046569372066841</c:v>
                </c:pt>
                <c:pt idx="81">
                  <c:v>27.279069688369631</c:v>
                </c:pt>
                <c:pt idx="82">
                  <c:v>28.569890814909932</c:v>
                </c:pt>
                <c:pt idx="83">
                  <c:v>29.921792440153354</c:v>
                </c:pt>
                <c:pt idx="84">
                  <c:v>31.337664838550097</c:v>
                </c:pt>
                <c:pt idx="85">
                  <c:v>32.820535049746702</c:v>
                </c:pt>
                <c:pt idx="86">
                  <c:v>34.373573350192551</c:v>
                </c:pt>
                <c:pt idx="87">
                  <c:v>36.000100030976988</c:v>
                </c:pt>
                <c:pt idx="88">
                  <c:v>37.703592496387621</c:v>
                </c:pt>
                <c:pt idx="89">
                  <c:v>39.487692698366033</c:v>
                </c:pt>
                <c:pt idx="90">
                  <c:v>41.356214922755292</c:v>
                </c:pt>
                <c:pt idx="91">
                  <c:v>43.313153943985682</c:v>
                </c:pt>
                <c:pt idx="92">
                  <c:v>45.362693565632895</c:v>
                </c:pt>
                <c:pt idx="93">
                  <c:v>47.509215565107738</c:v>
                </c:pt>
                <c:pt idx="94">
                  <c:v>49.757309061600566</c:v>
                </c:pt>
                <c:pt idx="95">
                  <c:v>52.111780327308445</c:v>
                </c:pt>
                <c:pt idx="96">
                  <c:v>54.577663062920799</c:v>
                </c:pt>
                <c:pt idx="97">
                  <c:v>57.160229159331799</c:v>
                </c:pt>
                <c:pt idx="98">
                  <c:v>59.864999968587362</c:v>
                </c:pt>
                <c:pt idx="99">
                  <c:v>62.697758108163249</c:v>
                </c:pt>
                <c:pt idx="100">
                  <c:v>65.664559823811032</c:v>
                </c:pt>
                <c:pt idx="101">
                  <c:v>68.771747937402836</c:v>
                </c:pt>
                <c:pt idx="102">
                  <c:v>72.025965407456496</c:v>
                </c:pt>
                <c:pt idx="103">
                  <c:v>75.434169531332628</c:v>
                </c:pt>
                <c:pt idx="104">
                  <c:v>79.00364681946688</c:v>
                </c:pt>
                <c:pt idx="105">
                  <c:v>82.74202857343758</c:v>
                </c:pt>
                <c:pt idx="106">
                  <c:v>86.65730720117358</c:v>
                </c:pt>
                <c:pt idx="107">
                  <c:v>90.757853304183044</c:v>
                </c:pt>
                <c:pt idx="108">
                  <c:v>95.052433573334682</c:v>
                </c:pt>
                <c:pt idx="109">
                  <c:v>99.550229531451237</c:v>
                </c:pt>
                <c:pt idx="110" formatCode="0.00">
                  <c:v>104.26085716278493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99.999999998690441</c:v>
                </c:pt>
                <c:pt idx="1">
                  <c:v>99.999999998157847</c:v>
                </c:pt>
                <c:pt idx="2">
                  <c:v>99.999999997408622</c:v>
                </c:pt>
                <c:pt idx="3">
                  <c:v>99.999999996354674</c:v>
                </c:pt>
                <c:pt idx="4">
                  <c:v>99.99999999487207</c:v>
                </c:pt>
                <c:pt idx="5">
                  <c:v>99.999999992786485</c:v>
                </c:pt>
                <c:pt idx="6">
                  <c:v>99.999999989852668</c:v>
                </c:pt>
                <c:pt idx="7">
                  <c:v>99.999999985725623</c:v>
                </c:pt>
                <c:pt idx="8">
                  <c:v>99.999999979920091</c:v>
                </c:pt>
                <c:pt idx="9">
                  <c:v>99.999999971753354</c:v>
                </c:pt>
                <c:pt idx="10">
                  <c:v>99.9999999602651</c:v>
                </c:pt>
                <c:pt idx="11">
                  <c:v>99.999999944104474</c:v>
                </c:pt>
                <c:pt idx="12">
                  <c:v>99.999999921371113</c:v>
                </c:pt>
                <c:pt idx="13">
                  <c:v>99.999999889391859</c:v>
                </c:pt>
                <c:pt idx="14">
                  <c:v>99.999999844406261</c:v>
                </c:pt>
                <c:pt idx="15">
                  <c:v>99.999999781124501</c:v>
                </c:pt>
                <c:pt idx="16">
                  <c:v>99.999999692105334</c:v>
                </c:pt>
                <c:pt idx="17">
                  <c:v>99.999999566881058</c:v>
                </c:pt>
                <c:pt idx="18">
                  <c:v>99.999999390726629</c:v>
                </c:pt>
                <c:pt idx="19">
                  <c:v>99.999999142928161</c:v>
                </c:pt>
                <c:pt idx="20">
                  <c:v>99.999998794347235</c:v>
                </c:pt>
                <c:pt idx="21">
                  <c:v>99.99999830399446</c:v>
                </c:pt>
                <c:pt idx="22">
                  <c:v>99.99999761420959</c:v>
                </c:pt>
                <c:pt idx="23">
                  <c:v>99.999996643881332</c:v>
                </c:pt>
                <c:pt idx="24">
                  <c:v>99.999995278909466</c:v>
                </c:pt>
                <c:pt idx="25">
                  <c:v>99.999993358787961</c:v>
                </c:pt>
                <c:pt idx="26">
                  <c:v>99.999990657731104</c:v>
                </c:pt>
                <c:pt idx="27">
                  <c:v>99.999986858123634</c:v>
                </c:pt>
                <c:pt idx="28">
                  <c:v>99.999981513172543</c:v>
                </c:pt>
                <c:pt idx="29">
                  <c:v>99.999973994369114</c:v>
                </c:pt>
                <c:pt idx="30">
                  <c:v>99.999963417583217</c:v>
                </c:pt>
                <c:pt idx="31">
                  <c:v>99.999948539099265</c:v>
                </c:pt>
                <c:pt idx="32">
                  <c:v>99.999927609369294</c:v>
                </c:pt>
                <c:pt idx="33">
                  <c:v>99.999898167285934</c:v>
                </c:pt>
                <c:pt idx="34">
                  <c:v>99.999856750784815</c:v>
                </c:pt>
                <c:pt idx="35">
                  <c:v>99.999798489747519</c:v>
                </c:pt>
                <c:pt idx="36">
                  <c:v>99.999716533336724</c:v>
                </c:pt>
                <c:pt idx="37">
                  <c:v>99.999601244428987</c:v>
                </c:pt>
                <c:pt idx="38">
                  <c:v>99.999439066427414</c:v>
                </c:pt>
                <c:pt idx="39">
                  <c:v>99.999210929220951</c:v>
                </c:pt>
                <c:pt idx="40">
                  <c:v>99.998890006881496</c:v>
                </c:pt>
                <c:pt idx="41">
                  <c:v>99.998438563495512</c:v>
                </c:pt>
                <c:pt idx="42">
                  <c:v>99.997803516365408</c:v>
                </c:pt>
                <c:pt idx="43">
                  <c:v>99.996910195123107</c:v>
                </c:pt>
                <c:pt idx="44">
                  <c:v>99.995653563412219</c:v>
                </c:pt>
                <c:pt idx="45">
                  <c:v>99.993885871928015</c:v>
                </c:pt>
                <c:pt idx="46">
                  <c:v>99.991399292974279</c:v>
                </c:pt>
                <c:pt idx="47">
                  <c:v>99.987901498560689</c:v>
                </c:pt>
                <c:pt idx="48">
                  <c:v>99.982981318230316</c:v>
                </c:pt>
                <c:pt idx="49">
                  <c:v>99.976060454060928</c:v>
                </c:pt>
                <c:pt idx="50">
                  <c:v>99.966325606132614</c:v>
                </c:pt>
                <c:pt idx="51">
                  <c:v>99.952633088648255</c:v>
                </c:pt>
                <c:pt idx="52">
                  <c:v>99.933374842234485</c:v>
                </c:pt>
                <c:pt idx="53">
                  <c:v>99.906290327473741</c:v>
                </c:pt>
                <c:pt idx="54">
                  <c:v>99.868202655968943</c:v>
                </c:pt>
                <c:pt idx="55">
                  <c:v>99.814648870709334</c:v>
                </c:pt>
                <c:pt idx="56">
                  <c:v>99.739362757238993</c:v>
                </c:pt>
                <c:pt idx="57">
                  <c:v>99.6335530341713</c:v>
                </c:pt>
                <c:pt idx="58">
                  <c:v>99.484899271027871</c:v>
                </c:pt>
                <c:pt idx="59">
                  <c:v>99.276161688463404</c:v>
                </c:pt>
                <c:pt idx="60">
                  <c:v>98.983269314064287</c:v>
                </c:pt>
                <c:pt idx="61">
                  <c:v>98.572716422436415</c:v>
                </c:pt>
                <c:pt idx="62">
                  <c:v>97.998067888114093</c:v>
                </c:pt>
                <c:pt idx="63">
                  <c:v>97.1953695634909</c:v>
                </c:pt>
                <c:pt idx="64">
                  <c:v>96.077322036904206</c:v>
                </c:pt>
                <c:pt idx="65">
                  <c:v>94.526288551387282</c:v>
                </c:pt>
                <c:pt idx="66">
                  <c:v>92.386724811750071</c:v>
                </c:pt>
                <c:pt idx="67">
                  <c:v>89.458701516349137</c:v>
                </c:pt>
                <c:pt idx="68">
                  <c:v>85.49622585182702</c:v>
                </c:pt>
                <c:pt idx="69">
                  <c:v>82.448200831183257</c:v>
                </c:pt>
                <c:pt idx="70">
                  <c:v>79.013234431087824</c:v>
                </c:pt>
                <c:pt idx="71">
                  <c:v>75.014206025846164</c:v>
                </c:pt>
                <c:pt idx="72">
                  <c:v>70.406655469009721</c:v>
                </c:pt>
                <c:pt idx="73">
                  <c:v>65.164913425861471</c:v>
                </c:pt>
                <c:pt idx="74">
                  <c:v>59.293274851884426</c:v>
                </c:pt>
                <c:pt idx="75">
                  <c:v>54.279122175041564</c:v>
                </c:pt>
                <c:pt idx="76">
                  <c:v>49.555649558249996</c:v>
                </c:pt>
                <c:pt idx="77">
                  <c:v>44.633622317216748</c:v>
                </c:pt>
                <c:pt idx="78">
                  <c:v>39.578732519609616</c:v>
                </c:pt>
                <c:pt idx="79">
                  <c:v>34.473375181902128</c:v>
                </c:pt>
                <c:pt idx="80">
                  <c:v>29.415010772236151</c:v>
                </c:pt>
                <c:pt idx="81">
                  <c:v>24.512405420402903</c:v>
                </c:pt>
                <c:pt idx="82">
                  <c:v>19.879460380734699</c:v>
                </c:pt>
                <c:pt idx="83">
                  <c:v>15.626692123071598</c:v>
                </c:pt>
                <c:pt idx="84">
                  <c:v>14.505371750739879</c:v>
                </c:pt>
                <c:pt idx="85">
                  <c:v>13.585433966313124</c:v>
                </c:pt>
                <c:pt idx="86">
                  <c:v>12.695577875388619</c:v>
                </c:pt>
                <c:pt idx="87">
                  <c:v>11.836763337906097</c:v>
                </c:pt>
                <c:pt idx="88">
                  <c:v>11.009842410755526</c:v>
                </c:pt>
                <c:pt idx="89">
                  <c:v>10.215552343914847</c:v>
                </c:pt>
                <c:pt idx="90">
                  <c:v>9.4569232449987997</c:v>
                </c:pt>
                <c:pt idx="91">
                  <c:v>8.7327018326305552</c:v>
                </c:pt>
                <c:pt idx="92">
                  <c:v>8.0422672409568072</c:v>
                </c:pt>
                <c:pt idx="93">
                  <c:v>7.3858414716778205</c:v>
                </c:pt>
                <c:pt idx="94">
                  <c:v>6.7635118357535049</c:v>
                </c:pt>
                <c:pt idx="95">
                  <c:v>6.1504816301903364</c:v>
                </c:pt>
                <c:pt idx="96">
                  <c:v>5.5715752214231955</c:v>
                </c:pt>
                <c:pt idx="97">
                  <c:v>5.0295025747868971</c:v>
                </c:pt>
                <c:pt idx="98">
                  <c:v>4.5237259666549958</c:v>
                </c:pt>
                <c:pt idx="99">
                  <c:v>4.0227483502843695</c:v>
                </c:pt>
                <c:pt idx="100">
                  <c:v>3.5599228114866932</c:v>
                </c:pt>
                <c:pt idx="101">
                  <c:v>3.135733247431765</c:v>
                </c:pt>
                <c:pt idx="102">
                  <c:v>2.748790529761449</c:v>
                </c:pt>
                <c:pt idx="103">
                  <c:v>2.3975543326353712</c:v>
                </c:pt>
                <c:pt idx="104">
                  <c:v>2.0803518073409206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C2-4248-AD2E-914E80580FEF}"/>
            </c:ext>
          </c:extLst>
        </c:ser>
        <c:ser>
          <c:idx val="4"/>
          <c:order val="2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0.64480515387890014</c:v>
                </c:pt>
                <c:pt idx="1">
                  <c:v>0.67531675580071404</c:v>
                </c:pt>
                <c:pt idx="2">
                  <c:v>0.70727213937693145</c:v>
                </c:pt>
                <c:pt idx="3">
                  <c:v>0.74073962306133068</c:v>
                </c:pt>
                <c:pt idx="4">
                  <c:v>0.77579075807568643</c:v>
                </c:pt>
                <c:pt idx="5">
                  <c:v>0.81250048138145436</c:v>
                </c:pt>
                <c:pt idx="6">
                  <c:v>0.85094727588993779</c:v>
                </c:pt>
                <c:pt idx="7">
                  <c:v>0.89121333825345594</c:v>
                </c:pt>
                <c:pt idx="8">
                  <c:v>0.93338475459624037</c:v>
                </c:pt>
                <c:pt idx="9">
                  <c:v>0.97755168456075958</c:v>
                </c:pt>
                <c:pt idx="10">
                  <c:v>1.0238085540629507</c:v>
                </c:pt>
                <c:pt idx="11">
                  <c:v>1.0722542571684557</c:v>
                </c:pt>
                <c:pt idx="12">
                  <c:v>1.122992367521461</c:v>
                </c:pt>
                <c:pt idx="13">
                  <c:v>1.1761313597781595</c:v>
                </c:pt>
                <c:pt idx="14">
                  <c:v>1.2317848415182457</c:v>
                </c:pt>
                <c:pt idx="15">
                  <c:v>1.2900717961302552</c:v>
                </c:pt>
                <c:pt idx="16">
                  <c:v>1.3511168371900206</c:v>
                </c:pt>
                <c:pt idx="17">
                  <c:v>1.4150504748760875</c:v>
                </c:pt>
                <c:pt idx="18">
                  <c:v>1.4820093949916695</c:v>
                </c:pt>
                <c:pt idx="19">
                  <c:v>1.5521367511896729</c:v>
                </c:pt>
                <c:pt idx="20">
                  <c:v>1.625582471025546</c:v>
                </c:pt>
                <c:pt idx="21">
                  <c:v>1.702503576492276</c:v>
                </c:pt>
                <c:pt idx="22">
                  <c:v>1.7830645197228145</c:v>
                </c:pt>
                <c:pt idx="23">
                  <c:v>1.8674375345776404</c:v>
                </c:pt>
                <c:pt idx="24">
                  <c:v>1.9558030048691317</c:v>
                </c:pt>
                <c:pt idx="25">
                  <c:v>2.0483498500099846</c:v>
                </c:pt>
                <c:pt idx="26">
                  <c:v>2.145275928910169</c:v>
                </c:pt>
                <c:pt idx="27">
                  <c:v>2.2467884629859274</c:v>
                </c:pt>
                <c:pt idx="28">
                  <c:v>2.3531044791851801</c:v>
                </c:pt>
                <c:pt idx="29">
                  <c:v>2.4644512739764939</c:v>
                </c:pt>
                <c:pt idx="30">
                  <c:v>2.5810668992935955</c:v>
                </c:pt>
                <c:pt idx="31">
                  <c:v>2.7032006714743417</c:v>
                </c:pt>
                <c:pt idx="32">
                  <c:v>2.8311137042822265</c:v>
                </c:pt>
                <c:pt idx="33">
                  <c:v>2.9650794671499878</c:v>
                </c:pt>
                <c:pt idx="34">
                  <c:v>3.1053843698388013</c:v>
                </c:pt>
                <c:pt idx="35">
                  <c:v>3.2523283747630227</c:v>
                </c:pt>
                <c:pt idx="36">
                  <c:v>3.4062256382895892</c:v>
                </c:pt>
                <c:pt idx="37">
                  <c:v>3.567405182383133</c:v>
                </c:pt>
                <c:pt idx="38">
                  <c:v>3.7362115980327393</c:v>
                </c:pt>
                <c:pt idx="39">
                  <c:v>3.9130057819642294</c:v>
                </c:pt>
                <c:pt idx="40">
                  <c:v>4.0981657082130063</c:v>
                </c:pt>
                <c:pt idx="41">
                  <c:v>4.2920872362070392</c:v>
                </c:pt>
                <c:pt idx="42">
                  <c:v>4.4951849570876057</c:v>
                </c:pt>
                <c:pt idx="43">
                  <c:v>4.7078930800771781</c:v>
                </c:pt>
                <c:pt idx="44">
                  <c:v>4.9306663607894397</c:v>
                </c:pt>
                <c:pt idx="45">
                  <c:v>5.1639810734661014</c:v>
                </c:pt>
                <c:pt idx="46">
                  <c:v>5.4083360292190914</c:v>
                </c:pt>
                <c:pt idx="47">
                  <c:v>5.6642536424550549</c:v>
                </c:pt>
                <c:pt idx="48">
                  <c:v>5.9322810477621024</c:v>
                </c:pt>
                <c:pt idx="49">
                  <c:v>6.2129912696466381</c:v>
                </c:pt>
                <c:pt idx="50">
                  <c:v>6.5069844476210896</c:v>
                </c:pt>
                <c:pt idx="51">
                  <c:v>6.8148891192616885</c:v>
                </c:pt>
                <c:pt idx="52">
                  <c:v>7.1373635639793944</c:v>
                </c:pt>
                <c:pt idx="53">
                  <c:v>7.4750972103768571</c:v>
                </c:pt>
                <c:pt idx="54">
                  <c:v>7.8288121102002464</c:v>
                </c:pt>
                <c:pt idx="55">
                  <c:v>8.1992644820371616</c:v>
                </c:pt>
                <c:pt idx="56">
                  <c:v>8.5872463280609441</c:v>
                </c:pt>
                <c:pt idx="57">
                  <c:v>8.9935871272778822</c:v>
                </c:pt>
                <c:pt idx="58">
                  <c:v>9.419155608897352</c:v>
                </c:pt>
                <c:pt idx="59">
                  <c:v>9.8648616096162467</c:v>
                </c:pt>
                <c:pt idx="60">
                  <c:v>10.331658018788442</c:v>
                </c:pt>
                <c:pt idx="61">
                  <c:v>10.82054281563793</c:v>
                </c:pt>
                <c:pt idx="62">
                  <c:v>11.332561202871064</c:v>
                </c:pt>
                <c:pt idx="63">
                  <c:v>11.868807841249414</c:v>
                </c:pt>
                <c:pt idx="64">
                  <c:v>12.430429189900602</c:v>
                </c:pt>
                <c:pt idx="65">
                  <c:v>13.018625957370567</c:v>
                </c:pt>
                <c:pt idx="66">
                  <c:v>13.634655668657405</c:v>
                </c:pt>
                <c:pt idx="67">
                  <c:v>14.279835353714962</c:v>
                </c:pt>
                <c:pt idx="68">
                  <c:v>14.955544363174001</c:v>
                </c:pt>
                <c:pt idx="69">
                  <c:v>15.66322731730078</c:v>
                </c:pt>
                <c:pt idx="70">
                  <c:v>16.404397194497694</c:v>
                </c:pt>
                <c:pt idx="71">
                  <c:v>17.18063856594901</c:v>
                </c:pt>
                <c:pt idx="72">
                  <c:v>17.99361098332713</c:v>
                </c:pt>
                <c:pt idx="73">
                  <c:v>18.845052526802082</c:v>
                </c:pt>
                <c:pt idx="74">
                  <c:v>19.73678352093965</c:v>
                </c:pt>
                <c:pt idx="75">
                  <c:v>20.670710426432443</c:v>
                </c:pt>
                <c:pt idx="76">
                  <c:v>21.648829915984233</c:v>
                </c:pt>
                <c:pt idx="77">
                  <c:v>22.673233143061449</c:v>
                </c:pt>
                <c:pt idx="78">
                  <c:v>23.746110212638179</c:v>
                </c:pt>
                <c:pt idx="79">
                  <c:v>24.86975486349283</c:v>
                </c:pt>
                <c:pt idx="80">
                  <c:v>26.046569372066841</c:v>
                </c:pt>
                <c:pt idx="81">
                  <c:v>27.279069688369631</c:v>
                </c:pt>
                <c:pt idx="82">
                  <c:v>28.569890814909932</c:v>
                </c:pt>
                <c:pt idx="83">
                  <c:v>29.921792440153354</c:v>
                </c:pt>
                <c:pt idx="84">
                  <c:v>31.337664838550097</c:v>
                </c:pt>
                <c:pt idx="85">
                  <c:v>32.820535049746702</c:v>
                </c:pt>
                <c:pt idx="86">
                  <c:v>34.373573350192551</c:v>
                </c:pt>
                <c:pt idx="87">
                  <c:v>36.000100030976988</c:v>
                </c:pt>
                <c:pt idx="88">
                  <c:v>37.703592496387621</c:v>
                </c:pt>
                <c:pt idx="89">
                  <c:v>39.487692698366033</c:v>
                </c:pt>
                <c:pt idx="90">
                  <c:v>41.356214922755292</c:v>
                </c:pt>
                <c:pt idx="91">
                  <c:v>43.313153943985682</c:v>
                </c:pt>
                <c:pt idx="92">
                  <c:v>45.362693565632895</c:v>
                </c:pt>
                <c:pt idx="93">
                  <c:v>47.509215565107738</c:v>
                </c:pt>
                <c:pt idx="94">
                  <c:v>49.757309061600566</c:v>
                </c:pt>
                <c:pt idx="95">
                  <c:v>52.111780327308445</c:v>
                </c:pt>
                <c:pt idx="96">
                  <c:v>54.577663062920799</c:v>
                </c:pt>
                <c:pt idx="97">
                  <c:v>57.160229159331799</c:v>
                </c:pt>
                <c:pt idx="98">
                  <c:v>59.864999968587362</c:v>
                </c:pt>
                <c:pt idx="99">
                  <c:v>62.697758108163249</c:v>
                </c:pt>
                <c:pt idx="100">
                  <c:v>65.664559823811032</c:v>
                </c:pt>
                <c:pt idx="101">
                  <c:v>68.771747937402836</c:v>
                </c:pt>
                <c:pt idx="102">
                  <c:v>72.025965407456496</c:v>
                </c:pt>
                <c:pt idx="103">
                  <c:v>75.434169531332628</c:v>
                </c:pt>
                <c:pt idx="104">
                  <c:v>79.00364681946688</c:v>
                </c:pt>
                <c:pt idx="105">
                  <c:v>82.74202857343758</c:v>
                </c:pt>
                <c:pt idx="106">
                  <c:v>86.65730720117358</c:v>
                </c:pt>
                <c:pt idx="107">
                  <c:v>90.757853304183044</c:v>
                </c:pt>
                <c:pt idx="108">
                  <c:v>95.052433573334682</c:v>
                </c:pt>
                <c:pt idx="109">
                  <c:v>99.550229531451237</c:v>
                </c:pt>
                <c:pt idx="110">
                  <c:v>104.26085716278493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99.999999837208065</c:v>
                </c:pt>
                <c:pt idx="1">
                  <c:v>99.999999772250774</c:v>
                </c:pt>
                <c:pt idx="2">
                  <c:v>99.999999684241672</c:v>
                </c:pt>
                <c:pt idx="3">
                  <c:v>99.999999564214946</c:v>
                </c:pt>
                <c:pt idx="4">
                  <c:v>99.999999400140695</c:v>
                </c:pt>
                <c:pt idx="5">
                  <c:v>99.999999175598234</c:v>
                </c:pt>
                <c:pt idx="6">
                  <c:v>99.999998868119846</c:v>
                </c:pt>
                <c:pt idx="7">
                  <c:v>99.99999844696103</c:v>
                </c:pt>
                <c:pt idx="8">
                  <c:v>99.999997870060042</c:v>
                </c:pt>
                <c:pt idx="9">
                  <c:v>99.999997079901874</c:v>
                </c:pt>
                <c:pt idx="10">
                  <c:v>99.999995997887353</c:v>
                </c:pt>
                <c:pt idx="11">
                  <c:v>99.999994516674747</c:v>
                </c:pt>
                <c:pt idx="12">
                  <c:v>99.999992489765148</c:v>
                </c:pt>
                <c:pt idx="13">
                  <c:v>99.999989717381695</c:v>
                </c:pt>
                <c:pt idx="14">
                  <c:v>99.999985927299335</c:v>
                </c:pt>
                <c:pt idx="15">
                  <c:v>99.999980748888831</c:v>
                </c:pt>
                <c:pt idx="16">
                  <c:v>99.99997367799412</c:v>
                </c:pt>
                <c:pt idx="17">
                  <c:v>99.999964029459846</c:v>
                </c:pt>
                <c:pt idx="18">
                  <c:v>99.999950873053464</c:v>
                </c:pt>
                <c:pt idx="19">
                  <c:v>99.999932947092361</c:v>
                </c:pt>
                <c:pt idx="20">
                  <c:v>99.999908542157883</c:v>
                </c:pt>
                <c:pt idx="21">
                  <c:v>99.999875344776996</c:v>
                </c:pt>
                <c:pt idx="22">
                  <c:v>99.999830227588959</c:v>
                </c:pt>
                <c:pt idx="23">
                  <c:v>99.999768968113969</c:v>
                </c:pt>
                <c:pt idx="24">
                  <c:v>99.999685872434839</c:v>
                </c:pt>
                <c:pt idx="25">
                  <c:v>99.999573272476255</c:v>
                </c:pt>
                <c:pt idx="26">
                  <c:v>99.999420855598473</c:v>
                </c:pt>
                <c:pt idx="27">
                  <c:v>99.999214772194733</c:v>
                </c:pt>
                <c:pt idx="28">
                  <c:v>99.998936450016018</c:v>
                </c:pt>
                <c:pt idx="29">
                  <c:v>99.998561021959915</c:v>
                </c:pt>
                <c:pt idx="30">
                  <c:v>99.998055245584013</c:v>
                </c:pt>
                <c:pt idx="31">
                  <c:v>99.997374755917875</c:v>
                </c:pt>
                <c:pt idx="32">
                  <c:v>99.996460446035712</c:v>
                </c:pt>
                <c:pt idx="33">
                  <c:v>99.995233709552963</c:v>
                </c:pt>
                <c:pt idx="34">
                  <c:v>99.993590202408598</c:v>
                </c:pt>
                <c:pt idx="35">
                  <c:v>99.991391683849628</c:v>
                </c:pt>
                <c:pt idx="36">
                  <c:v>99.988455373489529</c:v>
                </c:pt>
                <c:pt idx="37">
                  <c:v>99.984540106733135</c:v>
                </c:pt>
                <c:pt idx="38">
                  <c:v>99.979328377661815</c:v>
                </c:pt>
                <c:pt idx="39">
                  <c:v>99.972403118445499</c:v>
                </c:pt>
                <c:pt idx="40">
                  <c:v>99.963217767963599</c:v>
                </c:pt>
                <c:pt idx="41">
                  <c:v>99.951057818880088</c:v>
                </c:pt>
                <c:pt idx="42">
                  <c:v>99.934991590072372</c:v>
                </c:pt>
                <c:pt idx="43">
                  <c:v>99.913807437506051</c:v>
                </c:pt>
                <c:pt idx="44">
                  <c:v>99.885933978472877</c:v>
                </c:pt>
                <c:pt idx="45">
                  <c:v>99.849339149561047</c:v>
                </c:pt>
                <c:pt idx="46">
                  <c:v>99.801403037905899</c:v>
                </c:pt>
                <c:pt idx="47">
                  <c:v>99.738758412968224</c:v>
                </c:pt>
                <c:pt idx="48">
                  <c:v>99.657091745270975</c:v>
                </c:pt>
                <c:pt idx="49">
                  <c:v>99.550896245685323</c:v>
                </c:pt>
                <c:pt idx="50">
                  <c:v>99.413167132433031</c:v>
                </c:pt>
                <c:pt idx="51">
                  <c:v>99.235028005791378</c:v>
                </c:pt>
                <c:pt idx="52">
                  <c:v>99.005276009494821</c:v>
                </c:pt>
                <c:pt idx="53">
                  <c:v>98.709832594685139</c:v>
                </c:pt>
                <c:pt idx="54">
                  <c:v>98.331086521891763</c:v>
                </c:pt>
                <c:pt idx="55">
                  <c:v>97.847116794410766</c:v>
                </c:pt>
                <c:pt idx="56">
                  <c:v>97.230786401968061</c:v>
                </c:pt>
                <c:pt idx="57">
                  <c:v>96.448704486328737</c:v>
                </c:pt>
                <c:pt idx="58">
                  <c:v>95.460067079670381</c:v>
                </c:pt>
                <c:pt idx="59">
                  <c:v>94.215408488769967</c:v>
                </c:pt>
                <c:pt idx="60">
                  <c:v>92.599099922463964</c:v>
                </c:pt>
                <c:pt idx="61">
                  <c:v>90.553723321257493</c:v>
                </c:pt>
                <c:pt idx="62">
                  <c:v>87.977938564591156</c:v>
                </c:pt>
                <c:pt idx="63">
                  <c:v>84.752204440185807</c:v>
                </c:pt>
                <c:pt idx="64">
                  <c:v>80.738731466948806</c:v>
                </c:pt>
                <c:pt idx="65">
                  <c:v>75.783916842221274</c:v>
                </c:pt>
                <c:pt idx="66">
                  <c:v>69.725131834853698</c:v>
                </c:pt>
                <c:pt idx="67">
                  <c:v>62.404633477368471</c:v>
                </c:pt>
                <c:pt idx="68">
                  <c:v>53.694351606208109</c:v>
                </c:pt>
                <c:pt idx="69">
                  <c:v>47.8286860522119</c:v>
                </c:pt>
                <c:pt idx="70">
                  <c:v>42.067311201707582</c:v>
                </c:pt>
                <c:pt idx="71">
                  <c:v>36.248012453681397</c:v>
                </c:pt>
                <c:pt idx="72">
                  <c:v>30.458522886712462</c:v>
                </c:pt>
                <c:pt idx="73">
                  <c:v>24.79909006130092</c:v>
                </c:pt>
                <c:pt idx="74">
                  <c:v>19.379254391892999</c:v>
                </c:pt>
                <c:pt idx="75">
                  <c:v>15.442998438240341</c:v>
                </c:pt>
                <c:pt idx="76">
                  <c:v>12.306391134867068</c:v>
                </c:pt>
                <c:pt idx="77">
                  <c:v>9.5570300424056498</c:v>
                </c:pt>
                <c:pt idx="78">
                  <c:v>7.195551545403867</c:v>
                </c:pt>
                <c:pt idx="79">
                  <c:v>5.2126768308715157</c:v>
                </c:pt>
                <c:pt idx="80">
                  <c:v>3.589363432292477</c:v>
                </c:pt>
                <c:pt idx="81">
                  <c:v>2.2976095364651021</c:v>
                </c:pt>
                <c:pt idx="82">
                  <c:v>1.3019376899594435</c:v>
                </c:pt>
                <c:pt idx="83">
                  <c:v>0.56150118912760827</c:v>
                </c:pt>
                <c:pt idx="84">
                  <c:v>0.40444479923545118</c:v>
                </c:pt>
                <c:pt idx="85">
                  <c:v>0.30153762648784954</c:v>
                </c:pt>
                <c:pt idx="86">
                  <c:v>0.2226307035014119</c:v>
                </c:pt>
                <c:pt idx="87">
                  <c:v>0.16272866800947186</c:v>
                </c:pt>
                <c:pt idx="88">
                  <c:v>0.11772167132699608</c:v>
                </c:pt>
                <c:pt idx="89">
                  <c:v>8.4265164635709822E-2</c:v>
                </c:pt>
                <c:pt idx="90">
                  <c:v>5.974583234258405E-2</c:v>
                </c:pt>
                <c:pt idx="91">
                  <c:v>4.1942667911768962E-2</c:v>
                </c:pt>
                <c:pt idx="92">
                  <c:v>2.9150717989867944E-2</c:v>
                </c:pt>
                <c:pt idx="93">
                  <c:v>2.0070458168160867E-2</c:v>
                </c:pt>
                <c:pt idx="94">
                  <c:v>1.3705351376491644E-2</c:v>
                </c:pt>
                <c:pt idx="95">
                  <c:v>9.1157679722775088E-3</c:v>
                </c:pt>
                <c:pt idx="96">
                  <c:v>5.9760228690998556E-3</c:v>
                </c:pt>
                <c:pt idx="97">
                  <c:v>3.8689641541287878E-3</c:v>
                </c:pt>
                <c:pt idx="98">
                  <c:v>2.4755042333866649E-3</c:v>
                </c:pt>
                <c:pt idx="99">
                  <c:v>1.5083538421396547E-3</c:v>
                </c:pt>
                <c:pt idx="100">
                  <c:v>8.8963856679003396E-4</c:v>
                </c:pt>
                <c:pt idx="101">
                  <c:v>5.017399302025985E-4</c:v>
                </c:pt>
                <c:pt idx="102">
                  <c:v>2.6273879564892911E-4</c:v>
                </c:pt>
                <c:pt idx="103">
                  <c:v>1.1810316554953097E-4</c:v>
                </c:pt>
                <c:pt idx="104">
                  <c:v>3.2187071079594937E-5</c:v>
                </c:pt>
                <c:pt idx="105">
                  <c:v>3.2187071079594937E-5</c:v>
                </c:pt>
                <c:pt idx="106">
                  <c:v>3.2187071079594937E-5</c:v>
                </c:pt>
                <c:pt idx="107">
                  <c:v>3.2187071079594937E-5</c:v>
                </c:pt>
                <c:pt idx="108">
                  <c:v>3.2187071079594937E-5</c:v>
                </c:pt>
                <c:pt idx="109">
                  <c:v>3.2187071079594937E-5</c:v>
                </c:pt>
                <c:pt idx="110">
                  <c:v>5.4410211687734578E-15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C2-4248-AD2E-914E80580FEF}"/>
            </c:ext>
          </c:extLst>
        </c:ser>
        <c:ser>
          <c:idx val="3"/>
          <c:order val="3"/>
          <c:tx>
            <c:v>Grade Efficiency stage 1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0.32240257693945007</c:v>
                </c:pt>
                <c:pt idx="1">
                  <c:v>0.66006095483980709</c:v>
                </c:pt>
                <c:pt idx="2">
                  <c:v>0.69129444758882275</c:v>
                </c:pt>
                <c:pt idx="3">
                  <c:v>0.72400588121913101</c:v>
                </c:pt>
                <c:pt idx="4">
                  <c:v>0.7582651905685085</c:v>
                </c:pt>
                <c:pt idx="5">
                  <c:v>0.79414561972857034</c:v>
                </c:pt>
                <c:pt idx="6">
                  <c:v>0.83172387863569608</c:v>
                </c:pt>
                <c:pt idx="7">
                  <c:v>0.87108030707169681</c:v>
                </c:pt>
                <c:pt idx="8">
                  <c:v>0.91229904642484816</c:v>
                </c:pt>
                <c:pt idx="9">
                  <c:v>0.95546821957850003</c:v>
                </c:pt>
                <c:pt idx="10">
                  <c:v>1.0006801193118551</c:v>
                </c:pt>
                <c:pt idx="11">
                  <c:v>1.0480314056157032</c:v>
                </c:pt>
                <c:pt idx="12">
                  <c:v>1.0976233123449584</c:v>
                </c:pt>
                <c:pt idx="13">
                  <c:v>1.1495618636498102</c:v>
                </c:pt>
                <c:pt idx="14">
                  <c:v>1.2039581006482027</c:v>
                </c:pt>
                <c:pt idx="15">
                  <c:v>1.2609283188242504</c:v>
                </c:pt>
                <c:pt idx="16">
                  <c:v>1.3205943166601379</c:v>
                </c:pt>
                <c:pt idx="17">
                  <c:v>1.3830836560330542</c:v>
                </c:pt>
                <c:pt idx="18">
                  <c:v>1.4485299349338785</c:v>
                </c:pt>
                <c:pt idx="19">
                  <c:v>1.5170730730906712</c:v>
                </c:pt>
                <c:pt idx="20">
                  <c:v>1.5888596111076094</c:v>
                </c:pt>
                <c:pt idx="21">
                  <c:v>1.664043023758911</c:v>
                </c:pt>
                <c:pt idx="22">
                  <c:v>1.7427840481075454</c:v>
                </c:pt>
                <c:pt idx="23">
                  <c:v>1.8252510271502276</c:v>
                </c:pt>
                <c:pt idx="24">
                  <c:v>1.9116202697233859</c:v>
                </c:pt>
                <c:pt idx="25">
                  <c:v>2.0020764274395582</c:v>
                </c:pt>
                <c:pt idx="26">
                  <c:v>2.096812889460077</c:v>
                </c:pt>
                <c:pt idx="27">
                  <c:v>2.1960321959480482</c:v>
                </c:pt>
                <c:pt idx="28">
                  <c:v>2.2999464710855539</c:v>
                </c:pt>
                <c:pt idx="29">
                  <c:v>2.408777876580837</c:v>
                </c:pt>
                <c:pt idx="30">
                  <c:v>2.5227590866350447</c:v>
                </c:pt>
                <c:pt idx="31">
                  <c:v>2.6421337853839688</c:v>
                </c:pt>
                <c:pt idx="32">
                  <c:v>2.7671571878782841</c:v>
                </c:pt>
                <c:pt idx="33">
                  <c:v>2.8980965857161074</c:v>
                </c:pt>
                <c:pt idx="34">
                  <c:v>3.0352319184943948</c:v>
                </c:pt>
                <c:pt idx="35">
                  <c:v>3.178856372300912</c:v>
                </c:pt>
                <c:pt idx="36">
                  <c:v>3.329277006526306</c:v>
                </c:pt>
                <c:pt idx="37">
                  <c:v>3.4868154103363613</c:v>
                </c:pt>
                <c:pt idx="38">
                  <c:v>3.6518083902079361</c:v>
                </c:pt>
                <c:pt idx="39">
                  <c:v>3.8246086899984846</c:v>
                </c:pt>
                <c:pt idx="40">
                  <c:v>4.0055857450886183</c:v>
                </c:pt>
                <c:pt idx="41">
                  <c:v>4.1951264722100223</c:v>
                </c:pt>
                <c:pt idx="42">
                  <c:v>4.393636096647322</c:v>
                </c:pt>
                <c:pt idx="43">
                  <c:v>4.6015390185823914</c:v>
                </c:pt>
                <c:pt idx="44">
                  <c:v>4.8192797204333093</c:v>
                </c:pt>
                <c:pt idx="45">
                  <c:v>5.0473237171277709</c:v>
                </c:pt>
                <c:pt idx="46">
                  <c:v>5.2861585513425968</c:v>
                </c:pt>
                <c:pt idx="47">
                  <c:v>5.5362948358370732</c:v>
                </c:pt>
                <c:pt idx="48">
                  <c:v>5.7982673451085791</c:v>
                </c:pt>
                <c:pt idx="49">
                  <c:v>6.0726361587043698</c:v>
                </c:pt>
                <c:pt idx="50">
                  <c:v>6.3599878586338638</c:v>
                </c:pt>
                <c:pt idx="51">
                  <c:v>6.6609367834413895</c:v>
                </c:pt>
                <c:pt idx="52">
                  <c:v>6.9761263416205415</c:v>
                </c:pt>
                <c:pt idx="53">
                  <c:v>7.3062303871781253</c:v>
                </c:pt>
                <c:pt idx="54">
                  <c:v>7.6519546602885518</c:v>
                </c:pt>
                <c:pt idx="55">
                  <c:v>8.014038296118704</c:v>
                </c:pt>
                <c:pt idx="56">
                  <c:v>8.3932554050490538</c:v>
                </c:pt>
                <c:pt idx="57">
                  <c:v>8.7904167276694132</c:v>
                </c:pt>
                <c:pt idx="58">
                  <c:v>9.2063713680876162</c:v>
                </c:pt>
                <c:pt idx="59">
                  <c:v>9.6420086092567985</c:v>
                </c:pt>
                <c:pt idx="60">
                  <c:v>10.098259814202343</c:v>
                </c:pt>
                <c:pt idx="61">
                  <c:v>10.576100417213187</c:v>
                </c:pt>
                <c:pt idx="62">
                  <c:v>11.076552009254497</c:v>
                </c:pt>
                <c:pt idx="63">
                  <c:v>11.600684522060238</c:v>
                </c:pt>
                <c:pt idx="64">
                  <c:v>12.149618515575007</c:v>
                </c:pt>
                <c:pt idx="65">
                  <c:v>12.724527573635584</c:v>
                </c:pt>
                <c:pt idx="66">
                  <c:v>13.326640813013986</c:v>
                </c:pt>
                <c:pt idx="67">
                  <c:v>13.957245511186184</c:v>
                </c:pt>
                <c:pt idx="68">
                  <c:v>14.617689858444482</c:v>
                </c:pt>
                <c:pt idx="69">
                  <c:v>15.30938584023739</c:v>
                </c:pt>
                <c:pt idx="70">
                  <c:v>16.033812255899235</c:v>
                </c:pt>
                <c:pt idx="71">
                  <c:v>16.79251788022335</c:v>
                </c:pt>
                <c:pt idx="72">
                  <c:v>17.58712477463807</c:v>
                </c:pt>
                <c:pt idx="73">
                  <c:v>18.419331755064604</c:v>
                </c:pt>
                <c:pt idx="74">
                  <c:v>19.290918023870866</c:v>
                </c:pt>
                <c:pt idx="75">
                  <c:v>20.203746973686044</c:v>
                </c:pt>
                <c:pt idx="76">
                  <c:v>21.159770171208336</c:v>
                </c:pt>
                <c:pt idx="77">
                  <c:v>22.161031529522841</c:v>
                </c:pt>
                <c:pt idx="78">
                  <c:v>23.209671677849812</c:v>
                </c:pt>
                <c:pt idx="79">
                  <c:v>24.307932538065504</c:v>
                </c:pt>
                <c:pt idx="80">
                  <c:v>25.458162117779835</c:v>
                </c:pt>
                <c:pt idx="81">
                  <c:v>26.662819530218236</c:v>
                </c:pt>
                <c:pt idx="82">
                  <c:v>27.924480251639782</c:v>
                </c:pt>
                <c:pt idx="83">
                  <c:v>29.245841627531643</c:v>
                </c:pt>
                <c:pt idx="84">
                  <c:v>30.629728639351725</c:v>
                </c:pt>
                <c:pt idx="85">
                  <c:v>32.079099944148396</c:v>
                </c:pt>
                <c:pt idx="86">
                  <c:v>33.597054199969627</c:v>
                </c:pt>
                <c:pt idx="87">
                  <c:v>35.186836690584769</c:v>
                </c:pt>
                <c:pt idx="88">
                  <c:v>36.851846263682305</c:v>
                </c:pt>
                <c:pt idx="89">
                  <c:v>38.595642597376823</c:v>
                </c:pt>
                <c:pt idx="90">
                  <c:v>40.421953810560666</c:v>
                </c:pt>
                <c:pt idx="91">
                  <c:v>42.334684433370484</c:v>
                </c:pt>
                <c:pt idx="92">
                  <c:v>44.337923754809289</c:v>
                </c:pt>
                <c:pt idx="93">
                  <c:v>46.435954565370317</c:v>
                </c:pt>
                <c:pt idx="94">
                  <c:v>48.633262313354152</c:v>
                </c:pt>
                <c:pt idx="95">
                  <c:v>50.934544694454502</c:v>
                </c:pt>
                <c:pt idx="96">
                  <c:v>53.344721695114622</c:v>
                </c:pt>
                <c:pt idx="97">
                  <c:v>55.868946111126299</c:v>
                </c:pt>
                <c:pt idx="98">
                  <c:v>58.51261456395958</c:v>
                </c:pt>
                <c:pt idx="99">
                  <c:v>61.281379038375306</c:v>
                </c:pt>
                <c:pt idx="100">
                  <c:v>64.181158965987137</c:v>
                </c:pt>
                <c:pt idx="101">
                  <c:v>67.218153880606934</c:v>
                </c:pt>
                <c:pt idx="102">
                  <c:v>70.398856672429673</c:v>
                </c:pt>
                <c:pt idx="103">
                  <c:v>73.730067469394555</c:v>
                </c:pt>
                <c:pt idx="104">
                  <c:v>77.218908175399747</c:v>
                </c:pt>
                <c:pt idx="105">
                  <c:v>80.872837696452223</c:v>
                </c:pt>
                <c:pt idx="106">
                  <c:v>84.69966788730558</c:v>
                </c:pt>
                <c:pt idx="107">
                  <c:v>88.707580252678312</c:v>
                </c:pt>
                <c:pt idx="108">
                  <c:v>92.90514343875887</c:v>
                </c:pt>
                <c:pt idx="109">
                  <c:v>97.301331552392952</c:v>
                </c:pt>
                <c:pt idx="110">
                  <c:v>101.90554334711808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1.8905598141246855</c:v>
                </c:pt>
                <c:pt idx="2">
                  <c:v>5.5054944522382669</c:v>
                </c:pt>
                <c:pt idx="3">
                  <c:v>8.3885724698793638</c:v>
                </c:pt>
                <c:pt idx="4">
                  <c:v>10.976316583692508</c:v>
                </c:pt>
                <c:pt idx="5">
                  <c:v>13.391581608968622</c:v>
                </c:pt>
                <c:pt idx="6">
                  <c:v>15.691539430141376</c:v>
                </c:pt>
                <c:pt idx="7">
                  <c:v>17.908525373397794</c:v>
                </c:pt>
                <c:pt idx="8">
                  <c:v>20.062916923207553</c:v>
                </c:pt>
                <c:pt idx="9">
                  <c:v>22.168460107651171</c:v>
                </c:pt>
                <c:pt idx="10">
                  <c:v>24.234856600073059</c:v>
                </c:pt>
                <c:pt idx="11">
                  <c:v>26.269164387984816</c:v>
                </c:pt>
                <c:pt idx="12">
                  <c:v>28.276618369091693</c:v>
                </c:pt>
                <c:pt idx="13">
                  <c:v>30.261140974711367</c:v>
                </c:pt>
                <c:pt idx="14">
                  <c:v>32.22567545417121</c:v>
                </c:pt>
                <c:pt idx="15">
                  <c:v>34.172412061735713</c:v>
                </c:pt>
                <c:pt idx="16">
                  <c:v>36.102946666710437</c:v>
                </c:pt>
                <c:pt idx="17">
                  <c:v>38.018395156770957</c:v>
                </c:pt>
                <c:pt idx="18">
                  <c:v>39.919478042991273</c:v>
                </c:pt>
                <c:pt idx="19">
                  <c:v>41.806584471876754</c:v>
                </c:pt>
                <c:pt idx="20">
                  <c:v>43.679821709548996</c:v>
                </c:pt>
                <c:pt idx="21">
                  <c:v>45.539054203622563</c:v>
                </c:pt>
                <c:pt idx="22">
                  <c:v>47.383935069032127</c:v>
                </c:pt>
                <c:pt idx="23">
                  <c:v>49.213932013493654</c:v>
                </c:pt>
                <c:pt idx="24">
                  <c:v>51.028349157484392</c:v>
                </c:pt>
                <c:pt idx="25">
                  <c:v>52.826345816781014</c:v>
                </c:pt>
                <c:pt idx="26">
                  <c:v>54.606953043360519</c:v>
                </c:pt>
                <c:pt idx="27">
                  <c:v>56.369088525199864</c:v>
                </c:pt>
                <c:pt idx="28">
                  <c:v>58.11157030280453</c:v>
                </c:pt>
                <c:pt idx="29">
                  <c:v>59.83312965401835</c:v>
                </c:pt>
                <c:pt idx="30">
                  <c:v>61.532423417960146</c:v>
                </c:pt>
                <c:pt idx="31">
                  <c:v>63.208045966371309</c:v>
                </c:pt>
                <c:pt idx="32">
                  <c:v>64.858540981094151</c:v>
                </c:pt>
                <c:pt idx="33">
                  <c:v>66.482413156218612</c:v>
                </c:pt>
                <c:pt idx="34">
                  <c:v>68.078139910074341</c:v>
                </c:pt>
                <c:pt idx="35">
                  <c:v>69.644183163880911</c:v>
                </c:pt>
                <c:pt idx="36">
                  <c:v>71.179001219196152</c:v>
                </c:pt>
                <c:pt idx="37">
                  <c:v>72.68106074439703</c:v>
                </c:pt>
                <c:pt idx="38">
                  <c:v>74.148848860639902</c:v>
                </c:pt>
                <c:pt idx="39">
                  <c:v>75.580885299640087</c:v>
                </c:pt>
                <c:pt idx="40">
                  <c:v>76.975734588905709</c:v>
                </c:pt>
                <c:pt idx="41">
                  <c:v>78.332018204606015</c:v>
                </c:pt>
                <c:pt idx="42">
                  <c:v>79.648426617996904</c:v>
                </c:pt>
                <c:pt idx="43">
                  <c:v>80.92373114829266</c:v>
                </c:pt>
                <c:pt idx="44">
                  <c:v>82.156795523159005</c:v>
                </c:pt>
                <c:pt idx="45">
                  <c:v>83.346587037747042</c:v>
                </c:pt>
                <c:pt idx="46">
                  <c:v>84.492187194581874</c:v>
                </c:pt>
                <c:pt idx="47">
                  <c:v>85.592801699871416</c:v>
                </c:pt>
                <c:pt idx="48">
                  <c:v>86.647769687148028</c:v>
                </c:pt>
                <c:pt idx="49">
                  <c:v>87.656572036835087</c:v>
                </c:pt>
                <c:pt idx="50">
                  <c:v>88.618838660580195</c:v>
                </c:pt>
                <c:pt idx="51">
                  <c:v>89.534354622235952</c:v>
                </c:pt>
                <c:pt idx="52">
                  <c:v>90.403064973389533</c:v>
                </c:pt>
                <c:pt idx="53">
                  <c:v>91.225078190491587</c:v>
                </c:pt>
                <c:pt idx="54">
                  <c:v>92.000668113007109</c:v>
                </c:pt>
                <c:pt idx="55">
                  <c:v>92.730274297630885</c:v>
                </c:pt>
                <c:pt idx="56">
                  <c:v>93.414500722419604</c:v>
                </c:pt>
                <c:pt idx="57">
                  <c:v>94.054112796545979</c:v>
                </c:pt>
                <c:pt idx="58">
                  <c:v>94.650032656024337</c:v>
                </c:pt>
                <c:pt idx="59">
                  <c:v>95.203332752836602</c:v>
                </c:pt>
                <c:pt idx="60">
                  <c:v>95.560784684604442</c:v>
                </c:pt>
                <c:pt idx="61">
                  <c:v>95.99230956294835</c:v>
                </c:pt>
                <c:pt idx="62">
                  <c:v>96.394236272238018</c:v>
                </c:pt>
                <c:pt idx="63">
                  <c:v>96.767293977956058</c:v>
                </c:pt>
                <c:pt idx="64">
                  <c:v>97.112313265289444</c:v>
                </c:pt>
                <c:pt idx="65">
                  <c:v>97.430218270598502</c:v>
                </c:pt>
                <c:pt idx="66">
                  <c:v>97.722017868041377</c:v>
                </c:pt>
                <c:pt idx="67">
                  <c:v>97.988796018513739</c:v>
                </c:pt>
                <c:pt idx="68">
                  <c:v>98.231701406353309</c:v>
                </c:pt>
                <c:pt idx="69">
                  <c:v>98.451936505689886</c:v>
                </c:pt>
                <c:pt idx="70">
                  <c:v>98.650746232329226</c:v>
                </c:pt>
                <c:pt idx="71">
                  <c:v>98.829406348111689</c:v>
                </c:pt>
                <c:pt idx="72">
                  <c:v>98.989211792303692</c:v>
                </c:pt>
                <c:pt idx="73">
                  <c:v>99.131465118358406</c:v>
                </c:pt>
                <c:pt idx="74">
                  <c:v>99.257465214016818</c:v>
                </c:pt>
                <c:pt idx="75">
                  <c:v>99.368496478027424</c:v>
                </c:pt>
                <c:pt idx="76">
                  <c:v>99.465818617692662</c:v>
                </c:pt>
                <c:pt idx="77">
                  <c:v>99.550657218108654</c:v>
                </c:pt>
                <c:pt idx="78">
                  <c:v>99.624195216608356</c:v>
                </c:pt>
                <c:pt idx="79">
                  <c:v>99.687565394968175</c:v>
                </c:pt>
                <c:pt idx="80">
                  <c:v>99.741843977961977</c:v>
                </c:pt>
                <c:pt idx="81">
                  <c:v>99.78804540054972</c:v>
                </c:pt>
                <c:pt idx="82">
                  <c:v>99.827118278188507</c:v>
                </c:pt>
                <c:pt idx="83">
                  <c:v>99.859942586353128</c:v>
                </c:pt>
                <c:pt idx="84">
                  <c:v>99.887328027295908</c:v>
                </c:pt>
                <c:pt idx="85">
                  <c:v>99.910013535314405</c:v>
                </c:pt>
                <c:pt idx="86">
                  <c:v>99.92866784724113</c:v>
                </c:pt>
                <c:pt idx="87">
                  <c:v>99.943891043349552</c:v>
                </c:pt>
                <c:pt idx="88">
                  <c:v>99.956216946088986</c:v>
                </c:pt>
                <c:pt idx="89">
                  <c:v>99.966116250559182</c:v>
                </c:pt>
                <c:pt idx="90">
                  <c:v>99.974000251764721</c:v>
                </c:pt>
                <c:pt idx="91">
                  <c:v>99.980225029595374</c:v>
                </c:pt>
                <c:pt idx="92">
                  <c:v>99.985095953090237</c:v>
                </c:pt>
                <c:pt idx="93">
                  <c:v>99.988872370581575</c:v>
                </c:pt>
                <c:pt idx="94">
                  <c:v>99.991772361310396</c:v>
                </c:pt>
                <c:pt idx="95">
                  <c:v>99.993977436429205</c:v>
                </c:pt>
                <c:pt idx="96">
                  <c:v>99.995637092207133</c:v>
                </c:pt>
                <c:pt idx="97">
                  <c:v>99.996873134901819</c:v>
                </c:pt>
                <c:pt idx="98">
                  <c:v>99.997783714309222</c:v>
                </c:pt>
                <c:pt idx="99">
                  <c:v>99.998447020617633</c:v>
                </c:pt>
                <c:pt idx="100">
                  <c:v>99.998924616117307</c:v>
                </c:pt>
                <c:pt idx="101">
                  <c:v>99.999264388900556</c:v>
                </c:pt>
                <c:pt idx="102">
                  <c:v>99.999503129417079</c:v>
                </c:pt>
                <c:pt idx="103">
                  <c:v>99.999668742266692</c:v>
                </c:pt>
                <c:pt idx="104">
                  <c:v>99.999782114720006</c:v>
                </c:pt>
                <c:pt idx="105">
                  <c:v>99.999858670115998</c:v>
                </c:pt>
                <c:pt idx="106">
                  <c:v>99.999909638589855</c:v>
                </c:pt>
                <c:pt idx="107">
                  <c:v>99.999943079746757</c:v>
                </c:pt>
                <c:pt idx="108">
                  <c:v>99.999964692213297</c:v>
                </c:pt>
                <c:pt idx="109">
                  <c:v>99.999978443816048</c:v>
                </c:pt>
                <c:pt idx="110">
                  <c:v>99.999987053825294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C2-4248-AD2E-914E80580FEF}"/>
            </c:ext>
          </c:extLst>
        </c:ser>
        <c:ser>
          <c:idx val="5"/>
          <c:order val="4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0.32240257693945007</c:v>
                </c:pt>
                <c:pt idx="1">
                  <c:v>0.66006095483980709</c:v>
                </c:pt>
                <c:pt idx="2">
                  <c:v>0.69129444758882275</c:v>
                </c:pt>
                <c:pt idx="3">
                  <c:v>0.72400588121913101</c:v>
                </c:pt>
                <c:pt idx="4">
                  <c:v>0.7582651905685085</c:v>
                </c:pt>
                <c:pt idx="5">
                  <c:v>0.79414561972857034</c:v>
                </c:pt>
                <c:pt idx="6">
                  <c:v>0.83172387863569608</c:v>
                </c:pt>
                <c:pt idx="7">
                  <c:v>0.87108030707169681</c:v>
                </c:pt>
                <c:pt idx="8">
                  <c:v>0.91229904642484816</c:v>
                </c:pt>
                <c:pt idx="9">
                  <c:v>0.95546821957850003</c:v>
                </c:pt>
                <c:pt idx="10">
                  <c:v>1.0006801193118551</c:v>
                </c:pt>
                <c:pt idx="11">
                  <c:v>1.0480314056157032</c:v>
                </c:pt>
                <c:pt idx="12">
                  <c:v>1.0976233123449584</c:v>
                </c:pt>
                <c:pt idx="13">
                  <c:v>1.1495618636498102</c:v>
                </c:pt>
                <c:pt idx="14">
                  <c:v>1.2039581006482027</c:v>
                </c:pt>
                <c:pt idx="15">
                  <c:v>1.2609283188242504</c:v>
                </c:pt>
                <c:pt idx="16">
                  <c:v>1.3205943166601379</c:v>
                </c:pt>
                <c:pt idx="17">
                  <c:v>1.3830836560330542</c:v>
                </c:pt>
                <c:pt idx="18">
                  <c:v>1.4485299349338785</c:v>
                </c:pt>
                <c:pt idx="19">
                  <c:v>1.5170730730906712</c:v>
                </c:pt>
                <c:pt idx="20">
                  <c:v>1.5888596111076094</c:v>
                </c:pt>
                <c:pt idx="21">
                  <c:v>1.664043023758911</c:v>
                </c:pt>
                <c:pt idx="22">
                  <c:v>1.7427840481075454</c:v>
                </c:pt>
                <c:pt idx="23">
                  <c:v>1.8252510271502276</c:v>
                </c:pt>
                <c:pt idx="24">
                  <c:v>1.9116202697233859</c:v>
                </c:pt>
                <c:pt idx="25">
                  <c:v>2.0020764274395582</c:v>
                </c:pt>
                <c:pt idx="26">
                  <c:v>2.096812889460077</c:v>
                </c:pt>
                <c:pt idx="27">
                  <c:v>2.1960321959480482</c:v>
                </c:pt>
                <c:pt idx="28">
                  <c:v>2.2999464710855539</c:v>
                </c:pt>
                <c:pt idx="29">
                  <c:v>2.408777876580837</c:v>
                </c:pt>
                <c:pt idx="30">
                  <c:v>2.5227590866350447</c:v>
                </c:pt>
                <c:pt idx="31">
                  <c:v>2.6421337853839688</c:v>
                </c:pt>
                <c:pt idx="32">
                  <c:v>2.7671571878782841</c:v>
                </c:pt>
                <c:pt idx="33">
                  <c:v>2.8980965857161074</c:v>
                </c:pt>
                <c:pt idx="34">
                  <c:v>3.0352319184943948</c:v>
                </c:pt>
                <c:pt idx="35">
                  <c:v>3.178856372300912</c:v>
                </c:pt>
                <c:pt idx="36">
                  <c:v>3.329277006526306</c:v>
                </c:pt>
                <c:pt idx="37">
                  <c:v>3.4868154103363613</c:v>
                </c:pt>
                <c:pt idx="38">
                  <c:v>3.6518083902079361</c:v>
                </c:pt>
                <c:pt idx="39">
                  <c:v>3.8246086899984846</c:v>
                </c:pt>
                <c:pt idx="40">
                  <c:v>4.0055857450886183</c:v>
                </c:pt>
                <c:pt idx="41">
                  <c:v>4.1951264722100223</c:v>
                </c:pt>
                <c:pt idx="42">
                  <c:v>4.393636096647322</c:v>
                </c:pt>
                <c:pt idx="43">
                  <c:v>4.6015390185823914</c:v>
                </c:pt>
                <c:pt idx="44">
                  <c:v>4.8192797204333093</c:v>
                </c:pt>
                <c:pt idx="45">
                  <c:v>5.0473237171277709</c:v>
                </c:pt>
                <c:pt idx="46">
                  <c:v>5.2861585513425968</c:v>
                </c:pt>
                <c:pt idx="47">
                  <c:v>5.5362948358370732</c:v>
                </c:pt>
                <c:pt idx="48">
                  <c:v>5.7982673451085791</c:v>
                </c:pt>
                <c:pt idx="49">
                  <c:v>6.0726361587043698</c:v>
                </c:pt>
                <c:pt idx="50">
                  <c:v>6.3599878586338638</c:v>
                </c:pt>
                <c:pt idx="51">
                  <c:v>6.6609367834413895</c:v>
                </c:pt>
                <c:pt idx="52">
                  <c:v>6.9761263416205415</c:v>
                </c:pt>
                <c:pt idx="53">
                  <c:v>7.3062303871781253</c:v>
                </c:pt>
                <c:pt idx="54">
                  <c:v>7.6519546602885518</c:v>
                </c:pt>
                <c:pt idx="55">
                  <c:v>8.014038296118704</c:v>
                </c:pt>
                <c:pt idx="56">
                  <c:v>8.3932554050490538</c:v>
                </c:pt>
                <c:pt idx="57">
                  <c:v>8.7904167276694132</c:v>
                </c:pt>
                <c:pt idx="58">
                  <c:v>9.2063713680876162</c:v>
                </c:pt>
                <c:pt idx="59">
                  <c:v>9.6420086092567985</c:v>
                </c:pt>
                <c:pt idx="60">
                  <c:v>10.098259814202343</c:v>
                </c:pt>
                <c:pt idx="61">
                  <c:v>10.576100417213187</c:v>
                </c:pt>
                <c:pt idx="62">
                  <c:v>11.076552009254497</c:v>
                </c:pt>
                <c:pt idx="63">
                  <c:v>11.600684522060238</c:v>
                </c:pt>
                <c:pt idx="64">
                  <c:v>12.149618515575007</c:v>
                </c:pt>
                <c:pt idx="65">
                  <c:v>12.724527573635584</c:v>
                </c:pt>
                <c:pt idx="66">
                  <c:v>13.326640813013986</c:v>
                </c:pt>
                <c:pt idx="67">
                  <c:v>13.957245511186184</c:v>
                </c:pt>
                <c:pt idx="68">
                  <c:v>14.617689858444482</c:v>
                </c:pt>
                <c:pt idx="69">
                  <c:v>15.30938584023739</c:v>
                </c:pt>
                <c:pt idx="70">
                  <c:v>16.033812255899235</c:v>
                </c:pt>
                <c:pt idx="71">
                  <c:v>16.79251788022335</c:v>
                </c:pt>
                <c:pt idx="72">
                  <c:v>17.58712477463807</c:v>
                </c:pt>
                <c:pt idx="73">
                  <c:v>18.419331755064604</c:v>
                </c:pt>
                <c:pt idx="74">
                  <c:v>19.290918023870866</c:v>
                </c:pt>
                <c:pt idx="75">
                  <c:v>20.203746973686044</c:v>
                </c:pt>
                <c:pt idx="76">
                  <c:v>21.159770171208336</c:v>
                </c:pt>
                <c:pt idx="77">
                  <c:v>22.161031529522841</c:v>
                </c:pt>
                <c:pt idx="78">
                  <c:v>23.209671677849812</c:v>
                </c:pt>
                <c:pt idx="79">
                  <c:v>24.307932538065504</c:v>
                </c:pt>
                <c:pt idx="80">
                  <c:v>25.458162117779835</c:v>
                </c:pt>
                <c:pt idx="81">
                  <c:v>26.662819530218236</c:v>
                </c:pt>
                <c:pt idx="82">
                  <c:v>27.924480251639782</c:v>
                </c:pt>
                <c:pt idx="83">
                  <c:v>29.245841627531643</c:v>
                </c:pt>
                <c:pt idx="84">
                  <c:v>30.629728639351725</c:v>
                </c:pt>
                <c:pt idx="85">
                  <c:v>32.079099944148396</c:v>
                </c:pt>
                <c:pt idx="86">
                  <c:v>33.597054199969627</c:v>
                </c:pt>
                <c:pt idx="87">
                  <c:v>35.186836690584769</c:v>
                </c:pt>
                <c:pt idx="88">
                  <c:v>36.851846263682305</c:v>
                </c:pt>
                <c:pt idx="89">
                  <c:v>38.595642597376823</c:v>
                </c:pt>
                <c:pt idx="90">
                  <c:v>40.421953810560666</c:v>
                </c:pt>
                <c:pt idx="91">
                  <c:v>42.334684433370484</c:v>
                </c:pt>
                <c:pt idx="92">
                  <c:v>44.337923754809289</c:v>
                </c:pt>
                <c:pt idx="93">
                  <c:v>46.435954565370317</c:v>
                </c:pt>
                <c:pt idx="94">
                  <c:v>48.633262313354152</c:v>
                </c:pt>
                <c:pt idx="95">
                  <c:v>50.934544694454502</c:v>
                </c:pt>
                <c:pt idx="96">
                  <c:v>53.344721695114622</c:v>
                </c:pt>
                <c:pt idx="97">
                  <c:v>55.868946111126299</c:v>
                </c:pt>
                <c:pt idx="98">
                  <c:v>58.51261456395958</c:v>
                </c:pt>
                <c:pt idx="99">
                  <c:v>61.281379038375306</c:v>
                </c:pt>
                <c:pt idx="100">
                  <c:v>64.181158965987137</c:v>
                </c:pt>
                <c:pt idx="101">
                  <c:v>67.218153880606934</c:v>
                </c:pt>
                <c:pt idx="102">
                  <c:v>70.398856672429673</c:v>
                </c:pt>
                <c:pt idx="103">
                  <c:v>73.730067469394555</c:v>
                </c:pt>
                <c:pt idx="104">
                  <c:v>77.218908175399747</c:v>
                </c:pt>
                <c:pt idx="105">
                  <c:v>80.872837696452223</c:v>
                </c:pt>
                <c:pt idx="106">
                  <c:v>84.69966788730558</c:v>
                </c:pt>
                <c:pt idx="107">
                  <c:v>88.707580252678312</c:v>
                </c:pt>
                <c:pt idx="108">
                  <c:v>92.90514343875887</c:v>
                </c:pt>
                <c:pt idx="109">
                  <c:v>97.301331552392952</c:v>
                </c:pt>
                <c:pt idx="110">
                  <c:v>101.90554334711808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2.3693225984304576</c:v>
                </c:pt>
                <c:pt idx="2">
                  <c:v>5.3052882906061001</c:v>
                </c:pt>
                <c:pt idx="3">
                  <c:v>7.7556124593412363</c:v>
                </c:pt>
                <c:pt idx="4">
                  <c:v>9.9872118356110491</c:v>
                </c:pt>
                <c:pt idx="5">
                  <c:v>12.088452035896779</c:v>
                </c:pt>
                <c:pt idx="6">
                  <c:v>14.102614443294556</c:v>
                </c:pt>
                <c:pt idx="7">
                  <c:v>16.054870225399839</c:v>
                </c:pt>
                <c:pt idx="8">
                  <c:v>17.96138262579575</c:v>
                </c:pt>
                <c:pt idx="9">
                  <c:v>19.833214170554982</c:v>
                </c:pt>
                <c:pt idx="10">
                  <c:v>21.678270352436385</c:v>
                </c:pt>
                <c:pt idx="11">
                  <c:v>23.502369587113066</c:v>
                </c:pt>
                <c:pt idx="12">
                  <c:v>25.309877658529771</c:v>
                </c:pt>
                <c:pt idx="13">
                  <c:v>27.104106023594198</c:v>
                </c:pt>
                <c:pt idx="14">
                  <c:v>28.887573459432815</c:v>
                </c:pt>
                <c:pt idx="15">
                  <c:v>30.662184407371768</c:v>
                </c:pt>
                <c:pt idx="16">
                  <c:v>32.429354340759772</c:v>
                </c:pt>
                <c:pt idx="17">
                  <c:v>34.1901002424719</c:v>
                </c:pt>
                <c:pt idx="18">
                  <c:v>35.945107422771869</c:v>
                </c:pt>
                <c:pt idx="19">
                  <c:v>37.694779897270294</c:v>
                </c:pt>
                <c:pt idx="20">
                  <c:v>39.439279108314153</c:v>
                </c:pt>
                <c:pt idx="21">
                  <c:v>41.178554244372243</c:v>
                </c:pt>
                <c:pt idx="22">
                  <c:v>42.912366425077998</c:v>
                </c:pt>
                <c:pt idx="23">
                  <c:v>44.64030836626074</c:v>
                </c:pt>
                <c:pt idx="24">
                  <c:v>46.361820696934466</c:v>
                </c:pt>
                <c:pt idx="25">
                  <c:v>48.076205794498982</c:v>
                </c:pt>
                <c:pt idx="26">
                  <c:v>49.782639789098482</c:v>
                </c:pt>
                <c:pt idx="27">
                  <c:v>51.480183233709248</c:v>
                </c:pt>
                <c:pt idx="28">
                  <c:v>53.167790823908597</c:v>
                </c:pt>
                <c:pt idx="29">
                  <c:v>54.844320467677704</c:v>
                </c:pt>
                <c:pt idx="30">
                  <c:v>56.508541942403212</c:v>
                </c:pt>
                <c:pt idx="31">
                  <c:v>58.1591453275513</c:v>
                </c:pt>
                <c:pt idx="32">
                  <c:v>59.79474936316889</c:v>
                </c:pt>
                <c:pt idx="33">
                  <c:v>61.413909853499121</c:v>
                </c:pt>
                <c:pt idx="34">
                  <c:v>63.015128209495984</c:v>
                </c:pt>
                <c:pt idx="35">
                  <c:v>64.596860202375254</c:v>
                </c:pt>
                <c:pt idx="36">
                  <c:v>66.157524981446102</c:v>
                </c:pt>
                <c:pt idx="37">
                  <c:v>67.69551439252939</c:v>
                </c:pt>
                <c:pt idx="38">
                  <c:v>69.209202617699106</c:v>
                </c:pt>
                <c:pt idx="39">
                  <c:v>70.69695614246487</c:v>
                </c:pt>
                <c:pt idx="40">
                  <c:v>72.157144042552758</c:v>
                </c:pt>
                <c:pt idx="41">
                  <c:v>73.588148568947645</c:v>
                </c:pt>
                <c:pt idx="42">
                  <c:v>74.988375996722638</c:v>
                </c:pt>
                <c:pt idx="43">
                  <c:v>76.356267690357541</c:v>
                </c:pt>
                <c:pt idx="44">
                  <c:v>77.690311325758529</c:v>
                </c:pt>
                <c:pt idx="45">
                  <c:v>78.989052197098985</c:v>
                </c:pt>
                <c:pt idx="46">
                  <c:v>80.251104525024857</c:v>
                </c:pt>
                <c:pt idx="47">
                  <c:v>81.475162671856708</c:v>
                </c:pt>
                <c:pt idx="48">
                  <c:v>82.660012159364044</c:v>
                </c:pt>
                <c:pt idx="49">
                  <c:v>83.804540375703425</c:v>
                </c:pt>
                <c:pt idx="50">
                  <c:v>84.907746850440347</c:v>
                </c:pt>
                <c:pt idx="51">
                  <c:v>85.968752970475521</c:v>
                </c:pt>
                <c:pt idx="52">
                  <c:v>86.986811005436707</c:v>
                </c:pt>
                <c:pt idx="53">
                  <c:v>87.96131230894828</c:v>
                </c:pt>
                <c:pt idx="54">
                  <c:v>88.891794562412713</c:v>
                </c:pt>
                <c:pt idx="55">
                  <c:v>89.777947930775781</c:v>
                </c:pt>
                <c:pt idx="56">
                  <c:v>90.619620005412557</c:v>
                </c:pt>
                <c:pt idx="57">
                  <c:v>91.416819417934491</c:v>
                </c:pt>
                <c:pt idx="58">
                  <c:v>92.169718020496802</c:v>
                </c:pt>
                <c:pt idx="59">
                  <c:v>92.878651543125955</c:v>
                </c:pt>
                <c:pt idx="60">
                  <c:v>93.327295205307522</c:v>
                </c:pt>
                <c:pt idx="61">
                  <c:v>93.894848255249514</c:v>
                </c:pt>
                <c:pt idx="62">
                  <c:v>94.430703365092469</c:v>
                </c:pt>
                <c:pt idx="63">
                  <c:v>94.935101702228778</c:v>
                </c:pt>
                <c:pt idx="64">
                  <c:v>95.408407582707113</c:v>
                </c:pt>
                <c:pt idx="65">
                  <c:v>95.851105333471878</c:v>
                </c:pt>
                <c:pt idx="66">
                  <c:v>96.263794974468894</c:v>
                </c:pt>
                <c:pt idx="67">
                  <c:v>96.647186742141727</c:v>
                </c:pt>
                <c:pt idx="68">
                  <c:v>97.002094495948555</c:v>
                </c:pt>
                <c:pt idx="69">
                  <c:v>97.329428070052003</c:v>
                </c:pt>
                <c:pt idx="70">
                  <c:v>97.630184652794185</c:v>
                </c:pt>
                <c:pt idx="71">
                  <c:v>97.90543929644339</c:v>
                </c:pt>
                <c:pt idx="72">
                  <c:v>98.156334678430966</c:v>
                </c:pt>
                <c:pt idx="73">
                  <c:v>98.384070252316832</c:v>
                </c:pt>
                <c:pt idx="74">
                  <c:v>98.589890941459743</c:v>
                </c:pt>
                <c:pt idx="75">
                  <c:v>98.775075540281193</c:v>
                </c:pt>
                <c:pt idx="76">
                  <c:v>98.940924996601623</c:v>
                </c:pt>
                <c:pt idx="77">
                  <c:v>99.088750753366824</c:v>
                </c:pt>
                <c:pt idx="78">
                  <c:v>99.21986332883796</c:v>
                </c:pt>
                <c:pt idx="79">
                  <c:v>99.335561310770913</c:v>
                </c:pt>
                <c:pt idx="80">
                  <c:v>99.437120932172519</c:v>
                </c:pt>
                <c:pt idx="81">
                  <c:v>99.5257863839566</c:v>
                </c:pt>
                <c:pt idx="82">
                  <c:v>99.602761003446474</c:v>
                </c:pt>
                <c:pt idx="83">
                  <c:v>99.669199457563138</c:v>
                </c:pt>
                <c:pt idx="84">
                  <c:v>99.726201016227876</c:v>
                </c:pt>
                <c:pt idx="85">
                  <c:v>99.774803985669379</c:v>
                </c:pt>
                <c:pt idx="86">
                  <c:v>99.815981343748447</c:v>
                </c:pt>
                <c:pt idx="87">
                  <c:v>99.850637590985244</c:v>
                </c:pt>
                <c:pt idx="88">
                  <c:v>99.879606802631699</c:v>
                </c:pt>
                <c:pt idx="89">
                  <c:v>99.903651839835689</c:v>
                </c:pt>
                <c:pt idx="90">
                  <c:v>99.92346465262041</c:v>
                </c:pt>
                <c:pt idx="91">
                  <c:v>99.939667584910822</c:v>
                </c:pt>
                <c:pt idx="92">
                  <c:v>99.952815572922034</c:v>
                </c:pt>
                <c:pt idx="93">
                  <c:v>99.963399113472136</c:v>
                </c:pt>
                <c:pt idx="94">
                  <c:v>99.971847868602055</c:v>
                </c:pt>
                <c:pt idx="95">
                  <c:v>99.978534767479331</c:v>
                </c:pt>
                <c:pt idx="96">
                  <c:v>99.983780465920461</c:v>
                </c:pt>
                <c:pt idx="97">
                  <c:v>99.987858027761803</c:v>
                </c:pt>
                <c:pt idx="98">
                  <c:v>99.990997700323007</c:v>
                </c:pt>
                <c:pt idx="99">
                  <c:v>99.993391667745101</c:v>
                </c:pt>
                <c:pt idx="100">
                  <c:v>99.995198680325331</c:v>
                </c:pt>
                <c:pt idx="101">
                  <c:v>99.996548474297157</c:v>
                </c:pt>
                <c:pt idx="102">
                  <c:v>99.997545913964103</c:v>
                </c:pt>
                <c:pt idx="103">
                  <c:v>99.998274805846876</c:v>
                </c:pt>
                <c:pt idx="104">
                  <c:v>99.998801351760491</c:v>
                </c:pt>
                <c:pt idx="105">
                  <c:v>99.999177223813319</c:v>
                </c:pt>
                <c:pt idx="106">
                  <c:v>99.999442258661659</c:v>
                </c:pt>
                <c:pt idx="107">
                  <c:v>99.999626780553868</c:v>
                </c:pt>
                <c:pt idx="108">
                  <c:v>99.999753572519978</c:v>
                </c:pt>
                <c:pt idx="109">
                  <c:v>99.999839522419506</c:v>
                </c:pt>
                <c:pt idx="110">
                  <c:v>99.999896975514375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C2-4248-AD2E-914E80580FEF}"/>
            </c:ext>
          </c:extLst>
        </c:ser>
        <c:ser>
          <c:idx val="2"/>
          <c:order val="5"/>
          <c:tx>
            <c:v>Total Grade Efficiency Stage 1 &amp; 2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'Berekening trap 2'!$B$76:$B$185</c:f>
              <c:numCache>
                <c:formatCode>General</c:formatCode>
                <c:ptCount val="110"/>
                <c:pt idx="0">
                  <c:v>0.32240257693945007</c:v>
                </c:pt>
                <c:pt idx="1">
                  <c:v>0.66006095483980709</c:v>
                </c:pt>
                <c:pt idx="2">
                  <c:v>0.69129444758882275</c:v>
                </c:pt>
                <c:pt idx="3">
                  <c:v>0.72400588121913101</c:v>
                </c:pt>
                <c:pt idx="4">
                  <c:v>0.7582651905685085</c:v>
                </c:pt>
                <c:pt idx="5">
                  <c:v>0.79414561972857034</c:v>
                </c:pt>
                <c:pt idx="6">
                  <c:v>0.83172387863569608</c:v>
                </c:pt>
                <c:pt idx="7">
                  <c:v>0.87108030707169681</c:v>
                </c:pt>
                <c:pt idx="8">
                  <c:v>0.91229904642484816</c:v>
                </c:pt>
                <c:pt idx="9">
                  <c:v>0.95546821957850003</c:v>
                </c:pt>
                <c:pt idx="10">
                  <c:v>1.0006801193118551</c:v>
                </c:pt>
                <c:pt idx="11">
                  <c:v>1.0480314056157032</c:v>
                </c:pt>
                <c:pt idx="12">
                  <c:v>1.0976233123449584</c:v>
                </c:pt>
                <c:pt idx="13">
                  <c:v>1.1495618636498102</c:v>
                </c:pt>
                <c:pt idx="14">
                  <c:v>1.2039581006482027</c:v>
                </c:pt>
                <c:pt idx="15">
                  <c:v>1.2609283188242504</c:v>
                </c:pt>
                <c:pt idx="16">
                  <c:v>1.3205943166601379</c:v>
                </c:pt>
                <c:pt idx="17">
                  <c:v>1.3830836560330542</c:v>
                </c:pt>
                <c:pt idx="18">
                  <c:v>1.4485299349338785</c:v>
                </c:pt>
                <c:pt idx="19">
                  <c:v>1.5170730730906712</c:v>
                </c:pt>
                <c:pt idx="20">
                  <c:v>1.5888596111076094</c:v>
                </c:pt>
                <c:pt idx="21">
                  <c:v>1.664043023758911</c:v>
                </c:pt>
                <c:pt idx="22">
                  <c:v>1.7427840481075454</c:v>
                </c:pt>
                <c:pt idx="23">
                  <c:v>1.8252510271502276</c:v>
                </c:pt>
                <c:pt idx="24">
                  <c:v>1.9116202697233859</c:v>
                </c:pt>
                <c:pt idx="25">
                  <c:v>2.0020764274395582</c:v>
                </c:pt>
                <c:pt idx="26">
                  <c:v>2.096812889460077</c:v>
                </c:pt>
                <c:pt idx="27">
                  <c:v>2.1960321959480482</c:v>
                </c:pt>
                <c:pt idx="28">
                  <c:v>2.2999464710855539</c:v>
                </c:pt>
                <c:pt idx="29">
                  <c:v>2.408777876580837</c:v>
                </c:pt>
                <c:pt idx="30">
                  <c:v>2.5227590866350447</c:v>
                </c:pt>
                <c:pt idx="31">
                  <c:v>2.6421337853839688</c:v>
                </c:pt>
                <c:pt idx="32">
                  <c:v>2.7671571878782841</c:v>
                </c:pt>
                <c:pt idx="33">
                  <c:v>2.8980965857161074</c:v>
                </c:pt>
                <c:pt idx="34">
                  <c:v>3.0352319184943948</c:v>
                </c:pt>
                <c:pt idx="35">
                  <c:v>3.178856372300912</c:v>
                </c:pt>
                <c:pt idx="36">
                  <c:v>3.329277006526306</c:v>
                </c:pt>
                <c:pt idx="37">
                  <c:v>3.4868154103363613</c:v>
                </c:pt>
                <c:pt idx="38">
                  <c:v>3.6518083902079361</c:v>
                </c:pt>
                <c:pt idx="39">
                  <c:v>3.8246086899984846</c:v>
                </c:pt>
                <c:pt idx="40">
                  <c:v>4.0055857450886183</c:v>
                </c:pt>
                <c:pt idx="41">
                  <c:v>4.1951264722100223</c:v>
                </c:pt>
                <c:pt idx="42">
                  <c:v>4.393636096647322</c:v>
                </c:pt>
                <c:pt idx="43">
                  <c:v>4.6015390185823914</c:v>
                </c:pt>
                <c:pt idx="44">
                  <c:v>4.8192797204333093</c:v>
                </c:pt>
                <c:pt idx="45">
                  <c:v>5.0473237171277709</c:v>
                </c:pt>
                <c:pt idx="46">
                  <c:v>5.2861585513425968</c:v>
                </c:pt>
                <c:pt idx="47">
                  <c:v>5.5362948358370732</c:v>
                </c:pt>
                <c:pt idx="48">
                  <c:v>5.7982673451085791</c:v>
                </c:pt>
                <c:pt idx="49">
                  <c:v>6.0726361587043698</c:v>
                </c:pt>
                <c:pt idx="50">
                  <c:v>6.3599878586338638</c:v>
                </c:pt>
                <c:pt idx="51">
                  <c:v>6.6609367834413895</c:v>
                </c:pt>
                <c:pt idx="52">
                  <c:v>6.9761263416205415</c:v>
                </c:pt>
                <c:pt idx="53">
                  <c:v>7.3062303871781253</c:v>
                </c:pt>
                <c:pt idx="54">
                  <c:v>7.6519546602885518</c:v>
                </c:pt>
                <c:pt idx="55">
                  <c:v>8.014038296118704</c:v>
                </c:pt>
                <c:pt idx="56">
                  <c:v>8.3932554050490538</c:v>
                </c:pt>
                <c:pt idx="57">
                  <c:v>8.7904167276694132</c:v>
                </c:pt>
                <c:pt idx="58">
                  <c:v>9.2063713680876162</c:v>
                </c:pt>
                <c:pt idx="59">
                  <c:v>9.6420086092567985</c:v>
                </c:pt>
                <c:pt idx="60">
                  <c:v>10.098259814202343</c:v>
                </c:pt>
                <c:pt idx="61">
                  <c:v>10.576100417213187</c:v>
                </c:pt>
                <c:pt idx="62">
                  <c:v>11.076552009254497</c:v>
                </c:pt>
                <c:pt idx="63">
                  <c:v>11.600684522060238</c:v>
                </c:pt>
                <c:pt idx="64">
                  <c:v>12.149618515575007</c:v>
                </c:pt>
                <c:pt idx="65">
                  <c:v>12.724527573635584</c:v>
                </c:pt>
                <c:pt idx="66">
                  <c:v>13.326640813013986</c:v>
                </c:pt>
                <c:pt idx="67">
                  <c:v>13.957245511186184</c:v>
                </c:pt>
                <c:pt idx="68">
                  <c:v>14.617689858444482</c:v>
                </c:pt>
                <c:pt idx="69">
                  <c:v>15.30938584023739</c:v>
                </c:pt>
                <c:pt idx="70">
                  <c:v>16.033812255899235</c:v>
                </c:pt>
                <c:pt idx="71">
                  <c:v>16.79251788022335</c:v>
                </c:pt>
                <c:pt idx="72">
                  <c:v>17.58712477463807</c:v>
                </c:pt>
                <c:pt idx="73">
                  <c:v>18.419331755064604</c:v>
                </c:pt>
                <c:pt idx="74">
                  <c:v>19.290918023870866</c:v>
                </c:pt>
                <c:pt idx="75">
                  <c:v>20.203746973686044</c:v>
                </c:pt>
                <c:pt idx="76">
                  <c:v>21.159770171208336</c:v>
                </c:pt>
                <c:pt idx="77">
                  <c:v>22.161031529522841</c:v>
                </c:pt>
                <c:pt idx="78">
                  <c:v>23.209671677849812</c:v>
                </c:pt>
                <c:pt idx="79">
                  <c:v>24.307932538065504</c:v>
                </c:pt>
                <c:pt idx="80">
                  <c:v>25.458162117779835</c:v>
                </c:pt>
                <c:pt idx="81">
                  <c:v>26.662819530218236</c:v>
                </c:pt>
                <c:pt idx="82">
                  <c:v>27.924480251639782</c:v>
                </c:pt>
                <c:pt idx="83">
                  <c:v>29.245841627531643</c:v>
                </c:pt>
                <c:pt idx="84">
                  <c:v>30.629728639351725</c:v>
                </c:pt>
                <c:pt idx="85">
                  <c:v>32.079099944148396</c:v>
                </c:pt>
                <c:pt idx="86">
                  <c:v>33.597054199969627</c:v>
                </c:pt>
                <c:pt idx="87">
                  <c:v>35.186836690584769</c:v>
                </c:pt>
                <c:pt idx="88">
                  <c:v>36.851846263682305</c:v>
                </c:pt>
                <c:pt idx="89">
                  <c:v>38.595642597376823</c:v>
                </c:pt>
                <c:pt idx="90">
                  <c:v>40.421953810560666</c:v>
                </c:pt>
                <c:pt idx="91">
                  <c:v>42.334684433370484</c:v>
                </c:pt>
                <c:pt idx="92">
                  <c:v>44.337923754809289</c:v>
                </c:pt>
                <c:pt idx="93">
                  <c:v>46.435954565370317</c:v>
                </c:pt>
                <c:pt idx="94">
                  <c:v>48.633262313354152</c:v>
                </c:pt>
                <c:pt idx="95">
                  <c:v>50.934544694454502</c:v>
                </c:pt>
                <c:pt idx="96">
                  <c:v>53.344721695114622</c:v>
                </c:pt>
                <c:pt idx="97">
                  <c:v>55.868946111126299</c:v>
                </c:pt>
                <c:pt idx="98">
                  <c:v>58.51261456395958</c:v>
                </c:pt>
                <c:pt idx="99">
                  <c:v>61.281379038375306</c:v>
                </c:pt>
                <c:pt idx="100">
                  <c:v>64.181158965987137</c:v>
                </c:pt>
                <c:pt idx="101">
                  <c:v>67.218153880606934</c:v>
                </c:pt>
                <c:pt idx="102">
                  <c:v>70.398856672429673</c:v>
                </c:pt>
                <c:pt idx="103">
                  <c:v>73.730067469394555</c:v>
                </c:pt>
                <c:pt idx="104">
                  <c:v>77.218908175399747</c:v>
                </c:pt>
                <c:pt idx="105">
                  <c:v>80.872837696452223</c:v>
                </c:pt>
                <c:pt idx="106">
                  <c:v>84.69966788730558</c:v>
                </c:pt>
                <c:pt idx="107">
                  <c:v>88.707580252678312</c:v>
                </c:pt>
                <c:pt idx="108">
                  <c:v>92.90514343875887</c:v>
                </c:pt>
                <c:pt idx="109">
                  <c:v>97.301331552392952</c:v>
                </c:pt>
              </c:numCache>
            </c:numRef>
          </c:xVal>
          <c:yVal>
            <c:numRef>
              <c:f>'Berekening trap 2'!$Q$76:$Q$185</c:f>
              <c:numCache>
                <c:formatCode>0.000</c:formatCode>
                <c:ptCount val="110"/>
                <c:pt idx="0">
                  <c:v>-9.9886237673345597E-7</c:v>
                </c:pt>
                <c:pt idx="1">
                  <c:v>4.2150879948828024</c:v>
                </c:pt>
                <c:pt idx="2">
                  <c:v>10.518699496534786</c:v>
                </c:pt>
                <c:pt idx="3">
                  <c:v>15.493598913483142</c:v>
                </c:pt>
                <c:pt idx="4">
                  <c:v>19.867299629927512</c:v>
                </c:pt>
                <c:pt idx="5">
                  <c:v>23.861197964695414</c:v>
                </c:pt>
                <c:pt idx="6">
                  <c:v>27.581235844021762</c:v>
                </c:pt>
                <c:pt idx="7">
                  <c:v>31.088204402481821</c:v>
                </c:pt>
                <c:pt idx="8">
                  <c:v>34.420721619483743</c:v>
                </c:pt>
                <c:pt idx="9">
                  <c:v>37.604955483501051</c:v>
                </c:pt>
                <c:pt idx="10">
                  <c:v>40.659428626489706</c:v>
                </c:pt>
                <c:pt idx="11">
                  <c:v>43.597657309805619</c:v>
                </c:pt>
                <c:pt idx="12">
                  <c:v>46.429717977341625</c:v>
                </c:pt>
                <c:pt idx="13">
                  <c:v>49.163234756781158</c:v>
                </c:pt>
                <c:pt idx="14">
                  <c:v>51.804032762570529</c:v>
                </c:pt>
                <c:pt idx="15">
                  <c:v>54.356588010376271</c:v>
                </c:pt>
                <c:pt idx="16">
                  <c:v>56.824348074201829</c:v>
                </c:pt>
                <c:pt idx="17">
                  <c:v>59.209967577127507</c:v>
                </c:pt>
                <c:pt idx="18">
                  <c:v>61.515485816192765</c:v>
                </c:pt>
                <c:pt idx="19">
                  <c:v>63.742464007743841</c:v>
                </c:pt>
                <c:pt idx="20">
                  <c:v>65.892093679129076</c:v>
                </c:pt>
                <c:pt idx="21">
                  <c:v>67.965283990399286</c:v>
                </c:pt>
                <c:pt idx="22">
                  <c:v>69.962733350635062</c:v>
                </c:pt>
                <c:pt idx="23">
                  <c:v>71.884989088938653</c:v>
                </c:pt>
                <c:pt idx="24">
                  <c:v>73.732497851044087</c:v>
                </c:pt>
                <c:pt idx="25">
                  <c:v>75.505648638025789</c:v>
                </c:pt>
                <c:pt idx="26">
                  <c:v>77.204809871388107</c:v>
                </c:pt>
                <c:pt idx="27">
                  <c:v>78.830361487508895</c:v>
                </c:pt>
                <c:pt idx="28">
                  <c:v>80.382722787679825</c:v>
                </c:pt>
                <c:pt idx="29">
                  <c:v>81.862376567235245</c:v>
                </c:pt>
                <c:pt idx="30">
                  <c:v>83.269889897937446</c:v>
                </c:pt>
                <c:pt idx="31">
                  <c:v>84.605931827869739</c:v>
                </c:pt>
                <c:pt idx="32">
                  <c:v>85.871288182883234</c:v>
                </c:pt>
                <c:pt idx="33">
                  <c:v>87.06687359634266</c:v>
                </c:pt>
                <c:pt idx="34">
                  <c:v>88.193740854668661</c:v>
                </c:pt>
                <c:pt idx="35">
                  <c:v>89.253087621450987</c:v>
                </c:pt>
                <c:pt idx="36">
                  <c:v>90.246260590082315</c:v>
                </c:pt>
                <c:pt idx="37">
                  <c:v>91.174757111908079</c:v>
                </c:pt>
                <c:pt idx="38">
                  <c:v>92.040224352180061</c:v>
                </c:pt>
                <c:pt idx="39">
                  <c:v>92.84445603825769</c:v>
                </c:pt>
                <c:pt idx="40">
                  <c:v>93.589386882295472</c:v>
                </c:pt>
                <c:pt idx="41">
                  <c:v>94.277084782929023</c:v>
                </c:pt>
                <c:pt idx="42">
                  <c:v>94.90974093609762</c:v>
                </c:pt>
                <c:pt idx="43">
                  <c:v>95.489658012982488</c:v>
                </c:pt>
                <c:pt idx="44">
                  <c:v>96.019236591946111</c:v>
                </c:pt>
                <c:pt idx="45">
                  <c:v>96.500960060148884</c:v>
                </c:pt>
                <c:pt idx="46">
                  <c:v>96.937378228011795</c:v>
                </c:pt>
                <c:pt idx="47">
                  <c:v>97.331089924699413</c:v>
                </c:pt>
                <c:pt idx="48">
                  <c:v>97.684724864171343</c:v>
                </c:pt>
                <c:pt idx="49">
                  <c:v>98.000925088003498</c:v>
                </c:pt>
                <c:pt idx="50">
                  <c:v>98.282326302137747</c:v>
                </c:pt>
                <c:pt idx="51">
                  <c:v>98.531539429144019</c:v>
                </c:pt>
                <c:pt idx="52">
                  <c:v>98.751132694827263</c:v>
                </c:pt>
                <c:pt idx="53">
                  <c:v>98.943614557667445</c:v>
                </c:pt>
                <c:pt idx="54">
                  <c:v>99.111417771482678</c:v>
                </c:pt>
                <c:pt idx="55">
                  <c:v>99.256884845991351</c:v>
                </c:pt>
                <c:pt idx="56">
                  <c:v>99.382255137051729</c:v>
                </c:pt>
                <c:pt idx="57">
                  <c:v>99.489653759023966</c:v>
                </c:pt>
                <c:pt idx="58">
                  <c:v>99.581082466970955</c:v>
                </c:pt>
                <c:pt idx="59">
                  <c:v>99.658412607600766</c:v>
                </c:pt>
                <c:pt idx="60">
                  <c:v>99.703784263844085</c:v>
                </c:pt>
                <c:pt idx="61">
                  <c:v>99.75532441491417</c:v>
                </c:pt>
                <c:pt idx="62">
                  <c:v>99.799184320041164</c:v>
                </c:pt>
                <c:pt idx="63">
                  <c:v>99.836266726082073</c:v>
                </c:pt>
                <c:pt idx="64">
                  <c:v>99.867409193529454</c:v>
                </c:pt>
                <c:pt idx="65">
                  <c:v>99.893382461822483</c:v>
                </c:pt>
                <c:pt idx="66">
                  <c:v>99.914889916254921</c:v>
                </c:pt>
                <c:pt idx="67">
                  <c:v>99.932568085592621</c:v>
                </c:pt>
                <c:pt idx="68">
                  <c:v>99.946988078603482</c:v>
                </c:pt>
                <c:pt idx="69">
                  <c:v>99.958657850450223</c:v>
                </c:pt>
                <c:pt idx="70">
                  <c:v>99.968025176821612</c:v>
                </c:pt>
                <c:pt idx="71">
                  <c:v>99.975481205124311</c:v>
                </c:pt>
                <c:pt idx="72">
                  <c:v>99.981364448154054</c:v>
                </c:pt>
                <c:pt idx="73">
                  <c:v>99.985965086338368</c:v>
                </c:pt>
                <c:pt idx="74">
                  <c:v>99.989529449615446</c:v>
                </c:pt>
                <c:pt idx="75">
                  <c:v>99.992264558818107</c:v>
                </c:pt>
                <c:pt idx="76">
                  <c:v>99.994342618450659</c:v>
                </c:pt>
                <c:pt idx="77">
                  <c:v>99.995905367244305</c:v>
                </c:pt>
                <c:pt idx="78">
                  <c:v>99.997068209043505</c:v>
                </c:pt>
                <c:pt idx="79">
                  <c:v>99.997924063584904</c:v>
                </c:pt>
                <c:pt idx="80">
                  <c:v>99.998546893775085</c:v>
                </c:pt>
                <c:pt idx="81">
                  <c:v>99.998994882419538</c:v>
                </c:pt>
                <c:pt idx="82">
                  <c:v>99.999313246376175</c:v>
                </c:pt>
                <c:pt idx="83">
                  <c:v>99.999536689311299</c:v>
                </c:pt>
                <c:pt idx="84">
                  <c:v>99.999691505280666</c:v>
                </c:pt>
                <c:pt idx="85">
                  <c:v>99.999797354066061</c:v>
                </c:pt>
                <c:pt idx="86">
                  <c:v>99.999868735529702</c:v>
                </c:pt>
                <c:pt idx="87">
                  <c:v>99.999916194309833</c:v>
                </c:pt>
                <c:pt idx="88">
                  <c:v>99.999947288180962</c:v>
                </c:pt>
                <c:pt idx="89">
                  <c:v>99.999967353630495</c:v>
                </c:pt>
                <c:pt idx="90">
                  <c:v>99.99998010100218</c:v>
                </c:pt>
                <c:pt idx="91">
                  <c:v>99.999988069282651</c:v>
                </c:pt>
                <c:pt idx="92">
                  <c:v>99.999992967610794</c:v>
                </c:pt>
                <c:pt idx="93">
                  <c:v>99.999995927188948</c:v>
                </c:pt>
                <c:pt idx="94">
                  <c:v>99.999997683744311</c:v>
                </c:pt>
                <c:pt idx="95">
                  <c:v>99.99999870724271</c:v>
                </c:pt>
                <c:pt idx="96">
                  <c:v>99.999999292356677</c:v>
                </c:pt>
                <c:pt idx="97">
                  <c:v>99.999999620336894</c:v>
                </c:pt>
                <c:pt idx="98">
                  <c:v>99.999999800483323</c:v>
                </c:pt>
                <c:pt idx="99">
                  <c:v>99.999999897373968</c:v>
                </c:pt>
                <c:pt idx="100">
                  <c:v>99.999999948367375</c:v>
                </c:pt>
                <c:pt idx="101">
                  <c:v>99.999999974610205</c:v>
                </c:pt>
                <c:pt idx="102">
                  <c:v>99.999999987806376</c:v>
                </c:pt>
                <c:pt idx="103">
                  <c:v>99.999999994285162</c:v>
                </c:pt>
                <c:pt idx="104">
                  <c:v>99.999999997388315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DC2-4248-AD2E-914E80580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17984"/>
        <c:axId val="206665216"/>
      </c:scatterChart>
      <c:valAx>
        <c:axId val="2066179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98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65216"/>
        <c:crossesAt val="0.1"/>
        <c:crossBetween val="midCat"/>
        <c:majorUnit val="10"/>
        <c:minorUnit val="10"/>
      </c:valAx>
      <c:valAx>
        <c:axId val="2066652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79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7.5580376241516103E-2"/>
          <c:y val="7.2943850288928816E-2"/>
          <c:w val="0.88595465214425284"/>
          <c:h val="6.51881462616557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000"/>
              <a:t>CALCULATED CUMULATIVE</a:t>
            </a:r>
            <a:r>
              <a:rPr lang="nl-NL" sz="1000" baseline="0"/>
              <a:t> </a:t>
            </a:r>
            <a:r>
              <a:rPr lang="nl-NL" sz="1000"/>
              <a:t>PARTICLE SIZE DISTRIBUTIONS</a:t>
            </a:r>
          </a:p>
        </c:rich>
      </c:tx>
      <c:layout>
        <c:manualLayout>
          <c:xMode val="edge"/>
          <c:yMode val="edge"/>
          <c:x val="0.15210728258142581"/>
          <c:y val="5.06868069201101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863548143901398E-2"/>
          <c:y val="0.14493153555396224"/>
          <c:w val="0.86652638677654559"/>
          <c:h val="0.73696746372578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'Berekening trap 2'!$U$73</c:f>
              <c:strCache>
                <c:ptCount val="1"/>
                <c:pt idx="0">
                  <c:v>IN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0.64480515387890014</c:v>
                </c:pt>
                <c:pt idx="1">
                  <c:v>0.67531675580071404</c:v>
                </c:pt>
                <c:pt idx="2">
                  <c:v>0.70727213937693145</c:v>
                </c:pt>
                <c:pt idx="3">
                  <c:v>0.74073962306133068</c:v>
                </c:pt>
                <c:pt idx="4">
                  <c:v>0.77579075807568643</c:v>
                </c:pt>
                <c:pt idx="5">
                  <c:v>0.81250048138145436</c:v>
                </c:pt>
                <c:pt idx="6">
                  <c:v>0.85094727588993779</c:v>
                </c:pt>
                <c:pt idx="7">
                  <c:v>0.89121333825345594</c:v>
                </c:pt>
                <c:pt idx="8">
                  <c:v>0.93338475459624037</c:v>
                </c:pt>
                <c:pt idx="9">
                  <c:v>0.97755168456075958</c:v>
                </c:pt>
                <c:pt idx="10">
                  <c:v>1.0238085540629507</c:v>
                </c:pt>
                <c:pt idx="11">
                  <c:v>1.0722542571684557</c:v>
                </c:pt>
                <c:pt idx="12">
                  <c:v>1.122992367521461</c:v>
                </c:pt>
                <c:pt idx="13">
                  <c:v>1.1761313597781595</c:v>
                </c:pt>
                <c:pt idx="14">
                  <c:v>1.2317848415182457</c:v>
                </c:pt>
                <c:pt idx="15">
                  <c:v>1.2900717961302552</c:v>
                </c:pt>
                <c:pt idx="16">
                  <c:v>1.3511168371900206</c:v>
                </c:pt>
                <c:pt idx="17">
                  <c:v>1.4150504748760875</c:v>
                </c:pt>
                <c:pt idx="18">
                  <c:v>1.4820093949916695</c:v>
                </c:pt>
                <c:pt idx="19">
                  <c:v>1.5521367511896729</c:v>
                </c:pt>
                <c:pt idx="20">
                  <c:v>1.625582471025546</c:v>
                </c:pt>
                <c:pt idx="21">
                  <c:v>1.702503576492276</c:v>
                </c:pt>
                <c:pt idx="22">
                  <c:v>1.7830645197228145</c:v>
                </c:pt>
                <c:pt idx="23">
                  <c:v>1.8674375345776404</c:v>
                </c:pt>
                <c:pt idx="24">
                  <c:v>1.9558030048691317</c:v>
                </c:pt>
                <c:pt idx="25">
                  <c:v>2.0483498500099846</c:v>
                </c:pt>
                <c:pt idx="26">
                  <c:v>2.145275928910169</c:v>
                </c:pt>
                <c:pt idx="27">
                  <c:v>2.2467884629859274</c:v>
                </c:pt>
                <c:pt idx="28">
                  <c:v>2.3531044791851801</c:v>
                </c:pt>
                <c:pt idx="29">
                  <c:v>2.4644512739764939</c:v>
                </c:pt>
                <c:pt idx="30">
                  <c:v>2.5810668992935955</c:v>
                </c:pt>
                <c:pt idx="31">
                  <c:v>2.7032006714743417</c:v>
                </c:pt>
                <c:pt idx="32">
                  <c:v>2.8311137042822265</c:v>
                </c:pt>
                <c:pt idx="33">
                  <c:v>2.9650794671499878</c:v>
                </c:pt>
                <c:pt idx="34">
                  <c:v>3.1053843698388013</c:v>
                </c:pt>
                <c:pt idx="35">
                  <c:v>3.2523283747630227</c:v>
                </c:pt>
                <c:pt idx="36">
                  <c:v>3.4062256382895892</c:v>
                </c:pt>
                <c:pt idx="37">
                  <c:v>3.567405182383133</c:v>
                </c:pt>
                <c:pt idx="38">
                  <c:v>3.7362115980327393</c:v>
                </c:pt>
                <c:pt idx="39">
                  <c:v>3.9130057819642294</c:v>
                </c:pt>
                <c:pt idx="40">
                  <c:v>4.0981657082130063</c:v>
                </c:pt>
                <c:pt idx="41">
                  <c:v>4.2920872362070392</c:v>
                </c:pt>
                <c:pt idx="42">
                  <c:v>4.4951849570876057</c:v>
                </c:pt>
                <c:pt idx="43">
                  <c:v>4.7078930800771781</c:v>
                </c:pt>
                <c:pt idx="44">
                  <c:v>4.9306663607894397</c:v>
                </c:pt>
                <c:pt idx="45">
                  <c:v>5.1639810734661014</c:v>
                </c:pt>
                <c:pt idx="46">
                  <c:v>5.4083360292190914</c:v>
                </c:pt>
                <c:pt idx="47">
                  <c:v>5.6642536424550549</c:v>
                </c:pt>
                <c:pt idx="48">
                  <c:v>5.9322810477621024</c:v>
                </c:pt>
                <c:pt idx="49">
                  <c:v>6.2129912696466381</c:v>
                </c:pt>
                <c:pt idx="50">
                  <c:v>6.5069844476210896</c:v>
                </c:pt>
                <c:pt idx="51">
                  <c:v>6.8148891192616885</c:v>
                </c:pt>
                <c:pt idx="52">
                  <c:v>7.1373635639793944</c:v>
                </c:pt>
                <c:pt idx="53">
                  <c:v>7.4750972103768571</c:v>
                </c:pt>
                <c:pt idx="54">
                  <c:v>7.8288121102002464</c:v>
                </c:pt>
                <c:pt idx="55">
                  <c:v>8.1992644820371616</c:v>
                </c:pt>
                <c:pt idx="56">
                  <c:v>8.5872463280609441</c:v>
                </c:pt>
                <c:pt idx="57">
                  <c:v>8.9935871272778822</c:v>
                </c:pt>
                <c:pt idx="58">
                  <c:v>9.419155608897352</c:v>
                </c:pt>
                <c:pt idx="59">
                  <c:v>9.8648616096162467</c:v>
                </c:pt>
                <c:pt idx="60">
                  <c:v>10.331658018788442</c:v>
                </c:pt>
                <c:pt idx="61">
                  <c:v>10.82054281563793</c:v>
                </c:pt>
                <c:pt idx="62">
                  <c:v>11.332561202871064</c:v>
                </c:pt>
                <c:pt idx="63">
                  <c:v>11.868807841249414</c:v>
                </c:pt>
                <c:pt idx="64">
                  <c:v>12.430429189900602</c:v>
                </c:pt>
                <c:pt idx="65">
                  <c:v>13.018625957370567</c:v>
                </c:pt>
                <c:pt idx="66">
                  <c:v>13.634655668657405</c:v>
                </c:pt>
                <c:pt idx="67">
                  <c:v>14.279835353714962</c:v>
                </c:pt>
                <c:pt idx="68">
                  <c:v>14.955544363174001</c:v>
                </c:pt>
                <c:pt idx="69">
                  <c:v>15.66322731730078</c:v>
                </c:pt>
                <c:pt idx="70">
                  <c:v>16.404397194497694</c:v>
                </c:pt>
                <c:pt idx="71">
                  <c:v>17.18063856594901</c:v>
                </c:pt>
                <c:pt idx="72">
                  <c:v>17.99361098332713</c:v>
                </c:pt>
                <c:pt idx="73">
                  <c:v>18.845052526802082</c:v>
                </c:pt>
                <c:pt idx="74">
                  <c:v>19.73678352093965</c:v>
                </c:pt>
                <c:pt idx="75">
                  <c:v>20.670710426432443</c:v>
                </c:pt>
                <c:pt idx="76">
                  <c:v>21.648829915984233</c:v>
                </c:pt>
                <c:pt idx="77">
                  <c:v>22.673233143061449</c:v>
                </c:pt>
                <c:pt idx="78">
                  <c:v>23.746110212638179</c:v>
                </c:pt>
                <c:pt idx="79">
                  <c:v>24.86975486349283</c:v>
                </c:pt>
                <c:pt idx="80">
                  <c:v>26.046569372066841</c:v>
                </c:pt>
                <c:pt idx="81">
                  <c:v>27.279069688369631</c:v>
                </c:pt>
                <c:pt idx="82">
                  <c:v>28.569890814909932</c:v>
                </c:pt>
                <c:pt idx="83">
                  <c:v>29.921792440153354</c:v>
                </c:pt>
                <c:pt idx="84">
                  <c:v>31.337664838550097</c:v>
                </c:pt>
                <c:pt idx="85">
                  <c:v>32.820535049746702</c:v>
                </c:pt>
                <c:pt idx="86">
                  <c:v>34.373573350192551</c:v>
                </c:pt>
                <c:pt idx="87">
                  <c:v>36.000100030976988</c:v>
                </c:pt>
                <c:pt idx="88">
                  <c:v>37.703592496387621</c:v>
                </c:pt>
                <c:pt idx="89">
                  <c:v>39.487692698366033</c:v>
                </c:pt>
                <c:pt idx="90">
                  <c:v>41.356214922755292</c:v>
                </c:pt>
                <c:pt idx="91">
                  <c:v>43.313153943985682</c:v>
                </c:pt>
                <c:pt idx="92">
                  <c:v>45.362693565632895</c:v>
                </c:pt>
                <c:pt idx="93">
                  <c:v>47.509215565107738</c:v>
                </c:pt>
                <c:pt idx="94">
                  <c:v>49.757309061600566</c:v>
                </c:pt>
                <c:pt idx="95">
                  <c:v>52.111780327308445</c:v>
                </c:pt>
                <c:pt idx="96">
                  <c:v>54.577663062920799</c:v>
                </c:pt>
                <c:pt idx="97">
                  <c:v>57.160229159331799</c:v>
                </c:pt>
                <c:pt idx="98">
                  <c:v>59.864999968587362</c:v>
                </c:pt>
                <c:pt idx="99">
                  <c:v>62.697758108163249</c:v>
                </c:pt>
                <c:pt idx="100">
                  <c:v>65.664559823811032</c:v>
                </c:pt>
                <c:pt idx="101">
                  <c:v>68.771747937402836</c:v>
                </c:pt>
                <c:pt idx="102">
                  <c:v>72.025965407456496</c:v>
                </c:pt>
                <c:pt idx="103">
                  <c:v>75.434169531332628</c:v>
                </c:pt>
                <c:pt idx="104">
                  <c:v>79.00364681946688</c:v>
                </c:pt>
                <c:pt idx="105">
                  <c:v>82.74202857343758</c:v>
                </c:pt>
                <c:pt idx="106">
                  <c:v>86.65730720117358</c:v>
                </c:pt>
                <c:pt idx="107">
                  <c:v>90.757853304183044</c:v>
                </c:pt>
                <c:pt idx="108">
                  <c:v>95.052433573334682</c:v>
                </c:pt>
                <c:pt idx="109">
                  <c:v>99.550229531451237</c:v>
                </c:pt>
                <c:pt idx="110">
                  <c:v>104.26085716278493</c:v>
                </c:pt>
              </c:numCache>
            </c:numRef>
          </c:xVal>
          <c:yVal>
            <c:numRef>
              <c:f>'Berekening trap 2'!$U$76:$U$186</c:f>
              <c:numCache>
                <c:formatCode>0.00E+00</c:formatCode>
                <c:ptCount val="111"/>
                <c:pt idx="0" formatCode="General">
                  <c:v>99.99999999868939</c:v>
                </c:pt>
                <c:pt idx="1">
                  <c:v>99.999999998156355</c:v>
                </c:pt>
                <c:pt idx="2">
                  <c:v>99.999999997406533</c:v>
                </c:pt>
                <c:pt idx="3" formatCode="General">
                  <c:v>99.999999996351747</c:v>
                </c:pt>
                <c:pt idx="4" formatCode="General">
                  <c:v>99.999999994867949</c:v>
                </c:pt>
                <c:pt idx="5" formatCode="General">
                  <c:v>99.999999992780687</c:v>
                </c:pt>
                <c:pt idx="6" formatCode="General">
                  <c:v>99.999999989844511</c:v>
                </c:pt>
                <c:pt idx="7" formatCode="General">
                  <c:v>99.999999985714155</c:v>
                </c:pt>
                <c:pt idx="8" formatCode="General">
                  <c:v>99.999999979903947</c:v>
                </c:pt>
                <c:pt idx="9" formatCode="General">
                  <c:v>99.999999971730645</c:v>
                </c:pt>
                <c:pt idx="10" formatCode="General">
                  <c:v>99.999999960233168</c:v>
                </c:pt>
                <c:pt idx="11" formatCode="General">
                  <c:v>99.999999944059539</c:v>
                </c:pt>
                <c:pt idx="12" formatCode="General">
                  <c:v>99.999999921307904</c:v>
                </c:pt>
                <c:pt idx="13" formatCode="General">
                  <c:v>99.999999889302927</c:v>
                </c:pt>
                <c:pt idx="14" formatCode="General">
                  <c:v>99.999999844281163</c:v>
                </c:pt>
                <c:pt idx="15" formatCode="General">
                  <c:v>99.999999780948514</c:v>
                </c:pt>
                <c:pt idx="16" formatCode="General">
                  <c:v>99.999999691857752</c:v>
                </c:pt>
                <c:pt idx="17" formatCode="General">
                  <c:v>99.999999566532779</c:v>
                </c:pt>
                <c:pt idx="18" formatCode="General">
                  <c:v>99.999999390236681</c:v>
                </c:pt>
                <c:pt idx="19" formatCode="General">
                  <c:v>99.999999142238948</c:v>
                </c:pt>
                <c:pt idx="20" formatCode="General">
                  <c:v>99.999998793377699</c:v>
                </c:pt>
                <c:pt idx="21" formatCode="General">
                  <c:v>99.999998302630601</c:v>
                </c:pt>
                <c:pt idx="22" formatCode="General">
                  <c:v>99.99999761229104</c:v>
                </c:pt>
                <c:pt idx="23" formatCode="General">
                  <c:v>99.999996641182477</c:v>
                </c:pt>
                <c:pt idx="24" formatCode="General">
                  <c:v>99.999995275112951</c:v>
                </c:pt>
                <c:pt idx="25" formatCode="General">
                  <c:v>99.999993353447351</c:v>
                </c:pt>
                <c:pt idx="26" formatCode="General">
                  <c:v>99.999990650218407</c:v>
                </c:pt>
                <c:pt idx="27" formatCode="General">
                  <c:v>99.999986847555419</c:v>
                </c:pt>
                <c:pt idx="28" formatCode="General">
                  <c:v>99.999981498306113</c:v>
                </c:pt>
                <c:pt idx="29" formatCode="General">
                  <c:v>99.999973973456335</c:v>
                </c:pt>
                <c:pt idx="30" formatCode="General">
                  <c:v>99.999963388164957</c:v>
                </c:pt>
                <c:pt idx="31" formatCode="General">
                  <c:v>99.999948497716261</c:v>
                </c:pt>
                <c:pt idx="32" formatCode="General">
                  <c:v>99.999927551155352</c:v>
                </c:pt>
                <c:pt idx="33" formatCode="General">
                  <c:v>99.999898085395714</c:v>
                </c:pt>
                <c:pt idx="34" formatCode="General">
                  <c:v>99.999856635588927</c:v>
                </c:pt>
                <c:pt idx="35" formatCode="General">
                  <c:v>99.999798327700191</c:v>
                </c:pt>
                <c:pt idx="36" formatCode="General">
                  <c:v>99.999716305382989</c:v>
                </c:pt>
                <c:pt idx="37" formatCode="General">
                  <c:v>99.999600923764035</c:v>
                </c:pt>
                <c:pt idx="38" formatCode="General">
                  <c:v>99.999438615344729</c:v>
                </c:pt>
                <c:pt idx="39" formatCode="General">
                  <c:v>99.999210294678477</c:v>
                </c:pt>
                <c:pt idx="40" formatCode="General">
                  <c:v>99.998889114264756</c:v>
                </c:pt>
                <c:pt idx="41" formatCode="General">
                  <c:v>99.998437307844142</c:v>
                </c:pt>
                <c:pt idx="42" formatCode="General">
                  <c:v>99.997801750031854</c:v>
                </c:pt>
                <c:pt idx="43" formatCode="General">
                  <c:v>99.996907710412572</c:v>
                </c:pt>
                <c:pt idx="44" formatCode="General">
                  <c:v>99.9956500681634</c:v>
                </c:pt>
                <c:pt idx="45" formatCode="General">
                  <c:v>99.993880955164926</c:v>
                </c:pt>
                <c:pt idx="46" formatCode="General">
                  <c:v>99.991392376593339</c:v>
                </c:pt>
                <c:pt idx="47" formatCode="General">
                  <c:v>99.987891769378578</c:v>
                </c:pt>
                <c:pt idx="48" formatCode="General">
                  <c:v>99.982967632415168</c:v>
                </c:pt>
                <c:pt idx="49" formatCode="General">
                  <c:v>99.976041202734351</c:v>
                </c:pt>
                <c:pt idx="50" formatCode="General">
                  <c:v>99.966298526389508</c:v>
                </c:pt>
                <c:pt idx="51" formatCode="General">
                  <c:v>99.952594997872325</c:v>
                </c:pt>
                <c:pt idx="52" formatCode="General">
                  <c:v>99.93332126466558</c:v>
                </c:pt>
                <c:pt idx="53" formatCode="General">
                  <c:v>99.906214969506777</c:v>
                </c:pt>
                <c:pt idx="54" formatCode="General">
                  <c:v>99.86809666925879</c:v>
                </c:pt>
                <c:pt idx="55" formatCode="General">
                  <c:v>99.814499817960481</c:v>
                </c:pt>
                <c:pt idx="56" formatCode="General">
                  <c:v>99.739153162090375</c:v>
                </c:pt>
                <c:pt idx="57" formatCode="General">
                  <c:v>99.633258350627784</c:v>
                </c:pt>
                <c:pt idx="58" formatCode="General">
                  <c:v>99.484485045444799</c:v>
                </c:pt>
                <c:pt idx="59" formatCode="General">
                  <c:v>99.275579603582159</c:v>
                </c:pt>
                <c:pt idx="60" formatCode="General">
                  <c:v>98.982451695611175</c:v>
                </c:pt>
                <c:pt idx="61" formatCode="General">
                  <c:v>98.571568652031715</c:v>
                </c:pt>
                <c:pt idx="62" formatCode="General">
                  <c:v>97.996458005911023</c:v>
                </c:pt>
                <c:pt idx="63" formatCode="General">
                  <c:v>97.193114180004542</c:v>
                </c:pt>
                <c:pt idx="64" formatCode="General">
                  <c:v>96.074167559585163</c:v>
                </c:pt>
                <c:pt idx="65" formatCode="General">
                  <c:v>94.52188678841361</c:v>
                </c:pt>
                <c:pt idx="66" formatCode="General">
                  <c:v>92.380602488140809</c:v>
                </c:pt>
                <c:pt idx="67" formatCode="General">
                  <c:v>89.450224581129675</c:v>
                </c:pt>
                <c:pt idx="68" formatCode="General">
                  <c:v>85.484562435400434</c:v>
                </c:pt>
                <c:pt idx="69" formatCode="General">
                  <c:v>82.434086302051028</c:v>
                </c:pt>
                <c:pt idx="70" formatCode="General">
                  <c:v>78.996357624831973</c:v>
                </c:pt>
                <c:pt idx="71" formatCode="General">
                  <c:v>74.994113343976437</c:v>
                </c:pt>
                <c:pt idx="72" formatCode="General">
                  <c:v>70.382857559776269</c:v>
                </c:pt>
                <c:pt idx="73" formatCode="General">
                  <c:v>65.136900295153566</c:v>
                </c:pt>
                <c:pt idx="74" formatCode="General">
                  <c:v>59.260539959440912</c:v>
                </c:pt>
                <c:pt idx="75" formatCode="General">
                  <c:v>54.242355080351992</c:v>
                </c:pt>
                <c:pt idx="76" formatCode="General">
                  <c:v>49.515084015822175</c:v>
                </c:pt>
                <c:pt idx="77" formatCode="General">
                  <c:v>44.589098656523383</c:v>
                </c:pt>
                <c:pt idx="78" formatCode="General">
                  <c:v>39.530143897334682</c:v>
                </c:pt>
                <c:pt idx="79" formatCode="General">
                  <c:v>34.420681013854903</c:v>
                </c:pt>
                <c:pt idx="80" formatCode="General">
                  <c:v>29.358248848448614</c:v>
                </c:pt>
                <c:pt idx="81" formatCode="General">
                  <c:v>24.45170099673847</c:v>
                </c:pt>
                <c:pt idx="82" formatCode="General">
                  <c:v>19.815030308371718</c:v>
                </c:pt>
                <c:pt idx="83" formatCode="General">
                  <c:v>15.558842126580718</c:v>
                </c:pt>
                <c:pt idx="84" formatCode="General">
                  <c:v>14.43662002851082</c:v>
                </c:pt>
                <c:pt idx="85" formatCode="General">
                  <c:v>13.51594246302041</c:v>
                </c:pt>
                <c:pt idx="86" formatCode="General">
                  <c:v>12.625370781654262</c:v>
                </c:pt>
                <c:pt idx="87" formatCode="General">
                  <c:v>11.765865616237139</c:v>
                </c:pt>
                <c:pt idx="88" formatCode="General">
                  <c:v>10.938279708852686</c:v>
                </c:pt>
                <c:pt idx="89" formatCode="General">
                  <c:v>10.143350902348907</c:v>
                </c:pt>
                <c:pt idx="90" formatCode="General">
                  <c:v>9.3841117410447108</c:v>
                </c:pt>
                <c:pt idx="91" formatCode="General">
                  <c:v>8.6593079357192124</c:v>
                </c:pt>
                <c:pt idx="92" formatCode="General">
                  <c:v>7.9683181212409888</c:v>
                </c:pt>
                <c:pt idx="93" formatCode="General">
                  <c:v>7.3113644778361344</c:v>
                </c:pt>
                <c:pt idx="94" formatCode="General">
                  <c:v>6.6885343866769098</c:v>
                </c:pt>
                <c:pt idx="95" formatCode="General">
                  <c:v>6.0750112041481232</c:v>
                </c:pt>
                <c:pt idx="96" formatCode="General">
                  <c:v>5.4956392595522745</c:v>
                </c:pt>
                <c:pt idx="97" formatCode="General">
                  <c:v>4.953130697481372</c:v>
                </c:pt>
                <c:pt idx="98" formatCode="General">
                  <c:v>4.4469473618908655</c:v>
                </c:pt>
                <c:pt idx="99" formatCode="General">
                  <c:v>3.9455668772391674</c:v>
                </c:pt>
                <c:pt idx="100" formatCode="General">
                  <c:v>3.4823691506966519</c:v>
                </c:pt>
                <c:pt idx="101" formatCode="General">
                  <c:v>3.0578384685659148</c:v>
                </c:pt>
                <c:pt idx="102" formatCode="General">
                  <c:v>2.6705845854014787</c:v>
                </c:pt>
                <c:pt idx="103" formatCode="General">
                  <c:v>2.3190659366880193</c:v>
                </c:pt>
                <c:pt idx="104" formatCode="General">
                  <c:v>2.0016083284678223</c:v>
                </c:pt>
                <c:pt idx="105" formatCode="General">
                  <c:v>2.0016083284678223</c:v>
                </c:pt>
                <c:pt idx="106" formatCode="General">
                  <c:v>2.0016083284678223</c:v>
                </c:pt>
                <c:pt idx="107" formatCode="General">
                  <c:v>2.0016083284678223</c:v>
                </c:pt>
                <c:pt idx="108" formatCode="General">
                  <c:v>2.0016083284678223</c:v>
                </c:pt>
                <c:pt idx="109" formatCode="General">
                  <c:v>2.0016083284678223</c:v>
                </c:pt>
                <c:pt idx="110" formatCode="General">
                  <c:v>1.2434497875801753E-14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BA-45C3-B70E-400EEA37C11E}"/>
            </c:ext>
          </c:extLst>
        </c:ser>
        <c:ser>
          <c:idx val="2"/>
          <c:order val="1"/>
          <c:tx>
            <c:strRef>
              <c:f>'Berekening trap 2'!$W$73</c:f>
              <c:strCache>
                <c:ptCount val="1"/>
                <c:pt idx="0">
                  <c:v>LOSS 1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0.64480515387890014</c:v>
                </c:pt>
                <c:pt idx="1">
                  <c:v>0.67531675580071404</c:v>
                </c:pt>
                <c:pt idx="2">
                  <c:v>0.70727213937693145</c:v>
                </c:pt>
                <c:pt idx="3">
                  <c:v>0.74073962306133068</c:v>
                </c:pt>
                <c:pt idx="4">
                  <c:v>0.77579075807568643</c:v>
                </c:pt>
                <c:pt idx="5">
                  <c:v>0.81250048138145436</c:v>
                </c:pt>
                <c:pt idx="6">
                  <c:v>0.85094727588993779</c:v>
                </c:pt>
                <c:pt idx="7">
                  <c:v>0.89121333825345594</c:v>
                </c:pt>
                <c:pt idx="8">
                  <c:v>0.93338475459624037</c:v>
                </c:pt>
                <c:pt idx="9">
                  <c:v>0.97755168456075958</c:v>
                </c:pt>
                <c:pt idx="10">
                  <c:v>1.0238085540629507</c:v>
                </c:pt>
                <c:pt idx="11">
                  <c:v>1.0722542571684557</c:v>
                </c:pt>
                <c:pt idx="12">
                  <c:v>1.122992367521461</c:v>
                </c:pt>
                <c:pt idx="13">
                  <c:v>1.1761313597781595</c:v>
                </c:pt>
                <c:pt idx="14">
                  <c:v>1.2317848415182457</c:v>
                </c:pt>
                <c:pt idx="15">
                  <c:v>1.2900717961302552</c:v>
                </c:pt>
                <c:pt idx="16">
                  <c:v>1.3511168371900206</c:v>
                </c:pt>
                <c:pt idx="17">
                  <c:v>1.4150504748760875</c:v>
                </c:pt>
                <c:pt idx="18">
                  <c:v>1.4820093949916695</c:v>
                </c:pt>
                <c:pt idx="19">
                  <c:v>1.5521367511896729</c:v>
                </c:pt>
                <c:pt idx="20">
                  <c:v>1.625582471025546</c:v>
                </c:pt>
                <c:pt idx="21">
                  <c:v>1.702503576492276</c:v>
                </c:pt>
                <c:pt idx="22">
                  <c:v>1.7830645197228145</c:v>
                </c:pt>
                <c:pt idx="23">
                  <c:v>1.8674375345776404</c:v>
                </c:pt>
                <c:pt idx="24">
                  <c:v>1.9558030048691317</c:v>
                </c:pt>
                <c:pt idx="25">
                  <c:v>2.0483498500099846</c:v>
                </c:pt>
                <c:pt idx="26">
                  <c:v>2.145275928910169</c:v>
                </c:pt>
                <c:pt idx="27">
                  <c:v>2.2467884629859274</c:v>
                </c:pt>
                <c:pt idx="28">
                  <c:v>2.3531044791851801</c:v>
                </c:pt>
                <c:pt idx="29">
                  <c:v>2.4644512739764939</c:v>
                </c:pt>
                <c:pt idx="30">
                  <c:v>2.5810668992935955</c:v>
                </c:pt>
                <c:pt idx="31">
                  <c:v>2.7032006714743417</c:v>
                </c:pt>
                <c:pt idx="32">
                  <c:v>2.8311137042822265</c:v>
                </c:pt>
                <c:pt idx="33">
                  <c:v>2.9650794671499878</c:v>
                </c:pt>
                <c:pt idx="34">
                  <c:v>3.1053843698388013</c:v>
                </c:pt>
                <c:pt idx="35">
                  <c:v>3.2523283747630227</c:v>
                </c:pt>
                <c:pt idx="36">
                  <c:v>3.4062256382895892</c:v>
                </c:pt>
                <c:pt idx="37">
                  <c:v>3.567405182383133</c:v>
                </c:pt>
                <c:pt idx="38">
                  <c:v>3.7362115980327393</c:v>
                </c:pt>
                <c:pt idx="39">
                  <c:v>3.9130057819642294</c:v>
                </c:pt>
                <c:pt idx="40">
                  <c:v>4.0981657082130063</c:v>
                </c:pt>
                <c:pt idx="41">
                  <c:v>4.2920872362070392</c:v>
                </c:pt>
                <c:pt idx="42">
                  <c:v>4.4951849570876057</c:v>
                </c:pt>
                <c:pt idx="43">
                  <c:v>4.7078930800771781</c:v>
                </c:pt>
                <c:pt idx="44">
                  <c:v>4.9306663607894397</c:v>
                </c:pt>
                <c:pt idx="45">
                  <c:v>5.1639810734661014</c:v>
                </c:pt>
                <c:pt idx="46">
                  <c:v>5.4083360292190914</c:v>
                </c:pt>
                <c:pt idx="47">
                  <c:v>5.6642536424550549</c:v>
                </c:pt>
                <c:pt idx="48">
                  <c:v>5.9322810477621024</c:v>
                </c:pt>
                <c:pt idx="49">
                  <c:v>6.2129912696466381</c:v>
                </c:pt>
                <c:pt idx="50">
                  <c:v>6.5069844476210896</c:v>
                </c:pt>
                <c:pt idx="51">
                  <c:v>6.8148891192616885</c:v>
                </c:pt>
                <c:pt idx="52">
                  <c:v>7.1373635639793944</c:v>
                </c:pt>
                <c:pt idx="53">
                  <c:v>7.4750972103768571</c:v>
                </c:pt>
                <c:pt idx="54">
                  <c:v>7.8288121102002464</c:v>
                </c:pt>
                <c:pt idx="55">
                  <c:v>8.1992644820371616</c:v>
                </c:pt>
                <c:pt idx="56">
                  <c:v>8.5872463280609441</c:v>
                </c:pt>
                <c:pt idx="57">
                  <c:v>8.9935871272778822</c:v>
                </c:pt>
                <c:pt idx="58">
                  <c:v>9.419155608897352</c:v>
                </c:pt>
                <c:pt idx="59">
                  <c:v>9.8648616096162467</c:v>
                </c:pt>
                <c:pt idx="60">
                  <c:v>10.331658018788442</c:v>
                </c:pt>
                <c:pt idx="61">
                  <c:v>10.82054281563793</c:v>
                </c:pt>
                <c:pt idx="62">
                  <c:v>11.332561202871064</c:v>
                </c:pt>
                <c:pt idx="63">
                  <c:v>11.868807841249414</c:v>
                </c:pt>
                <c:pt idx="64">
                  <c:v>12.430429189900602</c:v>
                </c:pt>
                <c:pt idx="65">
                  <c:v>13.018625957370567</c:v>
                </c:pt>
                <c:pt idx="66">
                  <c:v>13.634655668657405</c:v>
                </c:pt>
                <c:pt idx="67">
                  <c:v>14.279835353714962</c:v>
                </c:pt>
                <c:pt idx="68">
                  <c:v>14.955544363174001</c:v>
                </c:pt>
                <c:pt idx="69">
                  <c:v>15.66322731730078</c:v>
                </c:pt>
                <c:pt idx="70">
                  <c:v>16.404397194497694</c:v>
                </c:pt>
                <c:pt idx="71">
                  <c:v>17.18063856594901</c:v>
                </c:pt>
                <c:pt idx="72">
                  <c:v>17.99361098332713</c:v>
                </c:pt>
                <c:pt idx="73">
                  <c:v>18.845052526802082</c:v>
                </c:pt>
                <c:pt idx="74">
                  <c:v>19.73678352093965</c:v>
                </c:pt>
                <c:pt idx="75">
                  <c:v>20.670710426432443</c:v>
                </c:pt>
                <c:pt idx="76">
                  <c:v>21.648829915984233</c:v>
                </c:pt>
                <c:pt idx="77">
                  <c:v>22.673233143061449</c:v>
                </c:pt>
                <c:pt idx="78">
                  <c:v>23.746110212638179</c:v>
                </c:pt>
                <c:pt idx="79">
                  <c:v>24.86975486349283</c:v>
                </c:pt>
                <c:pt idx="80">
                  <c:v>26.046569372066841</c:v>
                </c:pt>
                <c:pt idx="81">
                  <c:v>27.279069688369631</c:v>
                </c:pt>
                <c:pt idx="82">
                  <c:v>28.569890814909932</c:v>
                </c:pt>
                <c:pt idx="83">
                  <c:v>29.921792440153354</c:v>
                </c:pt>
                <c:pt idx="84">
                  <c:v>31.337664838550097</c:v>
                </c:pt>
                <c:pt idx="85">
                  <c:v>32.820535049746702</c:v>
                </c:pt>
                <c:pt idx="86">
                  <c:v>34.373573350192551</c:v>
                </c:pt>
                <c:pt idx="87">
                  <c:v>36.000100030976988</c:v>
                </c:pt>
                <c:pt idx="88">
                  <c:v>37.703592496387621</c:v>
                </c:pt>
                <c:pt idx="89">
                  <c:v>39.487692698366033</c:v>
                </c:pt>
                <c:pt idx="90">
                  <c:v>41.356214922755292</c:v>
                </c:pt>
                <c:pt idx="91">
                  <c:v>43.313153943985682</c:v>
                </c:pt>
                <c:pt idx="92">
                  <c:v>45.362693565632895</c:v>
                </c:pt>
                <c:pt idx="93">
                  <c:v>47.509215565107738</c:v>
                </c:pt>
                <c:pt idx="94">
                  <c:v>49.757309061600566</c:v>
                </c:pt>
                <c:pt idx="95">
                  <c:v>52.111780327308445</c:v>
                </c:pt>
                <c:pt idx="96">
                  <c:v>54.577663062920799</c:v>
                </c:pt>
                <c:pt idx="97">
                  <c:v>57.160229159331799</c:v>
                </c:pt>
                <c:pt idx="98">
                  <c:v>59.864999968587362</c:v>
                </c:pt>
                <c:pt idx="99">
                  <c:v>62.697758108163249</c:v>
                </c:pt>
                <c:pt idx="100">
                  <c:v>65.664559823811032</c:v>
                </c:pt>
                <c:pt idx="101">
                  <c:v>68.771747937402836</c:v>
                </c:pt>
                <c:pt idx="102">
                  <c:v>72.025965407456496</c:v>
                </c:pt>
                <c:pt idx="103">
                  <c:v>75.434169531332628</c:v>
                </c:pt>
                <c:pt idx="104">
                  <c:v>79.00364681946688</c:v>
                </c:pt>
                <c:pt idx="105">
                  <c:v>82.74202857343758</c:v>
                </c:pt>
                <c:pt idx="106">
                  <c:v>86.65730720117358</c:v>
                </c:pt>
                <c:pt idx="107">
                  <c:v>90.757853304183044</c:v>
                </c:pt>
                <c:pt idx="108">
                  <c:v>95.052433573334682</c:v>
                </c:pt>
                <c:pt idx="109">
                  <c:v>99.550229531451237</c:v>
                </c:pt>
                <c:pt idx="110">
                  <c:v>104.26085716278493</c:v>
                </c:pt>
              </c:numCache>
            </c:numRef>
          </c:xVal>
          <c:yVal>
            <c:numRef>
              <c:f>'Berekening trap 2'!$W$76:$W$186</c:f>
              <c:numCache>
                <c:formatCode>0.00E+00</c:formatCode>
                <c:ptCount val="111"/>
                <c:pt idx="0" formatCode="General">
                  <c:v>99.999999837208065</c:v>
                </c:pt>
                <c:pt idx="1">
                  <c:v>99.999999772250774</c:v>
                </c:pt>
                <c:pt idx="2" formatCode="General">
                  <c:v>99.999999684241672</c:v>
                </c:pt>
                <c:pt idx="3" formatCode="General">
                  <c:v>99.999999564214946</c:v>
                </c:pt>
                <c:pt idx="4">
                  <c:v>99.999999400140695</c:v>
                </c:pt>
                <c:pt idx="5" formatCode="General">
                  <c:v>99.999999175598234</c:v>
                </c:pt>
                <c:pt idx="6" formatCode="General">
                  <c:v>99.999998868119846</c:v>
                </c:pt>
                <c:pt idx="7" formatCode="General">
                  <c:v>99.99999844696103</c:v>
                </c:pt>
                <c:pt idx="8" formatCode="General">
                  <c:v>99.999997870060042</c:v>
                </c:pt>
                <c:pt idx="9" formatCode="General">
                  <c:v>99.999997079901874</c:v>
                </c:pt>
                <c:pt idx="10" formatCode="General">
                  <c:v>99.999995997887353</c:v>
                </c:pt>
                <c:pt idx="11" formatCode="General">
                  <c:v>99.999994516674747</c:v>
                </c:pt>
                <c:pt idx="12" formatCode="General">
                  <c:v>99.999992489765148</c:v>
                </c:pt>
                <c:pt idx="13" formatCode="General">
                  <c:v>99.999989717381695</c:v>
                </c:pt>
                <c:pt idx="14" formatCode="General">
                  <c:v>99.999985927299335</c:v>
                </c:pt>
                <c:pt idx="15" formatCode="General">
                  <c:v>99.999980748888831</c:v>
                </c:pt>
                <c:pt idx="16" formatCode="General">
                  <c:v>99.99997367799412</c:v>
                </c:pt>
                <c:pt idx="17" formatCode="General">
                  <c:v>99.999964029459846</c:v>
                </c:pt>
                <c:pt idx="18" formatCode="General">
                  <c:v>99.999950873053464</c:v>
                </c:pt>
                <c:pt idx="19" formatCode="General">
                  <c:v>99.999932947092361</c:v>
                </c:pt>
                <c:pt idx="20" formatCode="General">
                  <c:v>99.999908542157883</c:v>
                </c:pt>
                <c:pt idx="21" formatCode="General">
                  <c:v>99.999875344776996</c:v>
                </c:pt>
                <c:pt idx="22" formatCode="General">
                  <c:v>99.999830227588959</c:v>
                </c:pt>
                <c:pt idx="23" formatCode="General">
                  <c:v>99.999768968113969</c:v>
                </c:pt>
                <c:pt idx="24" formatCode="General">
                  <c:v>99.999685872434839</c:v>
                </c:pt>
                <c:pt idx="25" formatCode="General">
                  <c:v>99.999573272476255</c:v>
                </c:pt>
                <c:pt idx="26" formatCode="General">
                  <c:v>99.999420855598473</c:v>
                </c:pt>
                <c:pt idx="27" formatCode="General">
                  <c:v>99.999214772194733</c:v>
                </c:pt>
                <c:pt idx="28" formatCode="General">
                  <c:v>99.998936450016018</c:v>
                </c:pt>
                <c:pt idx="29" formatCode="General">
                  <c:v>99.998561021959915</c:v>
                </c:pt>
                <c:pt idx="30" formatCode="General">
                  <c:v>99.998055245584013</c:v>
                </c:pt>
                <c:pt idx="31" formatCode="General">
                  <c:v>99.997374755917875</c:v>
                </c:pt>
                <c:pt idx="32" formatCode="General">
                  <c:v>99.996460446035712</c:v>
                </c:pt>
                <c:pt idx="33" formatCode="General">
                  <c:v>99.995233709552963</c:v>
                </c:pt>
                <c:pt idx="34" formatCode="General">
                  <c:v>99.993590202408598</c:v>
                </c:pt>
                <c:pt idx="35" formatCode="General">
                  <c:v>99.991391683849628</c:v>
                </c:pt>
                <c:pt idx="36" formatCode="General">
                  <c:v>99.988455373489529</c:v>
                </c:pt>
                <c:pt idx="37" formatCode="General">
                  <c:v>99.984540106733135</c:v>
                </c:pt>
                <c:pt idx="38" formatCode="General">
                  <c:v>99.979328377661815</c:v>
                </c:pt>
                <c:pt idx="39" formatCode="General">
                  <c:v>99.972403118445499</c:v>
                </c:pt>
                <c:pt idx="40" formatCode="General">
                  <c:v>99.963217767963599</c:v>
                </c:pt>
                <c:pt idx="41" formatCode="General">
                  <c:v>99.951057818880088</c:v>
                </c:pt>
                <c:pt idx="42" formatCode="General">
                  <c:v>99.934991590072372</c:v>
                </c:pt>
                <c:pt idx="43" formatCode="General">
                  <c:v>99.913807437506051</c:v>
                </c:pt>
                <c:pt idx="44" formatCode="General">
                  <c:v>99.885933978472877</c:v>
                </c:pt>
                <c:pt idx="45" formatCode="General">
                  <c:v>99.849339149561047</c:v>
                </c:pt>
                <c:pt idx="46" formatCode="General">
                  <c:v>99.801403037905899</c:v>
                </c:pt>
                <c:pt idx="47" formatCode="General">
                  <c:v>99.738758412968224</c:v>
                </c:pt>
                <c:pt idx="48" formatCode="General">
                  <c:v>99.657091745270975</c:v>
                </c:pt>
                <c:pt idx="49" formatCode="General">
                  <c:v>99.550896245685323</c:v>
                </c:pt>
                <c:pt idx="50" formatCode="General">
                  <c:v>99.413167132433031</c:v>
                </c:pt>
                <c:pt idx="51" formatCode="General">
                  <c:v>99.235028005791378</c:v>
                </c:pt>
                <c:pt idx="52" formatCode="General">
                  <c:v>99.005276009494821</c:v>
                </c:pt>
                <c:pt idx="53" formatCode="General">
                  <c:v>98.709832594685139</c:v>
                </c:pt>
                <c:pt idx="54" formatCode="General">
                  <c:v>98.331086521891763</c:v>
                </c:pt>
                <c:pt idx="55" formatCode="General">
                  <c:v>97.847116794410766</c:v>
                </c:pt>
                <c:pt idx="56" formatCode="General">
                  <c:v>97.230786401968061</c:v>
                </c:pt>
                <c:pt idx="57" formatCode="General">
                  <c:v>96.448704486328737</c:v>
                </c:pt>
                <c:pt idx="58" formatCode="General">
                  <c:v>95.460067079670381</c:v>
                </c:pt>
                <c:pt idx="59" formatCode="General">
                  <c:v>94.215408488769967</c:v>
                </c:pt>
                <c:pt idx="60" formatCode="General">
                  <c:v>92.599099922463964</c:v>
                </c:pt>
                <c:pt idx="61" formatCode="General">
                  <c:v>90.553723321257493</c:v>
                </c:pt>
                <c:pt idx="62" formatCode="General">
                  <c:v>87.977938564591156</c:v>
                </c:pt>
                <c:pt idx="63" formatCode="General">
                  <c:v>84.752204440185807</c:v>
                </c:pt>
                <c:pt idx="64" formatCode="General">
                  <c:v>80.738731466948806</c:v>
                </c:pt>
                <c:pt idx="65" formatCode="General">
                  <c:v>75.783916842221274</c:v>
                </c:pt>
                <c:pt idx="66" formatCode="General">
                  <c:v>69.725131834853698</c:v>
                </c:pt>
                <c:pt idx="67" formatCode="General">
                  <c:v>62.404633477368471</c:v>
                </c:pt>
                <c:pt idx="68" formatCode="General">
                  <c:v>53.694351606208109</c:v>
                </c:pt>
                <c:pt idx="69" formatCode="General">
                  <c:v>47.8286860522119</c:v>
                </c:pt>
                <c:pt idx="70" formatCode="General">
                  <c:v>42.067311201707582</c:v>
                </c:pt>
                <c:pt idx="71" formatCode="General">
                  <c:v>36.248012453681397</c:v>
                </c:pt>
                <c:pt idx="72" formatCode="General">
                  <c:v>30.458522886712462</c:v>
                </c:pt>
                <c:pt idx="73" formatCode="General">
                  <c:v>24.79909006130092</c:v>
                </c:pt>
                <c:pt idx="74" formatCode="General">
                  <c:v>19.379254391892999</c:v>
                </c:pt>
                <c:pt idx="75" formatCode="General">
                  <c:v>15.442998438240341</c:v>
                </c:pt>
                <c:pt idx="76" formatCode="General">
                  <c:v>12.306391134867068</c:v>
                </c:pt>
                <c:pt idx="77" formatCode="General">
                  <c:v>9.5570300424056498</c:v>
                </c:pt>
                <c:pt idx="78" formatCode="General">
                  <c:v>7.195551545403867</c:v>
                </c:pt>
                <c:pt idx="79" formatCode="General">
                  <c:v>5.2126768308715157</c:v>
                </c:pt>
                <c:pt idx="80" formatCode="General">
                  <c:v>3.589363432292477</c:v>
                </c:pt>
                <c:pt idx="81" formatCode="General">
                  <c:v>2.2976095364651021</c:v>
                </c:pt>
                <c:pt idx="82" formatCode="General">
                  <c:v>1.3019376899594435</c:v>
                </c:pt>
                <c:pt idx="83" formatCode="General">
                  <c:v>0.56150118912760827</c:v>
                </c:pt>
                <c:pt idx="84" formatCode="General">
                  <c:v>0.40444479923545118</c:v>
                </c:pt>
                <c:pt idx="85" formatCode="General">
                  <c:v>0.30153762648784954</c:v>
                </c:pt>
                <c:pt idx="86" formatCode="General">
                  <c:v>0.2226307035014119</c:v>
                </c:pt>
                <c:pt idx="87" formatCode="General">
                  <c:v>0.16272866800947186</c:v>
                </c:pt>
                <c:pt idx="88" formatCode="General">
                  <c:v>0.11772167132699608</c:v>
                </c:pt>
                <c:pt idx="89" formatCode="General">
                  <c:v>8.4265164635709822E-2</c:v>
                </c:pt>
                <c:pt idx="90" formatCode="General">
                  <c:v>5.974583234258405E-2</c:v>
                </c:pt>
                <c:pt idx="91" formatCode="General">
                  <c:v>4.1942667911768962E-2</c:v>
                </c:pt>
                <c:pt idx="92" formatCode="General">
                  <c:v>2.9150717989867944E-2</c:v>
                </c:pt>
                <c:pt idx="93" formatCode="General">
                  <c:v>2.0070458168160867E-2</c:v>
                </c:pt>
                <c:pt idx="94" formatCode="General">
                  <c:v>1.3705351376491644E-2</c:v>
                </c:pt>
                <c:pt idx="95" formatCode="General">
                  <c:v>9.1157679722775088E-3</c:v>
                </c:pt>
                <c:pt idx="96" formatCode="General">
                  <c:v>5.9760228690998556E-3</c:v>
                </c:pt>
                <c:pt idx="97" formatCode="General">
                  <c:v>3.8689641541287878E-3</c:v>
                </c:pt>
                <c:pt idx="98" formatCode="General">
                  <c:v>2.4755042333866649E-3</c:v>
                </c:pt>
                <c:pt idx="99" formatCode="General">
                  <c:v>1.5083538421396547E-3</c:v>
                </c:pt>
                <c:pt idx="100" formatCode="General">
                  <c:v>8.8963856679003396E-4</c:v>
                </c:pt>
                <c:pt idx="101" formatCode="General">
                  <c:v>5.017399302025985E-4</c:v>
                </c:pt>
                <c:pt idx="102" formatCode="General">
                  <c:v>2.6273879564892911E-4</c:v>
                </c:pt>
                <c:pt idx="103" formatCode="General">
                  <c:v>1.1810316554953097E-4</c:v>
                </c:pt>
                <c:pt idx="104" formatCode="General">
                  <c:v>3.2187071079594937E-5</c:v>
                </c:pt>
                <c:pt idx="105" formatCode="General">
                  <c:v>3.2187071079594937E-5</c:v>
                </c:pt>
                <c:pt idx="106" formatCode="General">
                  <c:v>3.2187071079594937E-5</c:v>
                </c:pt>
                <c:pt idx="107" formatCode="General">
                  <c:v>3.2187071079594937E-5</c:v>
                </c:pt>
                <c:pt idx="108" formatCode="General">
                  <c:v>3.2187071079594937E-5</c:v>
                </c:pt>
                <c:pt idx="109" formatCode="General">
                  <c:v>3.2187071079594937E-5</c:v>
                </c:pt>
                <c:pt idx="110" formatCode="General">
                  <c:v>5.4410211687734578E-15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BA-45C3-B70E-400EEA37C11E}"/>
            </c:ext>
          </c:extLst>
        </c:ser>
        <c:ser>
          <c:idx val="1"/>
          <c:order val="2"/>
          <c:tx>
            <c:strRef>
              <c:f>'Berekening trap 2'!$Z$73</c:f>
              <c:strCache>
                <c:ptCount val="1"/>
                <c:pt idx="0">
                  <c:v>LOSS 2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0.64480515387890014</c:v>
                </c:pt>
                <c:pt idx="1">
                  <c:v>0.67531675580071404</c:v>
                </c:pt>
                <c:pt idx="2">
                  <c:v>0.70727213937693145</c:v>
                </c:pt>
                <c:pt idx="3">
                  <c:v>0.74073962306133068</c:v>
                </c:pt>
                <c:pt idx="4">
                  <c:v>0.77579075807568643</c:v>
                </c:pt>
                <c:pt idx="5">
                  <c:v>0.81250048138145436</c:v>
                </c:pt>
                <c:pt idx="6">
                  <c:v>0.85094727588993779</c:v>
                </c:pt>
                <c:pt idx="7">
                  <c:v>0.89121333825345594</c:v>
                </c:pt>
                <c:pt idx="8">
                  <c:v>0.93338475459624037</c:v>
                </c:pt>
                <c:pt idx="9">
                  <c:v>0.97755168456075958</c:v>
                </c:pt>
                <c:pt idx="10">
                  <c:v>1.0238085540629507</c:v>
                </c:pt>
                <c:pt idx="11">
                  <c:v>1.0722542571684557</c:v>
                </c:pt>
                <c:pt idx="12">
                  <c:v>1.122992367521461</c:v>
                </c:pt>
                <c:pt idx="13">
                  <c:v>1.1761313597781595</c:v>
                </c:pt>
                <c:pt idx="14">
                  <c:v>1.2317848415182457</c:v>
                </c:pt>
                <c:pt idx="15">
                  <c:v>1.2900717961302552</c:v>
                </c:pt>
                <c:pt idx="16">
                  <c:v>1.3511168371900206</c:v>
                </c:pt>
                <c:pt idx="17">
                  <c:v>1.4150504748760875</c:v>
                </c:pt>
                <c:pt idx="18">
                  <c:v>1.4820093949916695</c:v>
                </c:pt>
                <c:pt idx="19">
                  <c:v>1.5521367511896729</c:v>
                </c:pt>
                <c:pt idx="20">
                  <c:v>1.625582471025546</c:v>
                </c:pt>
                <c:pt idx="21">
                  <c:v>1.702503576492276</c:v>
                </c:pt>
                <c:pt idx="22">
                  <c:v>1.7830645197228145</c:v>
                </c:pt>
                <c:pt idx="23">
                  <c:v>1.8674375345776404</c:v>
                </c:pt>
                <c:pt idx="24">
                  <c:v>1.9558030048691317</c:v>
                </c:pt>
                <c:pt idx="25">
                  <c:v>2.0483498500099846</c:v>
                </c:pt>
                <c:pt idx="26">
                  <c:v>2.145275928910169</c:v>
                </c:pt>
                <c:pt idx="27">
                  <c:v>2.2467884629859274</c:v>
                </c:pt>
                <c:pt idx="28">
                  <c:v>2.3531044791851801</c:v>
                </c:pt>
                <c:pt idx="29">
                  <c:v>2.4644512739764939</c:v>
                </c:pt>
                <c:pt idx="30">
                  <c:v>2.5810668992935955</c:v>
                </c:pt>
                <c:pt idx="31">
                  <c:v>2.7032006714743417</c:v>
                </c:pt>
                <c:pt idx="32">
                  <c:v>2.8311137042822265</c:v>
                </c:pt>
                <c:pt idx="33">
                  <c:v>2.9650794671499878</c:v>
                </c:pt>
                <c:pt idx="34">
                  <c:v>3.1053843698388013</c:v>
                </c:pt>
                <c:pt idx="35">
                  <c:v>3.2523283747630227</c:v>
                </c:pt>
                <c:pt idx="36">
                  <c:v>3.4062256382895892</c:v>
                </c:pt>
                <c:pt idx="37">
                  <c:v>3.567405182383133</c:v>
                </c:pt>
                <c:pt idx="38">
                  <c:v>3.7362115980327393</c:v>
                </c:pt>
                <c:pt idx="39">
                  <c:v>3.9130057819642294</c:v>
                </c:pt>
                <c:pt idx="40">
                  <c:v>4.0981657082130063</c:v>
                </c:pt>
                <c:pt idx="41">
                  <c:v>4.2920872362070392</c:v>
                </c:pt>
                <c:pt idx="42">
                  <c:v>4.4951849570876057</c:v>
                </c:pt>
                <c:pt idx="43">
                  <c:v>4.7078930800771781</c:v>
                </c:pt>
                <c:pt idx="44">
                  <c:v>4.9306663607894397</c:v>
                </c:pt>
                <c:pt idx="45">
                  <c:v>5.1639810734661014</c:v>
                </c:pt>
                <c:pt idx="46">
                  <c:v>5.4083360292190914</c:v>
                </c:pt>
                <c:pt idx="47">
                  <c:v>5.6642536424550549</c:v>
                </c:pt>
                <c:pt idx="48">
                  <c:v>5.9322810477621024</c:v>
                </c:pt>
                <c:pt idx="49">
                  <c:v>6.2129912696466381</c:v>
                </c:pt>
                <c:pt idx="50">
                  <c:v>6.5069844476210896</c:v>
                </c:pt>
                <c:pt idx="51">
                  <c:v>6.8148891192616885</c:v>
                </c:pt>
                <c:pt idx="52">
                  <c:v>7.1373635639793944</c:v>
                </c:pt>
                <c:pt idx="53">
                  <c:v>7.4750972103768571</c:v>
                </c:pt>
                <c:pt idx="54">
                  <c:v>7.8288121102002464</c:v>
                </c:pt>
                <c:pt idx="55">
                  <c:v>8.1992644820371616</c:v>
                </c:pt>
                <c:pt idx="56">
                  <c:v>8.5872463280609441</c:v>
                </c:pt>
                <c:pt idx="57">
                  <c:v>8.9935871272778822</c:v>
                </c:pt>
                <c:pt idx="58">
                  <c:v>9.419155608897352</c:v>
                </c:pt>
                <c:pt idx="59">
                  <c:v>9.8648616096162467</c:v>
                </c:pt>
                <c:pt idx="60">
                  <c:v>10.331658018788442</c:v>
                </c:pt>
                <c:pt idx="61">
                  <c:v>10.82054281563793</c:v>
                </c:pt>
                <c:pt idx="62">
                  <c:v>11.332561202871064</c:v>
                </c:pt>
                <c:pt idx="63">
                  <c:v>11.868807841249414</c:v>
                </c:pt>
                <c:pt idx="64">
                  <c:v>12.430429189900602</c:v>
                </c:pt>
                <c:pt idx="65">
                  <c:v>13.018625957370567</c:v>
                </c:pt>
                <c:pt idx="66">
                  <c:v>13.634655668657405</c:v>
                </c:pt>
                <c:pt idx="67">
                  <c:v>14.279835353714962</c:v>
                </c:pt>
                <c:pt idx="68">
                  <c:v>14.955544363174001</c:v>
                </c:pt>
                <c:pt idx="69">
                  <c:v>15.66322731730078</c:v>
                </c:pt>
                <c:pt idx="70">
                  <c:v>16.404397194497694</c:v>
                </c:pt>
                <c:pt idx="71">
                  <c:v>17.18063856594901</c:v>
                </c:pt>
                <c:pt idx="72">
                  <c:v>17.99361098332713</c:v>
                </c:pt>
                <c:pt idx="73">
                  <c:v>18.845052526802082</c:v>
                </c:pt>
                <c:pt idx="74">
                  <c:v>19.73678352093965</c:v>
                </c:pt>
                <c:pt idx="75">
                  <c:v>20.670710426432443</c:v>
                </c:pt>
                <c:pt idx="76">
                  <c:v>21.648829915984233</c:v>
                </c:pt>
                <c:pt idx="77">
                  <c:v>22.673233143061449</c:v>
                </c:pt>
                <c:pt idx="78">
                  <c:v>23.746110212638179</c:v>
                </c:pt>
                <c:pt idx="79">
                  <c:v>24.86975486349283</c:v>
                </c:pt>
                <c:pt idx="80">
                  <c:v>26.046569372066841</c:v>
                </c:pt>
                <c:pt idx="81">
                  <c:v>27.279069688369631</c:v>
                </c:pt>
                <c:pt idx="82">
                  <c:v>28.569890814909932</c:v>
                </c:pt>
                <c:pt idx="83">
                  <c:v>29.921792440153354</c:v>
                </c:pt>
                <c:pt idx="84">
                  <c:v>31.337664838550097</c:v>
                </c:pt>
                <c:pt idx="85">
                  <c:v>32.820535049746702</c:v>
                </c:pt>
                <c:pt idx="86">
                  <c:v>34.373573350192551</c:v>
                </c:pt>
                <c:pt idx="87">
                  <c:v>36.000100030976988</c:v>
                </c:pt>
                <c:pt idx="88">
                  <c:v>37.703592496387621</c:v>
                </c:pt>
                <c:pt idx="89">
                  <c:v>39.487692698366033</c:v>
                </c:pt>
                <c:pt idx="90">
                  <c:v>41.356214922755292</c:v>
                </c:pt>
                <c:pt idx="91">
                  <c:v>43.313153943985682</c:v>
                </c:pt>
                <c:pt idx="92">
                  <c:v>45.362693565632895</c:v>
                </c:pt>
                <c:pt idx="93">
                  <c:v>47.509215565107738</c:v>
                </c:pt>
                <c:pt idx="94">
                  <c:v>49.757309061600566</c:v>
                </c:pt>
                <c:pt idx="95">
                  <c:v>52.111780327308445</c:v>
                </c:pt>
                <c:pt idx="96">
                  <c:v>54.577663062920799</c:v>
                </c:pt>
                <c:pt idx="97">
                  <c:v>57.160229159331799</c:v>
                </c:pt>
                <c:pt idx="98">
                  <c:v>59.864999968587362</c:v>
                </c:pt>
                <c:pt idx="99">
                  <c:v>62.697758108163249</c:v>
                </c:pt>
                <c:pt idx="100">
                  <c:v>65.664559823811032</c:v>
                </c:pt>
                <c:pt idx="101">
                  <c:v>68.771747937402836</c:v>
                </c:pt>
                <c:pt idx="102">
                  <c:v>72.025965407456496</c:v>
                </c:pt>
                <c:pt idx="103">
                  <c:v>75.434169531332628</c:v>
                </c:pt>
                <c:pt idx="104">
                  <c:v>79.00364681946688</c:v>
                </c:pt>
                <c:pt idx="105">
                  <c:v>82.74202857343758</c:v>
                </c:pt>
                <c:pt idx="106">
                  <c:v>86.65730720117358</c:v>
                </c:pt>
                <c:pt idx="107">
                  <c:v>90.757853304183044</c:v>
                </c:pt>
                <c:pt idx="108">
                  <c:v>95.052433573334682</c:v>
                </c:pt>
                <c:pt idx="109">
                  <c:v>99.550229531451237</c:v>
                </c:pt>
                <c:pt idx="110">
                  <c:v>104.26085716278493</c:v>
                </c:pt>
              </c:numCache>
            </c:numRef>
          </c:xVal>
          <c:yVal>
            <c:numRef>
              <c:f>'Berekening trap 2'!$Z$76:$Z$186</c:f>
              <c:numCache>
                <c:formatCode>General</c:formatCode>
                <c:ptCount val="111"/>
                <c:pt idx="0">
                  <c:v>99.999994743684951</c:v>
                </c:pt>
                <c:pt idx="1">
                  <c:v>99.999992696002096</c:v>
                </c:pt>
                <c:pt idx="2">
                  <c:v>99.99999000507573</c:v>
                </c:pt>
                <c:pt idx="3">
                  <c:v>99.99998643015536</c:v>
                </c:pt>
                <c:pt idx="4">
                  <c:v>99.999981661530995</c:v>
                </c:pt>
                <c:pt idx="5">
                  <c:v>99.999975287812404</c:v>
                </c:pt>
                <c:pt idx="6">
                  <c:v>99.999966759894065</c:v>
                </c:pt>
                <c:pt idx="7">
                  <c:v>99.999955344526796</c:v>
                </c:pt>
                <c:pt idx="8">
                  <c:v>99.99994006295222</c:v>
                </c:pt>
                <c:pt idx="9">
                  <c:v>99.999919609953665</c:v>
                </c:pt>
                <c:pt idx="10">
                  <c:v>99.999892246945265</c:v>
                </c:pt>
                <c:pt idx="11">
                  <c:v>99.999855661034758</c:v>
                </c:pt>
                <c:pt idx="12">
                  <c:v>99.999806779364619</c:v>
                </c:pt>
                <c:pt idx="13">
                  <c:v>99.999741525708586</c:v>
                </c:pt>
                <c:pt idx="14">
                  <c:v>99.999654500989251</c:v>
                </c:pt>
                <c:pt idx="15">
                  <c:v>99.999538565842627</c:v>
                </c:pt>
                <c:pt idx="16">
                  <c:v>99.999384296039779</c:v>
                </c:pt>
                <c:pt idx="17">
                  <c:v>99.99917927375985</c:v>
                </c:pt>
                <c:pt idx="18">
                  <c:v>99.998907167788545</c:v>
                </c:pt>
                <c:pt idx="19">
                  <c:v>99.998546543171074</c:v>
                </c:pt>
                <c:pt idx="20">
                  <c:v>99.99806932478505</c:v>
                </c:pt>
                <c:pt idx="21">
                  <c:v>99.997438820559481</c:v>
                </c:pt>
                <c:pt idx="22">
                  <c:v>99.996607185958567</c:v>
                </c:pt>
                <c:pt idx="23">
                  <c:v>99.995512182683143</c:v>
                </c:pt>
                <c:pt idx="24">
                  <c:v>99.994073049607366</c:v>
                </c:pt>
                <c:pt idx="25">
                  <c:v>99.992185261976687</c:v>
                </c:pt>
                <c:pt idx="26">
                  <c:v>99.989713905319491</c:v>
                </c:pt>
                <c:pt idx="27">
                  <c:v>99.98648533197975</c:v>
                </c:pt>
                <c:pt idx="28">
                  <c:v>99.982276700050235</c:v>
                </c:pt>
                <c:pt idx="29">
                  <c:v>99.976802916849493</c:v>
                </c:pt>
                <c:pt idx="30">
                  <c:v>99.969700420922806</c:v>
                </c:pt>
                <c:pt idx="31">
                  <c:v>99.96050713924231</c:v>
                </c:pt>
                <c:pt idx="32">
                  <c:v>99.948637851099789</c:v>
                </c:pt>
                <c:pt idx="33">
                  <c:v>99.933354079420127</c:v>
                </c:pt>
                <c:pt idx="34">
                  <c:v>99.913727518834051</c:v>
                </c:pt>
                <c:pt idx="35">
                  <c:v>99.888595903629223</c:v>
                </c:pt>
                <c:pt idx="36">
                  <c:v>99.856510126697444</c:v>
                </c:pt>
                <c:pt idx="37">
                  <c:v>99.815671354906527</c:v>
                </c:pt>
                <c:pt idx="38">
                  <c:v>99.763856861978084</c:v>
                </c:pt>
                <c:pt idx="39">
                  <c:v>99.698333336809753</c:v>
                </c:pt>
                <c:pt idx="40">
                  <c:v>99.615756546500762</c:v>
                </c:pt>
                <c:pt idx="41">
                  <c:v>99.512056467429943</c:v>
                </c:pt>
                <c:pt idx="42">
                  <c:v>99.382307376269779</c:v>
                </c:pt>
                <c:pt idx="43">
                  <c:v>99.220582951669428</c:v>
                </c:pt>
                <c:pt idx="44">
                  <c:v>99.019797213169014</c:v>
                </c:pt>
                <c:pt idx="45">
                  <c:v>98.771533154890136</c:v>
                </c:pt>
                <c:pt idx="46">
                  <c:v>98.465862251906216</c:v>
                </c:pt>
                <c:pt idx="47">
                  <c:v>98.091159656027671</c:v>
                </c:pt>
                <c:pt idx="48">
                  <c:v>97.633921874271905</c:v>
                </c:pt>
                <c:pt idx="49">
                  <c:v>97.078596042847025</c:v>
                </c:pt>
                <c:pt idx="50">
                  <c:v>96.40743256162942</c:v>
                </c:pt>
                <c:pt idx="51">
                  <c:v>95.600375810215866</c:v>
                </c:pt>
                <c:pt idx="52">
                  <c:v>94.635010883210569</c:v>
                </c:pt>
                <c:pt idx="53">
                  <c:v>93.486587708323427</c:v>
                </c:pt>
                <c:pt idx="54">
                  <c:v>92.128147502706256</c:v>
                </c:pt>
                <c:pt idx="55">
                  <c:v>90.530780269717937</c:v>
                </c:pt>
                <c:pt idx="56">
                  <c:v>88.664045995714019</c:v>
                </c:pt>
                <c:pt idx="57">
                  <c:v>86.496596538987774</c:v>
                </c:pt>
                <c:pt idx="58">
                  <c:v>83.997040223296722</c:v>
                </c:pt>
                <c:pt idx="59">
                  <c:v>81.135097332066763</c:v>
                </c:pt>
                <c:pt idx="60">
                  <c:v>77.652729264007462</c:v>
                </c:pt>
                <c:pt idx="61">
                  <c:v>73.620750540572303</c:v>
                </c:pt>
                <c:pt idx="62">
                  <c:v>68.988858756691016</c:v>
                </c:pt>
                <c:pt idx="63">
                  <c:v>63.71355121684973</c:v>
                </c:pt>
                <c:pt idx="64">
                  <c:v>57.763343070459456</c:v>
                </c:pt>
                <c:pt idx="65">
                  <c:v>51.125785435093242</c:v>
                </c:pt>
                <c:pt idx="66">
                  <c:v>43.81667156719211</c:v>
                </c:pt>
                <c:pt idx="67">
                  <c:v>35.891685669296656</c:v>
                </c:pt>
                <c:pt idx="68">
                  <c:v>27.460306233221516</c:v>
                </c:pt>
                <c:pt idx="69">
                  <c:v>22.40240828766283</c:v>
                </c:pt>
                <c:pt idx="70">
                  <c:v>17.993925742217591</c:v>
                </c:pt>
                <c:pt idx="71">
                  <c:v>14.058315427222141</c:v>
                </c:pt>
                <c:pt idx="72">
                  <c:v>10.611874428789966</c:v>
                </c:pt>
                <c:pt idx="73">
                  <c:v>7.6590075344951556</c:v>
                </c:pt>
                <c:pt idx="74">
                  <c:v>5.1913362534490286</c:v>
                </c:pt>
                <c:pt idx="75">
                  <c:v>3.6345065008292963</c:v>
                </c:pt>
                <c:pt idx="76">
                  <c:v>2.5619125271225256</c:v>
                </c:pt>
                <c:pt idx="77">
                  <c:v>1.7529704046762311</c:v>
                </c:pt>
                <c:pt idx="78">
                  <c:v>1.1581262837507302</c:v>
                </c:pt>
                <c:pt idx="79">
                  <c:v>0.73272512068815598</c:v>
                </c:pt>
                <c:pt idx="80">
                  <c:v>0.43769527152136423</c:v>
                </c:pt>
                <c:pt idx="81">
                  <c:v>0.23990620303052893</c:v>
                </c:pt>
                <c:pt idx="82">
                  <c:v>0.11219864845383307</c:v>
                </c:pt>
                <c:pt idx="83">
                  <c:v>3.311211893834011E-2</c:v>
                </c:pt>
                <c:pt idx="84">
                  <c:v>1.9227437250574967E-2</c:v>
                </c:pt>
                <c:pt idx="85">
                  <c:v>1.1744797583979975E-2</c:v>
                </c:pt>
                <c:pt idx="86">
                  <c:v>7.0563890405192066E-3</c:v>
                </c:pt>
                <c:pt idx="87">
                  <c:v>4.1674965822669531E-3</c:v>
                </c:pt>
                <c:pt idx="88">
                  <c:v>2.4179300302379619E-3</c:v>
                </c:pt>
                <c:pt idx="89">
                  <c:v>1.3771175188400429E-3</c:v>
                </c:pt>
                <c:pt idx="90">
                  <c:v>7.7119208495576169E-4</c:v>
                </c:pt>
                <c:pt idx="91">
                  <c:v>4.2437826202288445E-4</c:v>
                </c:pt>
                <c:pt idx="92">
                  <c:v>2.2949079004051481E-4</c:v>
                </c:pt>
                <c:pt idx="93">
                  <c:v>1.2218124199402499E-4</c:v>
                </c:pt>
                <c:pt idx="94">
                  <c:v>6.4322969732651315E-5</c:v>
                </c:pt>
                <c:pt idx="95">
                  <c:v>3.2513432631539831E-5</c:v>
                </c:pt>
                <c:pt idx="96">
                  <c:v>1.6070425249818445E-5</c:v>
                </c:pt>
                <c:pt idx="97">
                  <c:v>7.8097726431388009E-6</c:v>
                </c:pt>
                <c:pt idx="98">
                  <c:v>3.7593864558328295E-6</c:v>
                </c:pt>
                <c:pt idx="99">
                  <c:v>1.6957444109486571E-6</c:v>
                </c:pt>
                <c:pt idx="100">
                  <c:v>7.3656478275078545E-7</c:v>
                </c:pt>
                <c:pt idx="101">
                  <c:v>3.0427213392584943E-7</c:v>
                </c:pt>
                <c:pt idx="102">
                  <c:v>1.1489033731992609E-7</c:v>
                </c:pt>
                <c:pt idx="103">
                  <c:v>3.4322490929062105E-8</c:v>
                </c:pt>
                <c:pt idx="104">
                  <c:v>1.0707212127222171E-9</c:v>
                </c:pt>
                <c:pt idx="105">
                  <c:v>1.0707212127222171E-9</c:v>
                </c:pt>
                <c:pt idx="106">
                  <c:v>1.0707212127222171E-9</c:v>
                </c:pt>
                <c:pt idx="107">
                  <c:v>1.0707212127222171E-9</c:v>
                </c:pt>
                <c:pt idx="108">
                  <c:v>1.0707212127222171E-9</c:v>
                </c:pt>
                <c:pt idx="109">
                  <c:v>1.0707212127222171E-9</c:v>
                </c:pt>
                <c:pt idx="110">
                  <c:v>1.4810962680661178E-14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BA-45C3-B70E-400EEA37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53408"/>
        <c:axId val="208755328"/>
      </c:scatterChart>
      <c:valAx>
        <c:axId val="208753408"/>
        <c:scaling>
          <c:logBase val="10"/>
          <c:orientation val="minMax"/>
          <c:max val="10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6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5328"/>
        <c:crossesAt val="0"/>
        <c:crossBetween val="midCat"/>
        <c:majorUnit val="10"/>
        <c:minorUnit val="10"/>
      </c:valAx>
      <c:valAx>
        <c:axId val="2087553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</a:t>
                </a:r>
              </a:p>
            </c:rich>
          </c:tx>
          <c:layout>
            <c:manualLayout>
              <c:xMode val="edge"/>
              <c:yMode val="edge"/>
              <c:x val="1.3293789818122995E-2"/>
              <c:y val="0.349481378798991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3408"/>
        <c:crossesAt val="1.0000000000000005E-2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17362889841626"/>
          <c:y val="0.18040031539462509"/>
          <c:w val="0.25284499031121188"/>
          <c:h val="0.3363749077979442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44" r="0.75000000000000344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S$2" fmlaRange="$R$2:$R$5" sel="2" val="0"/>
</file>

<file path=xl/ctrlProps/ctrlProp2.xml><?xml version="1.0" encoding="utf-8"?>
<formControlPr xmlns="http://schemas.microsoft.com/office/spreadsheetml/2009/9/main" objectType="Drop" dropStyle="combo" dx="16" fmlaLink="$S$9" fmlaRange="$R$9:$R$12" sel="2" val="0"/>
</file>

<file path=xl/ctrlProps/ctrlProp3.xml><?xml version="1.0" encoding="utf-8"?>
<formControlPr xmlns="http://schemas.microsoft.com/office/spreadsheetml/2009/9/main" objectType="Drop" dropStyle="combo" dx="16" fmlaLink="$S$15" fmlaRange="$R$15:$R$16" sel="2" val="0"/>
</file>

<file path=xl/ctrlProps/ctrlProp4.xml><?xml version="1.0" encoding="utf-8"?>
<formControlPr xmlns="http://schemas.microsoft.com/office/spreadsheetml/2009/9/main" objectType="Drop" dropStyle="combo" dx="16" fmlaLink="$S$19" fmlaRange="$R$19:$R$23" sel="1" val="0"/>
</file>

<file path=xl/ctrlProps/ctrlProp5.xml><?xml version="1.0" encoding="utf-8"?>
<formControlPr xmlns="http://schemas.microsoft.com/office/spreadsheetml/2009/9/main" objectType="Drop" dropStyle="combo" dx="16" fmlaLink="$S$25" fmlaRange="$R$25:$R$33" sel="6"/>
</file>

<file path=xl/ctrlProps/ctrlProp6.xml><?xml version="1.0" encoding="utf-8"?>
<formControlPr xmlns="http://schemas.microsoft.com/office/spreadsheetml/2009/9/main" objectType="Drop" dropStyle="combo" dx="16" fmlaLink="$S$36" fmlaRange="$R$36:$R$37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$S$26" fmlaRange="$R$25:$R$33" sel="6"/>
</file>

<file path=xl/ctrlProps/ctrlProp9.xml><?xml version="1.0" encoding="utf-8"?>
<formControlPr xmlns="http://schemas.microsoft.com/office/spreadsheetml/2009/9/main" objectType="Drop" dropStyle="combo" dx="16" fmlaLink="$T$36" fmlaRange="$R$36:$R$37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chart" Target="../charts/chart3.xml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828675</xdr:colOff>
          <xdr:row>6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1</xdr:col>
          <xdr:colOff>828675</xdr:colOff>
          <xdr:row>7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828675</xdr:colOff>
          <xdr:row>8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828675</xdr:colOff>
          <xdr:row>11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2</xdr:col>
          <xdr:colOff>866775</xdr:colOff>
          <xdr:row>14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9525</xdr:rowOff>
        </xdr:from>
        <xdr:to>
          <xdr:col>2</xdr:col>
          <xdr:colOff>866775</xdr:colOff>
          <xdr:row>21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7</xdr:row>
          <xdr:rowOff>76200</xdr:rowOff>
        </xdr:from>
        <xdr:to>
          <xdr:col>10</xdr:col>
          <xdr:colOff>0</xdr:colOff>
          <xdr:row>10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0</xdr:rowOff>
        </xdr:from>
        <xdr:to>
          <xdr:col>4</xdr:col>
          <xdr:colOff>866775</xdr:colOff>
          <xdr:row>14</xdr:row>
          <xdr:rowOff>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866775</xdr:colOff>
          <xdr:row>21</xdr:row>
          <xdr:rowOff>9525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444499</xdr:colOff>
      <xdr:row>67</xdr:row>
      <xdr:rowOff>25400</xdr:rowOff>
    </xdr:from>
    <xdr:to>
      <xdr:col>1</xdr:col>
      <xdr:colOff>190500</xdr:colOff>
      <xdr:row>75</xdr:row>
      <xdr:rowOff>50800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444499" y="11087100"/>
          <a:ext cx="457201" cy="134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63501</xdr:colOff>
      <xdr:row>57</xdr:row>
      <xdr:rowOff>101600</xdr:rowOff>
    </xdr:from>
    <xdr:to>
      <xdr:col>11</xdr:col>
      <xdr:colOff>685800</xdr:colOff>
      <xdr:row>57</xdr:row>
      <xdr:rowOff>101600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5753101" y="9512300"/>
          <a:ext cx="2755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68</xdr:row>
          <xdr:rowOff>9525</xdr:rowOff>
        </xdr:from>
        <xdr:to>
          <xdr:col>15</xdr:col>
          <xdr:colOff>638175</xdr:colOff>
          <xdr:row>70</xdr:row>
          <xdr:rowOff>104775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33</xdr:row>
          <xdr:rowOff>152400</xdr:rowOff>
        </xdr:from>
        <xdr:to>
          <xdr:col>13</xdr:col>
          <xdr:colOff>638175</xdr:colOff>
          <xdr:row>40</xdr:row>
          <xdr:rowOff>142875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74623" y="5471746"/>
              <a:ext cx="1998052" cy="1118821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" name="Line 70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457201</xdr:colOff>
      <xdr:row>69</xdr:row>
      <xdr:rowOff>38100</xdr:rowOff>
    </xdr:from>
    <xdr:to>
      <xdr:col>11</xdr:col>
      <xdr:colOff>114301</xdr:colOff>
      <xdr:row>73</xdr:row>
      <xdr:rowOff>25400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V="1">
          <a:off x="7569201" y="11430000"/>
          <a:ext cx="36830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215901</xdr:colOff>
      <xdr:row>68</xdr:row>
      <xdr:rowOff>38100</xdr:rowOff>
    </xdr:from>
    <xdr:to>
      <xdr:col>1</xdr:col>
      <xdr:colOff>215901</xdr:colOff>
      <xdr:row>73</xdr:row>
      <xdr:rowOff>57150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15901" y="11264900"/>
          <a:ext cx="711200" cy="844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33</xdr:row>
          <xdr:rowOff>152400</xdr:rowOff>
        </xdr:from>
        <xdr:to>
          <xdr:col>13</xdr:col>
          <xdr:colOff>666750</xdr:colOff>
          <xdr:row>40</xdr:row>
          <xdr:rowOff>142875</xdr:rowOff>
        </xdr:to>
        <xdr:grpSp>
          <xdr:nvGrpSpPr>
            <xdr:cNvPr id="4098" name="Group 2">
              <a:extLs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27975" y="5600700"/>
              <a:ext cx="1984375" cy="1146175"/>
              <a:chOff x="741" y="577"/>
              <a:chExt cx="213" cy="118"/>
            </a:xfrm>
          </xdr:grpSpPr>
          <xdr:sp macro="" textlink="">
            <xdr:nvSpPr>
              <xdr:cNvPr id="4099" name="Object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200-00000310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100" name="Object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200-00000410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88900</xdr:rowOff>
    </xdr:from>
    <xdr:to>
      <xdr:col>15</xdr:col>
      <xdr:colOff>0</xdr:colOff>
      <xdr:row>82</xdr:row>
      <xdr:rowOff>19050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12700</xdr:colOff>
      <xdr:row>44</xdr:row>
      <xdr:rowOff>88900</xdr:rowOff>
    </xdr:from>
    <xdr:to>
      <xdr:col>15</xdr:col>
      <xdr:colOff>12700</xdr:colOff>
      <xdr:row>82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15</xdr:col>
      <xdr:colOff>0</xdr:colOff>
      <xdr:row>82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22</xdr:col>
      <xdr:colOff>266700</xdr:colOff>
      <xdr:row>2</xdr:row>
      <xdr:rowOff>50800</xdr:rowOff>
    </xdr:from>
    <xdr:to>
      <xdr:col>33</xdr:col>
      <xdr:colOff>61913</xdr:colOff>
      <xdr:row>32</xdr:row>
      <xdr:rowOff>51594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190500</xdr:colOff>
      <xdr:row>3</xdr:row>
      <xdr:rowOff>127000</xdr:rowOff>
    </xdr:from>
    <xdr:to>
      <xdr:col>19</xdr:col>
      <xdr:colOff>244475</xdr:colOff>
      <xdr:row>37</xdr:row>
      <xdr:rowOff>52388</xdr:rowOff>
    </xdr:to>
    <xdr:pic>
      <xdr:nvPicPr>
        <xdr:cNvPr id="7" name="Picture 116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698500"/>
          <a:ext cx="1882775" cy="553878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usvG/Desktop/EOS%20calculation%20of%20gas%20constants%20rev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Blad1"/>
    </sheetNames>
    <sheetDataSet>
      <sheetData sheetId="0">
        <row r="3">
          <cell r="E3" t="str">
            <v>T1A</v>
          </cell>
          <cell r="F3" t="str">
            <v>T1B</v>
          </cell>
          <cell r="G3" t="str">
            <v>T1E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T25B</v>
          </cell>
          <cell r="Q3" t="str">
            <v>T26</v>
          </cell>
          <cell r="R3" t="str">
            <v>T27</v>
          </cell>
          <cell r="S3" t="str">
            <v>T28</v>
          </cell>
          <cell r="T3" t="str">
            <v>T31A</v>
          </cell>
          <cell r="U3" t="str">
            <v>T31B</v>
          </cell>
          <cell r="V3" t="str">
            <v>T31C</v>
          </cell>
          <cell r="W3" t="str">
            <v>T31D</v>
          </cell>
          <cell r="X3" t="str">
            <v>T31E</v>
          </cell>
          <cell r="Y3" t="str">
            <v>T32</v>
          </cell>
          <cell r="Z3" t="str">
            <v>T33</v>
          </cell>
          <cell r="AA3" t="str">
            <v>T34</v>
          </cell>
          <cell r="AB3" t="str">
            <v>T35A</v>
          </cell>
          <cell r="AC3" t="str">
            <v>T35B</v>
          </cell>
          <cell r="AD3" t="str">
            <v>T35C</v>
          </cell>
          <cell r="AE3" t="str">
            <v>T35D</v>
          </cell>
          <cell r="AF3" t="str">
            <v>T36</v>
          </cell>
          <cell r="AG3" t="str">
            <v>T36A</v>
          </cell>
          <cell r="AH3" t="str">
            <v>Gal</v>
          </cell>
          <cell r="AI3" t="str">
            <v>GalS</v>
          </cell>
          <cell r="AJ3" t="str">
            <v>GW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758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1000</v>
          </cell>
          <cell r="AH4">
            <v>1200</v>
          </cell>
          <cell r="AI4">
            <v>1200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1465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1480</v>
          </cell>
          <cell r="AH5">
            <v>1465</v>
          </cell>
          <cell r="AI5">
            <v>1465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1.2050000000000001</v>
          </cell>
          <cell r="AH6">
            <v>1.2</v>
          </cell>
          <cell r="AI6">
            <v>1.2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584</v>
          </cell>
          <cell r="Q7">
            <v>349.92887624466573</v>
          </cell>
          <cell r="R7">
            <v>285.71428571428572</v>
          </cell>
          <cell r="S7">
            <v>477.27272727272725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770.44854881266485</v>
          </cell>
          <cell r="Y7">
            <v>730</v>
          </cell>
          <cell r="Z7">
            <v>1013.1926121372031</v>
          </cell>
          <cell r="AA7">
            <v>1013.1926121372031</v>
          </cell>
          <cell r="AB7">
            <v>233.3</v>
          </cell>
          <cell r="AC7">
            <v>233.3</v>
          </cell>
          <cell r="AD7">
            <v>233.3</v>
          </cell>
          <cell r="AE7">
            <v>303.33300000000003</v>
          </cell>
          <cell r="AF7">
            <v>523.68421052631584</v>
          </cell>
          <cell r="AG7">
            <v>523.68421052631584</v>
          </cell>
          <cell r="AH7">
            <v>500</v>
          </cell>
          <cell r="AI7">
            <v>500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650</v>
          </cell>
          <cell r="Q8">
            <v>438.12233285917495</v>
          </cell>
          <cell r="R8">
            <v>347.82608695652175</v>
          </cell>
          <cell r="S8">
            <v>477.27272727272725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857.51978891820579</v>
          </cell>
          <cell r="Y8">
            <v>812.5</v>
          </cell>
          <cell r="Z8">
            <v>857.51978891820579</v>
          </cell>
          <cell r="AA8">
            <v>857.51978891820579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333.33300000000003</v>
          </cell>
          <cell r="AF8">
            <v>572.36842105263156</v>
          </cell>
          <cell r="AG8">
            <v>572.36842105263156</v>
          </cell>
          <cell r="AH8">
            <v>665</v>
          </cell>
          <cell r="AI8">
            <v>665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345</v>
          </cell>
          <cell r="Q9">
            <v>213.37126600284495</v>
          </cell>
          <cell r="R9">
            <v>183.85093167701862</v>
          </cell>
          <cell r="S9">
            <v>378.78787878787881</v>
          </cell>
          <cell r="T9">
            <v>422.16358839050133</v>
          </cell>
          <cell r="U9">
            <v>422.16358839050133</v>
          </cell>
          <cell r="V9">
            <v>455.14511873350921</v>
          </cell>
          <cell r="W9">
            <v>521.10817941952507</v>
          </cell>
          <cell r="X9">
            <v>521.10817941952507</v>
          </cell>
          <cell r="Y9">
            <v>431.25</v>
          </cell>
          <cell r="Z9">
            <v>637.20316622691291</v>
          </cell>
          <cell r="AA9">
            <v>693.93139841688651</v>
          </cell>
          <cell r="AB9">
            <v>175</v>
          </cell>
          <cell r="AC9">
            <v>175</v>
          </cell>
          <cell r="AD9">
            <v>175</v>
          </cell>
          <cell r="AE9">
            <v>175</v>
          </cell>
          <cell r="AF9">
            <v>328.94736842105266</v>
          </cell>
          <cell r="AG9">
            <v>328.94736842105266</v>
          </cell>
          <cell r="AH9">
            <v>300</v>
          </cell>
          <cell r="AI9">
            <v>300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4766</v>
          </cell>
          <cell r="Q10">
            <v>5689.9004267425316</v>
          </cell>
          <cell r="R10">
            <v>4596.2732919254659</v>
          </cell>
          <cell r="S10">
            <v>4742.424242424242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6229.5514511873353</v>
          </cell>
          <cell r="Y10">
            <v>5902.5</v>
          </cell>
          <cell r="Z10">
            <v>6229.5514511873353</v>
          </cell>
          <cell r="AA10">
            <v>6229.5514511873353</v>
          </cell>
          <cell r="AB10">
            <v>5016.66</v>
          </cell>
          <cell r="AC10">
            <v>5016.66</v>
          </cell>
          <cell r="AD10">
            <v>5016.66</v>
          </cell>
          <cell r="AE10">
            <v>5016.66</v>
          </cell>
          <cell r="AF10">
            <v>5657.8947368421059</v>
          </cell>
          <cell r="AG10">
            <v>5657.8947368421059</v>
          </cell>
          <cell r="AH10">
            <v>5500</v>
          </cell>
          <cell r="AI10">
            <v>5500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600</v>
          </cell>
          <cell r="Q11">
            <v>625.88904694167854</v>
          </cell>
          <cell r="R11">
            <v>677.01863354037266</v>
          </cell>
          <cell r="S11">
            <v>643.93939393939399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791.55672823218993</v>
          </cell>
          <cell r="Y11">
            <v>750</v>
          </cell>
          <cell r="Z11">
            <v>791.55672823218993</v>
          </cell>
          <cell r="AA11">
            <v>791.55672823218993</v>
          </cell>
          <cell r="AB11">
            <v>792</v>
          </cell>
          <cell r="AC11">
            <v>792</v>
          </cell>
          <cell r="AD11">
            <v>792</v>
          </cell>
          <cell r="AE11">
            <v>1208.3330000000001</v>
          </cell>
          <cell r="AF11">
            <v>710.52631578947364</v>
          </cell>
          <cell r="AG11">
            <v>710.52631578947364</v>
          </cell>
          <cell r="AH11">
            <v>820</v>
          </cell>
          <cell r="AI11">
            <v>820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665.6</v>
          </cell>
          <cell r="Q12">
            <v>694.16785206258885</v>
          </cell>
          <cell r="R12">
            <v>648.94409937888202</v>
          </cell>
          <cell r="S12">
            <v>706.06060606060601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878.62796833773086</v>
          </cell>
          <cell r="Y12">
            <v>832.5</v>
          </cell>
          <cell r="Z12">
            <v>877.30870712401054</v>
          </cell>
          <cell r="AA12">
            <v>877.30870712401054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736.66600000000005</v>
          </cell>
          <cell r="AF12">
            <v>750</v>
          </cell>
          <cell r="AG12">
            <v>750</v>
          </cell>
          <cell r="AH12">
            <v>886</v>
          </cell>
          <cell r="AI12">
            <v>886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804.2</v>
          </cell>
          <cell r="Q13">
            <v>768.13655761024177</v>
          </cell>
          <cell r="R13">
            <v>701.86335403726707</v>
          </cell>
          <cell r="S13">
            <v>792.42424242424238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1060.6860158311345</v>
          </cell>
          <cell r="Y13">
            <v>1005</v>
          </cell>
          <cell r="Z13">
            <v>1060.6860158311345</v>
          </cell>
          <cell r="AA13">
            <v>1060.6860158311345</v>
          </cell>
          <cell r="AB13">
            <v>760</v>
          </cell>
          <cell r="AC13">
            <v>760</v>
          </cell>
          <cell r="AD13">
            <v>760</v>
          </cell>
          <cell r="AE13">
            <v>760</v>
          </cell>
          <cell r="AF13">
            <v>859.21052631578948</v>
          </cell>
          <cell r="AG13">
            <v>859.21052631578948</v>
          </cell>
          <cell r="AH13">
            <v>1018</v>
          </cell>
          <cell r="AI13">
            <v>1018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665</v>
          </cell>
          <cell r="Q14">
            <v>666.42958748221906</v>
          </cell>
          <cell r="R14">
            <v>618.63354037267084</v>
          </cell>
          <cell r="S14">
            <v>643.93939393939399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877.30870712401054</v>
          </cell>
          <cell r="Y14">
            <v>831.25</v>
          </cell>
          <cell r="Z14">
            <v>877.30870712401054</v>
          </cell>
          <cell r="AA14">
            <v>877.30870712401054</v>
          </cell>
          <cell r="AB14">
            <v>650</v>
          </cell>
          <cell r="AC14">
            <v>650</v>
          </cell>
          <cell r="AD14">
            <v>650</v>
          </cell>
          <cell r="AE14">
            <v>650</v>
          </cell>
          <cell r="AF14">
            <v>733.5526315789474</v>
          </cell>
          <cell r="AG14">
            <v>733.5526315789474</v>
          </cell>
          <cell r="AH14">
            <v>875</v>
          </cell>
          <cell r="AI14">
            <v>875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990</v>
          </cell>
          <cell r="Q15">
            <v>885.49075391180656</v>
          </cell>
          <cell r="R15">
            <v>792.54658385093171</v>
          </cell>
          <cell r="S15">
            <v>882.57575757575762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1306.0686015831134</v>
          </cell>
          <cell r="Y15">
            <v>1237.5</v>
          </cell>
          <cell r="Z15">
            <v>1306.0686015831134</v>
          </cell>
          <cell r="AA15">
            <v>1306.0686015831134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816.66600000000005</v>
          </cell>
          <cell r="AF15">
            <v>1019.7368421052631</v>
          </cell>
          <cell r="AG15">
            <v>1019.7368421052631</v>
          </cell>
          <cell r="AH15">
            <v>1208</v>
          </cell>
          <cell r="AI15">
            <v>1208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220</v>
          </cell>
          <cell r="Q16">
            <v>470.83926031294448</v>
          </cell>
          <cell r="R16">
            <v>414.28571428571428</v>
          </cell>
          <cell r="S16">
            <v>421.21212121212119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403.03430079155669</v>
          </cell>
          <cell r="Y16">
            <v>431.25</v>
          </cell>
          <cell r="Z16">
            <v>411.6</v>
          </cell>
          <cell r="AA16">
            <v>411.6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433.33300000000003</v>
          </cell>
          <cell r="AF16">
            <v>425.00000000000006</v>
          </cell>
          <cell r="AG16">
            <v>425.00000000000006</v>
          </cell>
          <cell r="AH16">
            <v>408</v>
          </cell>
          <cell r="AI16">
            <v>408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12</v>
          </cell>
          <cell r="Q17">
            <v>10</v>
          </cell>
          <cell r="R17">
            <v>16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8</v>
          </cell>
          <cell r="Y17">
            <v>12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8</v>
          </cell>
          <cell r="AF17">
            <v>10</v>
          </cell>
          <cell r="AG17">
            <v>10</v>
          </cell>
          <cell r="AH17">
            <v>16</v>
          </cell>
          <cell r="AI17">
            <v>16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194</v>
          </cell>
          <cell r="Q18">
            <v>60.73968705547653</v>
          </cell>
          <cell r="R18">
            <v>54.658385093167702</v>
          </cell>
          <cell r="S18">
            <v>234.84848484848484</v>
          </cell>
          <cell r="T18">
            <v>197.88918205804748</v>
          </cell>
          <cell r="U18">
            <v>213.72031662269129</v>
          </cell>
          <cell r="V18">
            <v>246.70184696569922</v>
          </cell>
          <cell r="W18">
            <v>278.3641160949868</v>
          </cell>
          <cell r="X18">
            <v>310.02638522427441</v>
          </cell>
          <cell r="Y18">
            <v>190.625</v>
          </cell>
          <cell r="Z18">
            <v>313.98416886543538</v>
          </cell>
          <cell r="AA18">
            <v>370.71240105540898</v>
          </cell>
          <cell r="AB18">
            <v>108.333</v>
          </cell>
          <cell r="AC18">
            <v>108.333</v>
          </cell>
          <cell r="AD18">
            <v>108.333</v>
          </cell>
          <cell r="AE18">
            <v>108.333</v>
          </cell>
          <cell r="AF18">
            <v>156.57894736842104</v>
          </cell>
          <cell r="AG18">
            <v>133.55263157894737</v>
          </cell>
          <cell r="AH18">
            <v>120</v>
          </cell>
          <cell r="AI18">
            <v>72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122</v>
          </cell>
          <cell r="Q19">
            <v>28.87624466571835</v>
          </cell>
          <cell r="R19">
            <v>23.602484472049689</v>
          </cell>
          <cell r="S19">
            <v>151.5151515151515</v>
          </cell>
          <cell r="T19">
            <v>102.9023746701847</v>
          </cell>
          <cell r="U19">
            <v>118.7335092348285</v>
          </cell>
          <cell r="V19">
            <v>151.71503957783642</v>
          </cell>
          <cell r="W19">
            <v>183.377308707124</v>
          </cell>
          <cell r="X19">
            <v>215.03957783641161</v>
          </cell>
          <cell r="Y19">
            <v>88.75</v>
          </cell>
          <cell r="Z19">
            <v>233.50923482849603</v>
          </cell>
          <cell r="AA19">
            <v>290.23746701846966</v>
          </cell>
          <cell r="AB19">
            <v>33.332999999999998</v>
          </cell>
          <cell r="AC19">
            <v>50</v>
          </cell>
          <cell r="AD19">
            <v>75</v>
          </cell>
          <cell r="AE19">
            <v>50</v>
          </cell>
          <cell r="AF19">
            <v>62.5</v>
          </cell>
          <cell r="AG19">
            <v>62.5</v>
          </cell>
          <cell r="AH19">
            <v>60</v>
          </cell>
          <cell r="AI19">
            <v>36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430</v>
          </cell>
          <cell r="Q20">
            <v>290.18492176386911</v>
          </cell>
          <cell r="R20">
            <v>288.19875776397515</v>
          </cell>
          <cell r="S20">
            <v>643.93939393939399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567.28232189973619</v>
          </cell>
          <cell r="Y20">
            <v>537.5</v>
          </cell>
          <cell r="Z20">
            <v>659.63060686015831</v>
          </cell>
          <cell r="AA20">
            <v>659.63060686015831</v>
          </cell>
          <cell r="AB20">
            <v>375</v>
          </cell>
          <cell r="AC20">
            <v>375</v>
          </cell>
          <cell r="AD20">
            <v>375</v>
          </cell>
          <cell r="AE20">
            <v>375</v>
          </cell>
          <cell r="AF20">
            <v>442.10526315789474</v>
          </cell>
          <cell r="AG20">
            <v>442.10526315789474</v>
          </cell>
          <cell r="AH20">
            <v>455</v>
          </cell>
          <cell r="AI20">
            <v>455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460</v>
          </cell>
          <cell r="Q21">
            <v>331.4366998577525</v>
          </cell>
          <cell r="R21">
            <v>511.80124223602485</v>
          </cell>
          <cell r="S21">
            <v>369.69696969696969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606.86015831134569</v>
          </cell>
          <cell r="Y21">
            <v>575</v>
          </cell>
          <cell r="Z21">
            <v>688.65435356200533</v>
          </cell>
          <cell r="AA21">
            <v>688.65435356200533</v>
          </cell>
          <cell r="AB21">
            <v>133.333</v>
          </cell>
          <cell r="AC21">
            <v>133.333</v>
          </cell>
          <cell r="AD21">
            <v>133.333</v>
          </cell>
          <cell r="AE21">
            <v>133.333</v>
          </cell>
          <cell r="AF21">
            <v>464.4736842105263</v>
          </cell>
          <cell r="AG21">
            <v>464.4736842105263</v>
          </cell>
          <cell r="AH21">
            <v>500</v>
          </cell>
          <cell r="AI21">
            <v>500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30</v>
          </cell>
          <cell r="Q22">
            <v>40</v>
          </cell>
          <cell r="R22">
            <v>44</v>
          </cell>
          <cell r="S22">
            <v>1E-4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20</v>
          </cell>
          <cell r="Y22">
            <v>10</v>
          </cell>
          <cell r="Z22">
            <v>10</v>
          </cell>
          <cell r="AA22">
            <v>10</v>
          </cell>
          <cell r="AB22">
            <v>1E-4</v>
          </cell>
          <cell r="AC22">
            <v>1E-4</v>
          </cell>
          <cell r="AD22">
            <v>1E-4</v>
          </cell>
          <cell r="AE22">
            <v>1E-4</v>
          </cell>
          <cell r="AF22">
            <v>29</v>
          </cell>
          <cell r="AG22">
            <v>29</v>
          </cell>
          <cell r="AH22">
            <v>38.4</v>
          </cell>
          <cell r="AI22">
            <v>38.4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31</v>
          </cell>
          <cell r="Q23">
            <v>40</v>
          </cell>
          <cell r="R23">
            <v>60</v>
          </cell>
          <cell r="S23">
            <v>1E-4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30</v>
          </cell>
          <cell r="Y23">
            <v>34.5</v>
          </cell>
          <cell r="Z23">
            <v>30</v>
          </cell>
          <cell r="AA23">
            <v>30</v>
          </cell>
          <cell r="AB23">
            <v>1E-4</v>
          </cell>
          <cell r="AC23">
            <v>1E-4</v>
          </cell>
          <cell r="AD23">
            <v>1E-4</v>
          </cell>
          <cell r="AE23">
            <v>1E-4</v>
          </cell>
          <cell r="AF23">
            <v>40</v>
          </cell>
          <cell r="AG23">
            <v>40</v>
          </cell>
          <cell r="AH23">
            <v>71</v>
          </cell>
          <cell r="AI23">
            <v>71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0.5</v>
          </cell>
          <cell r="Q25">
            <v>0.39</v>
          </cell>
          <cell r="R25">
            <v>0.7</v>
          </cell>
          <cell r="S25">
            <v>1.93</v>
          </cell>
          <cell r="T25">
            <v>2.0876562174896227</v>
          </cell>
          <cell r="U25">
            <v>2.5515798213762055</v>
          </cell>
          <cell r="V25">
            <v>3.2474652272060798</v>
          </cell>
          <cell r="W25">
            <v>2.3196180194329141</v>
          </cell>
          <cell r="X25">
            <v>3.0155034252627884</v>
          </cell>
          <cell r="Y25">
            <v>4.6399999999999997</v>
          </cell>
          <cell r="Z25">
            <v>4.6399999999999997</v>
          </cell>
          <cell r="AA25">
            <v>6.03</v>
          </cell>
          <cell r="AB25">
            <v>0.42</v>
          </cell>
          <cell r="AC25">
            <v>0.47</v>
          </cell>
          <cell r="AD25">
            <v>0.47</v>
          </cell>
          <cell r="AE25">
            <v>0.47</v>
          </cell>
          <cell r="AF25">
            <v>1.61</v>
          </cell>
          <cell r="AG25">
            <v>1.5</v>
          </cell>
          <cell r="AH25">
            <v>1</v>
          </cell>
          <cell r="AI25">
            <v>5.0599999999999999E-2</v>
          </cell>
          <cell r="AJ25">
            <v>5.0599999999999999E-2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1</v>
          </cell>
          <cell r="Q26">
            <v>0.76</v>
          </cell>
          <cell r="R26">
            <v>0.8</v>
          </cell>
          <cell r="S26">
            <v>3.16</v>
          </cell>
          <cell r="T26">
            <v>2.7835416233194969</v>
          </cell>
          <cell r="U26">
            <v>3.2474652272060798</v>
          </cell>
          <cell r="V26">
            <v>3.943350633035954</v>
          </cell>
          <cell r="W26">
            <v>3.2474652272060798</v>
          </cell>
          <cell r="X26">
            <v>3.943350633035954</v>
          </cell>
          <cell r="Y26">
            <v>8.1199999999999992</v>
          </cell>
          <cell r="Z26">
            <v>8.1199999999999992</v>
          </cell>
          <cell r="AA26">
            <v>9.2799999999999994</v>
          </cell>
          <cell r="AB26">
            <v>0.82</v>
          </cell>
          <cell r="AC26">
            <v>0.7</v>
          </cell>
          <cell r="AD26">
            <v>0.94</v>
          </cell>
          <cell r="AE26">
            <v>0.94</v>
          </cell>
          <cell r="AF26">
            <v>2.2999999999999998</v>
          </cell>
          <cell r="AG26">
            <v>2.2999999999999998</v>
          </cell>
          <cell r="AH26">
            <v>2</v>
          </cell>
          <cell r="AI26">
            <v>0.1012</v>
          </cell>
          <cell r="AJ26">
            <v>0.1012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1.5</v>
          </cell>
          <cell r="Q27">
            <v>0.92</v>
          </cell>
          <cell r="R27">
            <v>0.85</v>
          </cell>
          <cell r="S27">
            <v>3.58</v>
          </cell>
          <cell r="T27">
            <v>3.4794270291493712</v>
          </cell>
          <cell r="U27">
            <v>3.943350633035954</v>
          </cell>
          <cell r="V27">
            <v>4.6392360388658282</v>
          </cell>
          <cell r="W27">
            <v>4.1753124349792454</v>
          </cell>
          <cell r="X27">
            <v>4.8711978408091197</v>
          </cell>
          <cell r="Y27">
            <v>8.7200000000000006</v>
          </cell>
          <cell r="Z27">
            <v>8.7200000000000006</v>
          </cell>
          <cell r="AA27">
            <v>9.9700000000000006</v>
          </cell>
          <cell r="AB27">
            <v>0.94</v>
          </cell>
          <cell r="AC27">
            <v>0.89</v>
          </cell>
          <cell r="AD27">
            <v>1.08</v>
          </cell>
          <cell r="AE27">
            <v>1.08</v>
          </cell>
          <cell r="AF27">
            <v>2.65</v>
          </cell>
          <cell r="AG27">
            <v>2.5499999999999998</v>
          </cell>
          <cell r="AH27">
            <v>3</v>
          </cell>
          <cell r="AI27">
            <v>0.12640000000000001</v>
          </cell>
          <cell r="AJ27">
            <v>0.12640000000000001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2</v>
          </cell>
          <cell r="Q28">
            <v>1.0900000000000001</v>
          </cell>
          <cell r="R28">
            <v>0.91</v>
          </cell>
          <cell r="S28">
            <v>4.04</v>
          </cell>
          <cell r="T28">
            <v>4.1753124349792454</v>
          </cell>
          <cell r="U28">
            <v>4.6392360388658282</v>
          </cell>
          <cell r="V28">
            <v>5.3351214446957025</v>
          </cell>
          <cell r="W28">
            <v>5.1031596427524111</v>
          </cell>
          <cell r="X28">
            <v>5.7990450485822853</v>
          </cell>
          <cell r="Y28">
            <v>9.42</v>
          </cell>
          <cell r="Z28">
            <v>9.42</v>
          </cell>
          <cell r="AA28">
            <v>10.72</v>
          </cell>
          <cell r="AB28">
            <v>1.08</v>
          </cell>
          <cell r="AC28">
            <v>1.1000000000000001</v>
          </cell>
          <cell r="AD28">
            <v>1.26</v>
          </cell>
          <cell r="AE28">
            <v>1.26</v>
          </cell>
          <cell r="AF28">
            <v>3.01</v>
          </cell>
          <cell r="AG28">
            <v>2.83</v>
          </cell>
          <cell r="AH28">
            <v>4</v>
          </cell>
          <cell r="AI28">
            <v>0.1517</v>
          </cell>
          <cell r="AJ28">
            <v>0.1517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2.5</v>
          </cell>
          <cell r="Q29">
            <v>1.27</v>
          </cell>
          <cell r="R29">
            <v>0.98</v>
          </cell>
          <cell r="S29">
            <v>4.5</v>
          </cell>
          <cell r="T29">
            <v>4.8711978408091197</v>
          </cell>
          <cell r="U29">
            <v>5.3351214446957025</v>
          </cell>
          <cell r="V29">
            <v>6.0310068505255767</v>
          </cell>
          <cell r="W29">
            <v>6.0310068505255767</v>
          </cell>
          <cell r="X29">
            <v>6.726892256355451</v>
          </cell>
          <cell r="Y29">
            <v>9.9700000000000006</v>
          </cell>
          <cell r="Z29">
            <v>9.9700000000000006</v>
          </cell>
          <cell r="AA29">
            <v>11.46</v>
          </cell>
          <cell r="AB29">
            <v>1.2</v>
          </cell>
          <cell r="AC29">
            <v>1.31</v>
          </cell>
          <cell r="AD29">
            <v>1.43</v>
          </cell>
          <cell r="AE29">
            <v>1.43</v>
          </cell>
          <cell r="AF29">
            <v>3.38</v>
          </cell>
          <cell r="AG29">
            <v>3.08</v>
          </cell>
          <cell r="AH29">
            <v>4.5</v>
          </cell>
          <cell r="AI29">
            <v>0.17699999999999999</v>
          </cell>
          <cell r="AJ29">
            <v>0.17699999999999999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3</v>
          </cell>
          <cell r="Q30">
            <v>1.45</v>
          </cell>
          <cell r="R30">
            <v>1.05</v>
          </cell>
          <cell r="S30">
            <v>4.92</v>
          </cell>
          <cell r="T30">
            <v>5.5670832466389939</v>
          </cell>
          <cell r="U30">
            <v>6.0310068505255767</v>
          </cell>
          <cell r="V30">
            <v>6.726892256355451</v>
          </cell>
          <cell r="W30">
            <v>6.9588540582987424</v>
          </cell>
          <cell r="X30">
            <v>7.6547394641286166</v>
          </cell>
          <cell r="Y30">
            <v>10.72</v>
          </cell>
          <cell r="Z30">
            <v>10.72</v>
          </cell>
          <cell r="AA30">
            <v>12.2</v>
          </cell>
          <cell r="AB30">
            <v>1.34</v>
          </cell>
          <cell r="AC30">
            <v>1.52</v>
          </cell>
          <cell r="AD30">
            <v>1.64</v>
          </cell>
          <cell r="AE30">
            <v>1.64</v>
          </cell>
          <cell r="AF30">
            <v>3.75</v>
          </cell>
          <cell r="AG30">
            <v>3.34</v>
          </cell>
          <cell r="AH30">
            <v>5</v>
          </cell>
          <cell r="AI30">
            <v>0.20230000000000001</v>
          </cell>
          <cell r="AJ30">
            <v>0.20230000000000001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3.5</v>
          </cell>
          <cell r="Q31">
            <v>1.65</v>
          </cell>
          <cell r="R31">
            <v>1.1100000000000001</v>
          </cell>
          <cell r="S31">
            <v>5.34</v>
          </cell>
          <cell r="T31">
            <v>6.2629686524688681</v>
          </cell>
          <cell r="U31">
            <v>6.726892256355451</v>
          </cell>
          <cell r="V31">
            <v>7.4227776621853252</v>
          </cell>
          <cell r="W31">
            <v>7.886701266071908</v>
          </cell>
          <cell r="X31">
            <v>8.5825866719017831</v>
          </cell>
          <cell r="Y31">
            <v>11.64</v>
          </cell>
          <cell r="Z31">
            <v>11.64</v>
          </cell>
          <cell r="AA31">
            <v>12.94</v>
          </cell>
          <cell r="AB31">
            <v>1.48</v>
          </cell>
          <cell r="AC31">
            <v>1.94</v>
          </cell>
          <cell r="AD31">
            <v>1.89</v>
          </cell>
          <cell r="AE31">
            <v>1.89</v>
          </cell>
          <cell r="AF31">
            <v>4.1900000000000004</v>
          </cell>
          <cell r="AG31">
            <v>3.77</v>
          </cell>
          <cell r="AH31">
            <v>5.5</v>
          </cell>
          <cell r="AI31">
            <v>0.2276</v>
          </cell>
          <cell r="AJ31">
            <v>0.2276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4</v>
          </cell>
          <cell r="Q32">
            <v>1.86</v>
          </cell>
          <cell r="R32">
            <v>1.17</v>
          </cell>
          <cell r="S32">
            <v>5.8</v>
          </cell>
          <cell r="T32">
            <v>6.9588540582987424</v>
          </cell>
          <cell r="U32">
            <v>7.4227776621853252</v>
          </cell>
          <cell r="V32">
            <v>8.1186630680152003</v>
          </cell>
          <cell r="W32">
            <v>8.8145484738450737</v>
          </cell>
          <cell r="X32">
            <v>9.510433879674947</v>
          </cell>
          <cell r="Y32">
            <v>12.34</v>
          </cell>
          <cell r="Z32">
            <v>12.34</v>
          </cell>
          <cell r="AA32">
            <v>13.64</v>
          </cell>
          <cell r="AB32">
            <v>1.64</v>
          </cell>
          <cell r="AC32">
            <v>2.2400000000000002</v>
          </cell>
          <cell r="AD32">
            <v>2.15</v>
          </cell>
          <cell r="AE32">
            <v>2.15</v>
          </cell>
          <cell r="AF32">
            <v>4.63</v>
          </cell>
          <cell r="AG32">
            <v>4.21</v>
          </cell>
          <cell r="AH32">
            <v>6</v>
          </cell>
          <cell r="AI32">
            <v>0.25290000000000001</v>
          </cell>
          <cell r="AJ32">
            <v>0.25290000000000001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4.5</v>
          </cell>
          <cell r="Q33">
            <v>2.06</v>
          </cell>
          <cell r="R33">
            <v>1.23</v>
          </cell>
          <cell r="S33">
            <v>6.22</v>
          </cell>
          <cell r="T33">
            <v>7.6547394641286166</v>
          </cell>
          <cell r="U33">
            <v>8.1186630680152003</v>
          </cell>
          <cell r="V33">
            <v>8.8145484738450737</v>
          </cell>
          <cell r="W33">
            <v>9.7423956816182393</v>
          </cell>
          <cell r="X33">
            <v>10.438281087448114</v>
          </cell>
          <cell r="Y33">
            <v>13.18</v>
          </cell>
          <cell r="Z33">
            <v>13.18</v>
          </cell>
          <cell r="AA33">
            <v>14.38</v>
          </cell>
          <cell r="AB33">
            <v>1.78</v>
          </cell>
          <cell r="AC33">
            <v>2.57</v>
          </cell>
          <cell r="AD33">
            <v>2.4300000000000002</v>
          </cell>
          <cell r="AE33">
            <v>2.4300000000000002</v>
          </cell>
          <cell r="AF33">
            <v>5.0599999999999996</v>
          </cell>
          <cell r="AG33">
            <v>4.67</v>
          </cell>
          <cell r="AH33">
            <v>6.5</v>
          </cell>
          <cell r="AI33">
            <v>0.2782</v>
          </cell>
          <cell r="AJ33">
            <v>0.2782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5</v>
          </cell>
          <cell r="Q34">
            <v>2.27</v>
          </cell>
          <cell r="R34">
            <v>1.28</v>
          </cell>
          <cell r="S34">
            <v>6.68</v>
          </cell>
          <cell r="T34">
            <v>8.3506248699584908</v>
          </cell>
          <cell r="U34">
            <v>8.8145484738450737</v>
          </cell>
          <cell r="V34">
            <v>9.510433879674947</v>
          </cell>
          <cell r="W34">
            <v>10.670242889391405</v>
          </cell>
          <cell r="X34">
            <v>11.36612829522128</v>
          </cell>
          <cell r="Y34">
            <v>13.92</v>
          </cell>
          <cell r="Z34">
            <v>13.92</v>
          </cell>
          <cell r="AA34">
            <v>15.08</v>
          </cell>
          <cell r="AB34">
            <v>1.96</v>
          </cell>
          <cell r="AC34">
            <v>2.92</v>
          </cell>
          <cell r="AD34">
            <v>2.69</v>
          </cell>
          <cell r="AE34">
            <v>2.69</v>
          </cell>
          <cell r="AF34">
            <v>5.52</v>
          </cell>
          <cell r="AG34">
            <v>5.0599999999999996</v>
          </cell>
          <cell r="AH34">
            <v>7</v>
          </cell>
          <cell r="AI34">
            <v>0.30349999999999999</v>
          </cell>
          <cell r="AJ34">
            <v>0.30349999999999999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5.4</v>
          </cell>
          <cell r="Q35">
            <v>2.62</v>
          </cell>
          <cell r="R35">
            <v>1.6</v>
          </cell>
          <cell r="S35">
            <v>7.38</v>
          </cell>
          <cell r="T35">
            <v>9.0465102757883642</v>
          </cell>
          <cell r="U35">
            <v>9.510433879674947</v>
          </cell>
          <cell r="V35">
            <v>10.206319285504822</v>
          </cell>
          <cell r="W35">
            <v>11.598090097164571</v>
          </cell>
          <cell r="X35">
            <v>12.293975502994444</v>
          </cell>
          <cell r="Y35">
            <v>15.08</v>
          </cell>
          <cell r="Z35">
            <v>15.08</v>
          </cell>
          <cell r="AA35">
            <v>18.559999999999999</v>
          </cell>
          <cell r="AB35">
            <v>2.57</v>
          </cell>
          <cell r="AC35">
            <v>3.04</v>
          </cell>
          <cell r="AD35">
            <v>3.27</v>
          </cell>
          <cell r="AE35">
            <v>3.27</v>
          </cell>
          <cell r="AF35">
            <v>6.9</v>
          </cell>
          <cell r="AG35">
            <v>5.75</v>
          </cell>
          <cell r="AH35">
            <v>7.5</v>
          </cell>
          <cell r="AI35">
            <v>0.32869999999999999</v>
          </cell>
          <cell r="AJ35">
            <v>0.32869999999999999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1766.7809999999999</v>
          </cell>
          <cell r="Q36">
            <v>4166.8</v>
          </cell>
          <cell r="R36">
            <v>3884</v>
          </cell>
          <cell r="S36">
            <v>4450.7</v>
          </cell>
          <cell r="T36">
            <v>3139.1483682629173</v>
          </cell>
          <cell r="U36">
            <v>3156.5880814199336</v>
          </cell>
          <cell r="V36">
            <v>3231.5788479951034</v>
          </cell>
          <cell r="W36">
            <v>3351.9128687785151</v>
          </cell>
          <cell r="X36">
            <v>3435.6234919321928</v>
          </cell>
          <cell r="Y36">
            <v>2902.2</v>
          </cell>
          <cell r="Z36">
            <v>2902.2</v>
          </cell>
          <cell r="AA36">
            <v>2954.7</v>
          </cell>
          <cell r="AB36">
            <v>4325</v>
          </cell>
          <cell r="AC36">
            <v>4429.7</v>
          </cell>
          <cell r="AD36">
            <v>4813.3</v>
          </cell>
          <cell r="AE36">
            <v>4813.3</v>
          </cell>
          <cell r="AF36">
            <v>3930.4</v>
          </cell>
          <cell r="AG36">
            <v>3826.1</v>
          </cell>
          <cell r="AH36">
            <v>5258.16</v>
          </cell>
          <cell r="AI36">
            <v>3953</v>
          </cell>
          <cell r="AJ36">
            <v>3953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1866.8430000000003</v>
          </cell>
          <cell r="Q37">
            <v>4278.8999999999996</v>
          </cell>
          <cell r="R37">
            <v>4578.3</v>
          </cell>
          <cell r="S37">
            <v>4829.7</v>
          </cell>
          <cell r="T37">
            <v>3339.7050695686039</v>
          </cell>
          <cell r="U37">
            <v>3456.5511477206119</v>
          </cell>
          <cell r="V37">
            <v>3632.6922506064761</v>
          </cell>
          <cell r="W37">
            <v>3613.508566133758</v>
          </cell>
          <cell r="X37">
            <v>3749.5383287584846</v>
          </cell>
          <cell r="Y37">
            <v>3346.9</v>
          </cell>
          <cell r="Z37">
            <v>3346.9</v>
          </cell>
          <cell r="AA37">
            <v>3400</v>
          </cell>
          <cell r="AB37">
            <v>4530.2</v>
          </cell>
          <cell r="AC37">
            <v>4767.6000000000004</v>
          </cell>
          <cell r="AD37">
            <v>4781.5</v>
          </cell>
          <cell r="AE37">
            <v>4781.5</v>
          </cell>
          <cell r="AF37">
            <v>4312.8</v>
          </cell>
          <cell r="AG37">
            <v>4289.5</v>
          </cell>
          <cell r="AH37">
            <v>5670.18</v>
          </cell>
          <cell r="AI37">
            <v>4089</v>
          </cell>
          <cell r="AJ37">
            <v>4089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1895.2919999999999</v>
          </cell>
          <cell r="Q38">
            <v>4185.1000000000004</v>
          </cell>
          <cell r="R38">
            <v>4475.3999999999996</v>
          </cell>
          <cell r="S38">
            <v>4654.5</v>
          </cell>
          <cell r="T38">
            <v>3409.4639221966686</v>
          </cell>
          <cell r="U38">
            <v>3487.9426314032416</v>
          </cell>
          <cell r="V38">
            <v>3669.3156482362101</v>
          </cell>
          <cell r="W38">
            <v>3721.634787707259</v>
          </cell>
          <cell r="X38">
            <v>3828.0170379650576</v>
          </cell>
          <cell r="Y38">
            <v>3137.5</v>
          </cell>
          <cell r="Z38">
            <v>3137.5</v>
          </cell>
          <cell r="AA38">
            <v>3017.8</v>
          </cell>
          <cell r="AB38">
            <v>4322.7</v>
          </cell>
          <cell r="AC38">
            <v>4689.5</v>
          </cell>
          <cell r="AD38">
            <v>4581.5</v>
          </cell>
          <cell r="AE38">
            <v>4581.5</v>
          </cell>
          <cell r="AF38">
            <v>4210</v>
          </cell>
          <cell r="AG38">
            <v>4149.1000000000004</v>
          </cell>
          <cell r="AH38">
            <v>6042.96</v>
          </cell>
          <cell r="AI38">
            <v>4058</v>
          </cell>
          <cell r="AJ38">
            <v>4058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1959.057</v>
          </cell>
          <cell r="Q39">
            <v>4089.7</v>
          </cell>
          <cell r="R39">
            <v>4445.8</v>
          </cell>
          <cell r="S39">
            <v>4569.8</v>
          </cell>
          <cell r="T39">
            <v>3453.0632050892091</v>
          </cell>
          <cell r="U39">
            <v>3510.6142585073626</v>
          </cell>
          <cell r="V39">
            <v>3679.7794761304199</v>
          </cell>
          <cell r="W39">
            <v>3787.9056977039199</v>
          </cell>
          <cell r="X39">
            <v>3861.1524929633883</v>
          </cell>
          <cell r="Y39">
            <v>3038.7</v>
          </cell>
          <cell r="Z39">
            <v>3038.7</v>
          </cell>
          <cell r="AA39">
            <v>2954.5</v>
          </cell>
          <cell r="AB39">
            <v>4232.7</v>
          </cell>
          <cell r="AC39">
            <v>4596</v>
          </cell>
          <cell r="AD39">
            <v>4503.5</v>
          </cell>
          <cell r="AE39">
            <v>4503.5</v>
          </cell>
          <cell r="AF39">
            <v>4151.5</v>
          </cell>
          <cell r="AG39">
            <v>4072.2</v>
          </cell>
          <cell r="AH39">
            <v>6317.64</v>
          </cell>
          <cell r="AI39">
            <v>3978</v>
          </cell>
          <cell r="AJ39">
            <v>3978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2010.0690000000002</v>
          </cell>
          <cell r="Q40">
            <v>3973.2</v>
          </cell>
          <cell r="R40">
            <v>4407.2</v>
          </cell>
          <cell r="S40">
            <v>4480.6000000000004</v>
          </cell>
          <cell r="T40">
            <v>3400.7440656181602</v>
          </cell>
          <cell r="U40">
            <v>3507.1263158759593</v>
          </cell>
          <cell r="V40">
            <v>3641.4121071849845</v>
          </cell>
          <cell r="W40">
            <v>3787.9056977039199</v>
          </cell>
          <cell r="X40">
            <v>3854.1766077005818</v>
          </cell>
          <cell r="Y40">
            <v>2901.1</v>
          </cell>
          <cell r="Z40">
            <v>2901.1</v>
          </cell>
          <cell r="AA40">
            <v>2886.3</v>
          </cell>
          <cell r="AB40">
            <v>4114.3</v>
          </cell>
          <cell r="AC40">
            <v>4444</v>
          </cell>
          <cell r="AD40">
            <v>4384.1000000000004</v>
          </cell>
          <cell r="AE40">
            <v>4384.1000000000004</v>
          </cell>
          <cell r="AF40">
            <v>4034.9</v>
          </cell>
          <cell r="AG40">
            <v>3967.4</v>
          </cell>
          <cell r="AH40">
            <v>6415.74</v>
          </cell>
          <cell r="AI40">
            <v>3863</v>
          </cell>
          <cell r="AJ40">
            <v>3863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2020.86</v>
          </cell>
          <cell r="Q41">
            <v>3820.1</v>
          </cell>
          <cell r="R41">
            <v>4345.3999999999996</v>
          </cell>
          <cell r="S41">
            <v>4382.7</v>
          </cell>
          <cell r="T41">
            <v>3238.5547332579094</v>
          </cell>
          <cell r="U41">
            <v>3400.7440656181602</v>
          </cell>
          <cell r="V41">
            <v>3524.5660290329756</v>
          </cell>
          <cell r="W41">
            <v>3732.0986156014683</v>
          </cell>
          <cell r="X41">
            <v>3798.3695255981302</v>
          </cell>
          <cell r="Y41">
            <v>2775.6</v>
          </cell>
          <cell r="Z41">
            <v>2775.6</v>
          </cell>
          <cell r="AA41">
            <v>2754.1</v>
          </cell>
          <cell r="AB41">
            <v>3996.4</v>
          </cell>
          <cell r="AC41">
            <v>4279.5</v>
          </cell>
          <cell r="AD41">
            <v>4272.2</v>
          </cell>
          <cell r="AE41">
            <v>4272.2</v>
          </cell>
          <cell r="AF41">
            <v>3879.4</v>
          </cell>
          <cell r="AG41">
            <v>3854.1</v>
          </cell>
          <cell r="AH41">
            <v>6327.45</v>
          </cell>
          <cell r="AI41">
            <v>3710</v>
          </cell>
          <cell r="AJ41">
            <v>3710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1944.3420000000001</v>
          </cell>
          <cell r="Q42">
            <v>3624.7</v>
          </cell>
          <cell r="R42">
            <v>4272.5</v>
          </cell>
          <cell r="S42">
            <v>4265.3999999999996</v>
          </cell>
          <cell r="T42">
            <v>3008.3505195852958</v>
          </cell>
          <cell r="U42">
            <v>3191.4675077339662</v>
          </cell>
          <cell r="V42">
            <v>3353.6568400942169</v>
          </cell>
          <cell r="W42">
            <v>3592.5809103453389</v>
          </cell>
          <cell r="X42">
            <v>3662.3397629734036</v>
          </cell>
          <cell r="Y42">
            <v>2582.1999999999998</v>
          </cell>
          <cell r="Z42">
            <v>2582.1999999999998</v>
          </cell>
          <cell r="AA42">
            <v>2620.8000000000002</v>
          </cell>
          <cell r="AB42">
            <v>3850.6</v>
          </cell>
          <cell r="AC42">
            <v>4084.2</v>
          </cell>
          <cell r="AD42">
            <v>4120.3999999999996</v>
          </cell>
          <cell r="AE42">
            <v>4120.3999999999996</v>
          </cell>
          <cell r="AF42">
            <v>3705.7</v>
          </cell>
          <cell r="AG42">
            <v>3719.4</v>
          </cell>
          <cell r="AH42">
            <v>6209.73</v>
          </cell>
          <cell r="AI42">
            <v>3509</v>
          </cell>
          <cell r="AJ42">
            <v>3509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1815.8310000000001</v>
          </cell>
          <cell r="Q43">
            <v>3375.5</v>
          </cell>
          <cell r="R43">
            <v>4187.5</v>
          </cell>
          <cell r="S43">
            <v>4145.2</v>
          </cell>
          <cell r="T43">
            <v>2741.5229082829478</v>
          </cell>
          <cell r="U43">
            <v>2950.7994661671419</v>
          </cell>
          <cell r="V43">
            <v>3161.8199953670387</v>
          </cell>
          <cell r="W43">
            <v>3400.7440656181602</v>
          </cell>
          <cell r="X43">
            <v>3484.4546887718384</v>
          </cell>
          <cell r="Y43">
            <v>2341.6999999999998</v>
          </cell>
          <cell r="Z43">
            <v>2341.6999999999998</v>
          </cell>
          <cell r="AA43">
            <v>2452.6</v>
          </cell>
          <cell r="AB43">
            <v>3696.2</v>
          </cell>
          <cell r="AC43">
            <v>3603.2</v>
          </cell>
          <cell r="AD43">
            <v>3901.4</v>
          </cell>
          <cell r="AE43">
            <v>3901.4</v>
          </cell>
          <cell r="AF43">
            <v>3469.7</v>
          </cell>
          <cell r="AG43">
            <v>3457.3</v>
          </cell>
          <cell r="AH43">
            <v>6042.96</v>
          </cell>
          <cell r="AI43">
            <v>3273</v>
          </cell>
          <cell r="AJ43">
            <v>3273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1665.7380000000003</v>
          </cell>
          <cell r="Q44">
            <v>3089.8</v>
          </cell>
          <cell r="R44">
            <v>4091</v>
          </cell>
          <cell r="S44">
            <v>3997.3</v>
          </cell>
          <cell r="T44">
            <v>2424.1201288252528</v>
          </cell>
          <cell r="U44">
            <v>2685.7158261804962</v>
          </cell>
          <cell r="V44">
            <v>2935.1037243258279</v>
          </cell>
          <cell r="W44">
            <v>3156.5880814199336</v>
          </cell>
          <cell r="X44">
            <v>3247.2745898364178</v>
          </cell>
          <cell r="Y44">
            <v>2137</v>
          </cell>
          <cell r="Z44">
            <v>2137</v>
          </cell>
          <cell r="AA44">
            <v>2273.6</v>
          </cell>
          <cell r="AB44">
            <v>3513.5</v>
          </cell>
          <cell r="AC44">
            <v>3221.4</v>
          </cell>
          <cell r="AD44">
            <v>3649.5</v>
          </cell>
          <cell r="AE44">
            <v>3649.5</v>
          </cell>
          <cell r="AF44">
            <v>3206.9</v>
          </cell>
          <cell r="AG44">
            <v>3164.2</v>
          </cell>
          <cell r="AH44">
            <v>5827.14</v>
          </cell>
          <cell r="AI44">
            <v>2953</v>
          </cell>
          <cell r="AJ44">
            <v>2953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1475.4240000000002</v>
          </cell>
          <cell r="Q45">
            <v>2735.7</v>
          </cell>
          <cell r="R45">
            <v>3974.8</v>
          </cell>
          <cell r="S45">
            <v>3858.3</v>
          </cell>
          <cell r="T45">
            <v>2066.6060091064205</v>
          </cell>
          <cell r="U45">
            <v>2397.9605590897286</v>
          </cell>
          <cell r="V45">
            <v>2682.2278835490929</v>
          </cell>
          <cell r="W45">
            <v>2856.6250151192548</v>
          </cell>
          <cell r="X45">
            <v>2964.7512366927554</v>
          </cell>
          <cell r="Y45">
            <v>1864.4</v>
          </cell>
          <cell r="Z45">
            <v>1864.4</v>
          </cell>
          <cell r="AA45">
            <v>2084.5</v>
          </cell>
          <cell r="AB45">
            <v>3335.8</v>
          </cell>
          <cell r="AC45">
            <v>2725</v>
          </cell>
          <cell r="AD45">
            <v>3339.7</v>
          </cell>
          <cell r="AE45">
            <v>3339.7</v>
          </cell>
          <cell r="AF45">
            <v>2896.6</v>
          </cell>
          <cell r="AG45">
            <v>2804.5</v>
          </cell>
          <cell r="AH45">
            <v>5562.27</v>
          </cell>
          <cell r="AI45">
            <v>2595</v>
          </cell>
          <cell r="AJ45">
            <v>2595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1230.1740000000002</v>
          </cell>
          <cell r="Q46">
            <v>2370</v>
          </cell>
          <cell r="R46">
            <v>3876.7</v>
          </cell>
          <cell r="S46">
            <v>3688</v>
          </cell>
          <cell r="T46">
            <v>1656.7727499165396</v>
          </cell>
          <cell r="U46">
            <v>2092.7655788419447</v>
          </cell>
          <cell r="V46">
            <v>2413.656300931043</v>
          </cell>
          <cell r="W46">
            <v>2495.6229527690193</v>
          </cell>
          <cell r="X46">
            <v>2631.6527153937459</v>
          </cell>
          <cell r="Y46">
            <v>1607</v>
          </cell>
          <cell r="Z46">
            <v>1607</v>
          </cell>
          <cell r="AA46">
            <v>1882.7</v>
          </cell>
          <cell r="AB46">
            <v>3088.9</v>
          </cell>
          <cell r="AC46">
            <v>2041</v>
          </cell>
          <cell r="AD46">
            <v>2999.1</v>
          </cell>
          <cell r="AE46">
            <v>2999.1</v>
          </cell>
          <cell r="AF46">
            <v>2560.4</v>
          </cell>
          <cell r="AG46">
            <v>2463.6</v>
          </cell>
          <cell r="AH46">
            <v>5267.97</v>
          </cell>
          <cell r="AI46">
            <v>2189</v>
          </cell>
          <cell r="AJ46">
            <v>2189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1010.43</v>
          </cell>
          <cell r="Q47">
            <v>1804.3</v>
          </cell>
          <cell r="R47">
            <v>3426.9</v>
          </cell>
          <cell r="S47">
            <v>4396.8999999999996</v>
          </cell>
          <cell r="T47">
            <v>1220.7799209911345</v>
          </cell>
          <cell r="U47">
            <v>1749.2032296487255</v>
          </cell>
          <cell r="V47">
            <v>2115.4372059460661</v>
          </cell>
          <cell r="W47">
            <v>2097.9974927890498</v>
          </cell>
          <cell r="X47">
            <v>2249.7229972550908</v>
          </cell>
          <cell r="Y47">
            <v>1236.4000000000001</v>
          </cell>
          <cell r="Z47">
            <v>1236.4000000000001</v>
          </cell>
          <cell r="AA47">
            <v>1334.8</v>
          </cell>
          <cell r="AB47">
            <v>3380.7</v>
          </cell>
          <cell r="AC47">
            <v>1522.3</v>
          </cell>
          <cell r="AD47">
            <v>2016</v>
          </cell>
          <cell r="AE47">
            <v>2016</v>
          </cell>
          <cell r="AF47">
            <v>2237.6</v>
          </cell>
          <cell r="AG47">
            <v>2308</v>
          </cell>
          <cell r="AH47">
            <v>4905</v>
          </cell>
          <cell r="AI47">
            <v>1727</v>
          </cell>
          <cell r="AJ47">
            <v>1727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1766.7809999999999</v>
          </cell>
          <cell r="Q48">
            <v>4166.8</v>
          </cell>
          <cell r="R48">
            <v>3884</v>
          </cell>
          <cell r="S48">
            <v>4450.7</v>
          </cell>
          <cell r="T48">
            <v>3139.1483682629173</v>
          </cell>
          <cell r="U48">
            <v>3156.5880814199336</v>
          </cell>
          <cell r="V48">
            <v>3231.5788479951034</v>
          </cell>
          <cell r="W48">
            <v>3351.9128687785151</v>
          </cell>
          <cell r="X48">
            <v>3435.6234919321928</v>
          </cell>
          <cell r="Y48">
            <v>2902.2</v>
          </cell>
          <cell r="Z48">
            <v>2902.2</v>
          </cell>
          <cell r="AA48">
            <v>2954.7</v>
          </cell>
          <cell r="AB48">
            <v>4325</v>
          </cell>
          <cell r="AC48">
            <v>4429.7</v>
          </cell>
          <cell r="AD48">
            <v>4813.3</v>
          </cell>
          <cell r="AE48">
            <v>4813.3</v>
          </cell>
          <cell r="AF48">
            <v>3930.4</v>
          </cell>
          <cell r="AG48">
            <v>3826.1</v>
          </cell>
          <cell r="AH48">
            <v>5258.16</v>
          </cell>
          <cell r="AI48">
            <v>3953</v>
          </cell>
          <cell r="AJ48">
            <v>3953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1863.9</v>
          </cell>
          <cell r="Q49">
            <v>4268.3999999999996</v>
          </cell>
          <cell r="R49">
            <v>4507.1000000000004</v>
          </cell>
          <cell r="S49">
            <v>4762</v>
          </cell>
          <cell r="T49">
            <v>3319.6684168767215</v>
          </cell>
          <cell r="U49">
            <v>3426.6198517240964</v>
          </cell>
          <cell r="V49">
            <v>3590.9805410955937</v>
          </cell>
          <cell r="W49">
            <v>3597.2738044866751</v>
          </cell>
          <cell r="X49">
            <v>3722.1015815749147</v>
          </cell>
          <cell r="Y49">
            <v>3304.3</v>
          </cell>
          <cell r="Z49">
            <v>3304.3</v>
          </cell>
          <cell r="AA49">
            <v>3339.3</v>
          </cell>
          <cell r="AB49">
            <v>4499.3999999999996</v>
          </cell>
          <cell r="AC49">
            <v>4729.6000000000004</v>
          </cell>
          <cell r="AD49">
            <v>4743.6000000000004</v>
          </cell>
          <cell r="AE49">
            <v>4743.6000000000004</v>
          </cell>
          <cell r="AF49">
            <v>4269.3999999999996</v>
          </cell>
          <cell r="AG49">
            <v>4252.2</v>
          </cell>
          <cell r="AH49">
            <v>5655.1047178095614</v>
          </cell>
          <cell r="AI49">
            <v>4082</v>
          </cell>
          <cell r="AJ49">
            <v>4082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1883.52</v>
          </cell>
          <cell r="Q50">
            <v>4146.5</v>
          </cell>
          <cell r="R50">
            <v>4382.5</v>
          </cell>
          <cell r="S50">
            <v>4473.8</v>
          </cell>
          <cell r="T50">
            <v>3373.8432062999887</v>
          </cell>
          <cell r="U50">
            <v>3439.4588792105387</v>
          </cell>
          <cell r="V50">
            <v>3607.8121581921027</v>
          </cell>
          <cell r="W50">
            <v>3689.8146548789759</v>
          </cell>
          <cell r="X50">
            <v>3781.0985768049882</v>
          </cell>
          <cell r="Y50">
            <v>3007.1</v>
          </cell>
          <cell r="Z50">
            <v>3007.1</v>
          </cell>
          <cell r="AA50">
            <v>2874.2</v>
          </cell>
          <cell r="AB50">
            <v>4206.3999999999996</v>
          </cell>
          <cell r="AC50">
            <v>4604.1000000000004</v>
          </cell>
          <cell r="AD50">
            <v>4429.7</v>
          </cell>
          <cell r="AE50">
            <v>4429.7</v>
          </cell>
          <cell r="AF50">
            <v>4121.7</v>
          </cell>
          <cell r="AG50">
            <v>4060.9</v>
          </cell>
          <cell r="AH50">
            <v>5982.6588712382463</v>
          </cell>
          <cell r="AI50">
            <v>4030</v>
          </cell>
          <cell r="AJ50">
            <v>4030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1932.57</v>
          </cell>
          <cell r="Q51">
            <v>4032.7</v>
          </cell>
          <cell r="R51">
            <v>4341</v>
          </cell>
          <cell r="S51">
            <v>4337.7</v>
          </cell>
          <cell r="T51">
            <v>3397.4058365006472</v>
          </cell>
          <cell r="U51">
            <v>3439.1254606313878</v>
          </cell>
          <cell r="V51">
            <v>3594.6535383531086</v>
          </cell>
          <cell r="W51">
            <v>3735.3050699673713</v>
          </cell>
          <cell r="X51">
            <v>3789.5571940997529</v>
          </cell>
          <cell r="Y51">
            <v>2888.2</v>
          </cell>
          <cell r="Z51">
            <v>2888.2</v>
          </cell>
          <cell r="AA51">
            <v>2788.6</v>
          </cell>
          <cell r="AB51">
            <v>4080.9</v>
          </cell>
          <cell r="AC51">
            <v>4459</v>
          </cell>
          <cell r="AD51">
            <v>4302.7</v>
          </cell>
          <cell r="AE51">
            <v>4302.7</v>
          </cell>
          <cell r="AF51">
            <v>4034.8</v>
          </cell>
          <cell r="AG51">
            <v>3963.5</v>
          </cell>
          <cell r="AH51">
            <v>6181.962460286054</v>
          </cell>
          <cell r="AI51">
            <v>3936</v>
          </cell>
          <cell r="AJ51">
            <v>3936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1962</v>
          </cell>
          <cell r="Q52">
            <v>3892.4</v>
          </cell>
          <cell r="R52">
            <v>4287</v>
          </cell>
          <cell r="S52">
            <v>4185.5</v>
          </cell>
          <cell r="T52">
            <v>3320.5974548506315</v>
          </cell>
          <cell r="U52">
            <v>3408.1798828296269</v>
          </cell>
          <cell r="V52">
            <v>3528.8330544744908</v>
          </cell>
          <cell r="W52">
            <v>3709.3294513320388</v>
          </cell>
          <cell r="X52">
            <v>3752.7093474063136</v>
          </cell>
          <cell r="Y52">
            <v>2725.6</v>
          </cell>
          <cell r="Z52">
            <v>2725.6</v>
          </cell>
          <cell r="AA52">
            <v>2694.8</v>
          </cell>
          <cell r="AB52">
            <v>3913.5</v>
          </cell>
          <cell r="AC52">
            <v>4234.3</v>
          </cell>
          <cell r="AD52">
            <v>4107.3999999999996</v>
          </cell>
          <cell r="AE52">
            <v>4107.3999999999996</v>
          </cell>
          <cell r="AF52">
            <v>3883.5</v>
          </cell>
          <cell r="AG52">
            <v>3833.9</v>
          </cell>
          <cell r="AH52">
            <v>6174.5354849529849</v>
          </cell>
          <cell r="AI52">
            <v>3804</v>
          </cell>
          <cell r="AJ52">
            <v>3804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1946.3040000000001</v>
          </cell>
          <cell r="Q53">
            <v>3711.5</v>
          </cell>
          <cell r="R53">
            <v>4206</v>
          </cell>
          <cell r="S53">
            <v>4017.2</v>
          </cell>
          <cell r="T53">
            <v>3129.4662908243281</v>
          </cell>
          <cell r="U53">
            <v>3269.8874079143861</v>
          </cell>
          <cell r="V53">
            <v>3380.7031941893206</v>
          </cell>
          <cell r="W53">
            <v>3622.3516268671883</v>
          </cell>
          <cell r="X53">
            <v>3661.8351801461631</v>
          </cell>
          <cell r="Y53">
            <v>2578.8000000000002</v>
          </cell>
          <cell r="Z53">
            <v>2578.8000000000002</v>
          </cell>
          <cell r="AA53">
            <v>2535.6999999999998</v>
          </cell>
          <cell r="AB53">
            <v>3744.6</v>
          </cell>
          <cell r="AC53">
            <v>3981.8</v>
          </cell>
          <cell r="AD53">
            <v>3919</v>
          </cell>
          <cell r="AE53">
            <v>3919</v>
          </cell>
          <cell r="AF53">
            <v>3688.7</v>
          </cell>
          <cell r="AG53">
            <v>3695.7</v>
          </cell>
          <cell r="AH53">
            <v>6022.1755356436206</v>
          </cell>
          <cell r="AI53">
            <v>3630</v>
          </cell>
          <cell r="AJ53">
            <v>3630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1836.432</v>
          </cell>
          <cell r="Q54">
            <v>3481.8</v>
          </cell>
          <cell r="R54">
            <v>4112.5</v>
          </cell>
          <cell r="S54">
            <v>3828.1</v>
          </cell>
          <cell r="T54">
            <v>2865.8676559985774</v>
          </cell>
          <cell r="U54">
            <v>3024.2480358856646</v>
          </cell>
          <cell r="V54">
            <v>3174.6795559174211</v>
          </cell>
          <cell r="W54">
            <v>3446.4680555215928</v>
          </cell>
          <cell r="X54">
            <v>3485.5432086366714</v>
          </cell>
          <cell r="Y54">
            <v>2355</v>
          </cell>
          <cell r="Z54">
            <v>2355</v>
          </cell>
          <cell r="AA54">
            <v>2372.5</v>
          </cell>
          <cell r="AB54">
            <v>3536.8</v>
          </cell>
          <cell r="AC54">
            <v>3683.3</v>
          </cell>
          <cell r="AD54">
            <v>3655.4</v>
          </cell>
          <cell r="AE54">
            <v>3655.4</v>
          </cell>
          <cell r="AF54">
            <v>3471.3</v>
          </cell>
          <cell r="AG54">
            <v>3533.9</v>
          </cell>
          <cell r="AH54">
            <v>5832.8479452390375</v>
          </cell>
          <cell r="AI54">
            <v>3405</v>
          </cell>
          <cell r="AJ54">
            <v>3405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1669.662</v>
          </cell>
          <cell r="Q55">
            <v>3191.2</v>
          </cell>
          <cell r="R55">
            <v>4008.6</v>
          </cell>
          <cell r="S55">
            <v>3629.8</v>
          </cell>
          <cell r="T55">
            <v>2561.1930340560075</v>
          </cell>
          <cell r="U55">
            <v>2742.764590687229</v>
          </cell>
          <cell r="V55">
            <v>2943.8975946571227</v>
          </cell>
          <cell r="W55">
            <v>3213.0702209778829</v>
          </cell>
          <cell r="X55">
            <v>3262.2008018232741</v>
          </cell>
          <cell r="Y55">
            <v>2073.5</v>
          </cell>
          <cell r="Z55">
            <v>2073.5</v>
          </cell>
          <cell r="AA55">
            <v>2173.1999999999998</v>
          </cell>
          <cell r="AB55">
            <v>3313.5</v>
          </cell>
          <cell r="AC55">
            <v>2949.4</v>
          </cell>
          <cell r="AD55">
            <v>3278.7</v>
          </cell>
          <cell r="AE55">
            <v>3278.7</v>
          </cell>
          <cell r="AF55">
            <v>3177.4</v>
          </cell>
          <cell r="AG55">
            <v>3220</v>
          </cell>
          <cell r="AH55">
            <v>5586.9327137392356</v>
          </cell>
          <cell r="AI55">
            <v>3141</v>
          </cell>
          <cell r="AJ55">
            <v>3141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1474.4430000000002</v>
          </cell>
          <cell r="Q56">
            <v>2855.8</v>
          </cell>
          <cell r="R56">
            <v>3892.3</v>
          </cell>
          <cell r="S56">
            <v>3389.9</v>
          </cell>
          <cell r="T56">
            <v>2201.4906544710057</v>
          </cell>
          <cell r="U56">
            <v>2432.4129575818856</v>
          </cell>
          <cell r="V56">
            <v>2674.4055398828136</v>
          </cell>
          <cell r="W56">
            <v>2922.1581232360568</v>
          </cell>
          <cell r="X56">
            <v>2974.3682465489546</v>
          </cell>
          <cell r="Y56">
            <v>1835.7</v>
          </cell>
          <cell r="Z56">
            <v>1835.7</v>
          </cell>
          <cell r="AA56">
            <v>1963.4</v>
          </cell>
          <cell r="AB56">
            <v>3048.5</v>
          </cell>
          <cell r="AC56">
            <v>2346.6999999999998</v>
          </cell>
          <cell r="AD56">
            <v>2846.2</v>
          </cell>
          <cell r="AE56">
            <v>2846.2</v>
          </cell>
          <cell r="AF56">
            <v>2805.4</v>
          </cell>
          <cell r="AG56">
            <v>2868.7</v>
          </cell>
          <cell r="AH56">
            <v>5284.4298411442142</v>
          </cell>
          <cell r="AI56">
            <v>2793</v>
          </cell>
          <cell r="AJ56">
            <v>2793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1234.098</v>
          </cell>
          <cell r="Q57">
            <v>2449.3000000000002</v>
          </cell>
          <cell r="R57">
            <v>3755.3</v>
          </cell>
          <cell r="S57">
            <v>3159.3</v>
          </cell>
          <cell r="T57">
            <v>1797.2243451377813</v>
          </cell>
          <cell r="U57">
            <v>2094.937107885336</v>
          </cell>
          <cell r="V57">
            <v>2374.923248173001</v>
          </cell>
          <cell r="W57">
            <v>2570.2438196647131</v>
          </cell>
          <cell r="X57">
            <v>2635.9973133393273</v>
          </cell>
          <cell r="Y57">
            <v>1521</v>
          </cell>
          <cell r="Z57">
            <v>1521</v>
          </cell>
          <cell r="AA57">
            <v>1739.6</v>
          </cell>
          <cell r="AB57">
            <v>2787.6</v>
          </cell>
          <cell r="AC57">
            <v>1576.5</v>
          </cell>
          <cell r="AD57">
            <v>2323.1999999999998</v>
          </cell>
          <cell r="AE57">
            <v>2323.1999999999998</v>
          </cell>
          <cell r="AF57">
            <v>2469.6</v>
          </cell>
          <cell r="AG57">
            <v>2440.9</v>
          </cell>
          <cell r="AH57">
            <v>4925.3393274539731</v>
          </cell>
          <cell r="AI57">
            <v>2414</v>
          </cell>
          <cell r="AJ57">
            <v>2414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931.95</v>
          </cell>
          <cell r="Q58">
            <v>2022.4</v>
          </cell>
          <cell r="R58">
            <v>3638.9</v>
          </cell>
          <cell r="S58">
            <v>2882.6</v>
          </cell>
          <cell r="T58">
            <v>1336.1863068464233</v>
          </cell>
          <cell r="U58">
            <v>1735.5689555446857</v>
          </cell>
          <cell r="V58">
            <v>2055.9145474218949</v>
          </cell>
          <cell r="W58">
            <v>2152.0953963167458</v>
          </cell>
          <cell r="X58">
            <v>2241.8560882472862</v>
          </cell>
          <cell r="Y58">
            <v>1223.8</v>
          </cell>
          <cell r="Z58">
            <v>1223.8</v>
          </cell>
          <cell r="AA58">
            <v>1503.6</v>
          </cell>
          <cell r="AB58">
            <v>2419.1999999999998</v>
          </cell>
          <cell r="AC58">
            <v>558.1</v>
          </cell>
          <cell r="AD58">
            <v>1744</v>
          </cell>
          <cell r="AE58">
            <v>1744</v>
          </cell>
          <cell r="AF58">
            <v>2052.1999999999998</v>
          </cell>
          <cell r="AG58">
            <v>2036.5</v>
          </cell>
          <cell r="AH58">
            <v>4529.281172668514</v>
          </cell>
          <cell r="AI58">
            <v>1956</v>
          </cell>
          <cell r="AJ58">
            <v>1956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662.17499999999995</v>
          </cell>
          <cell r="Q59">
            <v>1341.5</v>
          </cell>
          <cell r="R59">
            <v>3055.3</v>
          </cell>
          <cell r="S59">
            <v>3413</v>
          </cell>
          <cell r="T59">
            <v>844.53610933245636</v>
          </cell>
          <cell r="U59">
            <v>1333.3808447715146</v>
          </cell>
          <cell r="V59">
            <v>1703.4276671038817</v>
          </cell>
          <cell r="W59">
            <v>1692.1284516119781</v>
          </cell>
          <cell r="X59">
            <v>1793.6885425885332</v>
          </cell>
          <cell r="Y59">
            <v>786.7</v>
          </cell>
          <cell r="Z59">
            <v>786.7</v>
          </cell>
          <cell r="AA59">
            <v>760.5</v>
          </cell>
          <cell r="AB59">
            <v>2232.3000000000002</v>
          </cell>
          <cell r="AC59">
            <v>0</v>
          </cell>
          <cell r="AD59">
            <v>154.77000000000001</v>
          </cell>
          <cell r="AE59">
            <v>154.77000000000001</v>
          </cell>
          <cell r="AF59">
            <v>1443.5</v>
          </cell>
          <cell r="AG59">
            <v>1756.5</v>
          </cell>
          <cell r="AH59">
            <v>4057.0153767878346</v>
          </cell>
          <cell r="AI59">
            <v>1452</v>
          </cell>
          <cell r="AJ59">
            <v>1452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1.7822227610000001</v>
          </cell>
          <cell r="Q60">
            <v>1.7</v>
          </cell>
          <cell r="R60">
            <v>1.3</v>
          </cell>
          <cell r="S60">
            <v>11.6</v>
          </cell>
          <cell r="T60">
            <v>6.304308803103515</v>
          </cell>
          <cell r="U60">
            <v>6.8195648110494753</v>
          </cell>
          <cell r="V60">
            <v>7.9410043577553893</v>
          </cell>
          <cell r="W60">
            <v>8.5168787195773437</v>
          </cell>
          <cell r="X60">
            <v>10.002028389539229</v>
          </cell>
          <cell r="Y60">
            <v>10.6</v>
          </cell>
          <cell r="Z60">
            <v>10.6</v>
          </cell>
          <cell r="AA60">
            <v>12.2</v>
          </cell>
          <cell r="AB60">
            <v>3.4</v>
          </cell>
          <cell r="AC60">
            <v>3.4</v>
          </cell>
          <cell r="AD60">
            <v>5</v>
          </cell>
          <cell r="AE60">
            <v>5</v>
          </cell>
          <cell r="AF60">
            <v>3</v>
          </cell>
          <cell r="AG60">
            <v>3</v>
          </cell>
          <cell r="AH60">
            <v>8.5259999999999998</v>
          </cell>
          <cell r="AI60">
            <v>0.44</v>
          </cell>
          <cell r="AJ60">
            <v>0.44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2.8933156119999999</v>
          </cell>
          <cell r="Q61">
            <v>3.3</v>
          </cell>
          <cell r="R61">
            <v>4.5</v>
          </cell>
          <cell r="S61">
            <v>18.2</v>
          </cell>
          <cell r="T61">
            <v>12.972327729463002</v>
          </cell>
          <cell r="U61">
            <v>15.397061884502815</v>
          </cell>
          <cell r="V61">
            <v>18.670452993806563</v>
          </cell>
          <cell r="W61">
            <v>17.033757439154687</v>
          </cell>
          <cell r="X61">
            <v>20.216221017644443</v>
          </cell>
          <cell r="Y61">
            <v>24.3</v>
          </cell>
          <cell r="Z61">
            <v>24.3</v>
          </cell>
          <cell r="AA61">
            <v>28.6</v>
          </cell>
          <cell r="AB61">
            <v>5</v>
          </cell>
          <cell r="AC61">
            <v>5.6</v>
          </cell>
          <cell r="AD61">
            <v>7.1</v>
          </cell>
          <cell r="AE61">
            <v>7.1</v>
          </cell>
          <cell r="AF61">
            <v>9.6</v>
          </cell>
          <cell r="AG61">
            <v>9</v>
          </cell>
          <cell r="AH61">
            <v>15.288</v>
          </cell>
          <cell r="AI61">
            <v>0.74</v>
          </cell>
          <cell r="AJ61">
            <v>0.74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3.87763948</v>
          </cell>
          <cell r="Q62">
            <v>4.5999999999999996</v>
          </cell>
          <cell r="R62">
            <v>4.9000000000000004</v>
          </cell>
          <cell r="S62">
            <v>24.5</v>
          </cell>
          <cell r="T62">
            <v>15.003042584308846</v>
          </cell>
          <cell r="U62">
            <v>17.154994146906681</v>
          </cell>
          <cell r="V62">
            <v>20.579931140900417</v>
          </cell>
          <cell r="W62">
            <v>20.155602663768448</v>
          </cell>
          <cell r="X62">
            <v>23.125902003692218</v>
          </cell>
          <cell r="Y62">
            <v>29.9</v>
          </cell>
          <cell r="Z62">
            <v>29.9</v>
          </cell>
          <cell r="AA62">
            <v>33.799999999999997</v>
          </cell>
          <cell r="AB62">
            <v>6.7</v>
          </cell>
          <cell r="AC62">
            <v>6.6</v>
          </cell>
          <cell r="AD62">
            <v>9.3000000000000007</v>
          </cell>
          <cell r="AE62">
            <v>9.3000000000000007</v>
          </cell>
          <cell r="AF62">
            <v>12</v>
          </cell>
          <cell r="AG62">
            <v>11.9</v>
          </cell>
          <cell r="AH62">
            <v>22.1235</v>
          </cell>
          <cell r="AI62">
            <v>1.02</v>
          </cell>
          <cell r="AJ62">
            <v>1.02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4.8321353519999999</v>
          </cell>
          <cell r="Q63">
            <v>5.2</v>
          </cell>
          <cell r="R63">
            <v>5.2</v>
          </cell>
          <cell r="S63">
            <v>26.2</v>
          </cell>
          <cell r="T63">
            <v>16.899999999999999</v>
          </cell>
          <cell r="U63">
            <v>18.943235586248541</v>
          </cell>
          <cell r="V63">
            <v>22.368172580242277</v>
          </cell>
          <cell r="W63">
            <v>23.034974472878226</v>
          </cell>
          <cell r="X63">
            <v>25.944655458926004</v>
          </cell>
          <cell r="Y63">
            <v>30.4</v>
          </cell>
          <cell r="Z63">
            <v>30.4</v>
          </cell>
          <cell r="AA63">
            <v>34.700000000000003</v>
          </cell>
          <cell r="AB63">
            <v>7.2</v>
          </cell>
          <cell r="AC63">
            <v>7.5</v>
          </cell>
          <cell r="AD63">
            <v>9.9</v>
          </cell>
          <cell r="AE63">
            <v>9.9</v>
          </cell>
          <cell r="AF63">
            <v>13.1</v>
          </cell>
          <cell r="AG63">
            <v>12.7</v>
          </cell>
          <cell r="AH63">
            <v>29.106000000000002</v>
          </cell>
          <cell r="AI63">
            <v>1.1499999999999999</v>
          </cell>
          <cell r="AJ63">
            <v>1.1499999999999999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5.6971472359999993</v>
          </cell>
          <cell r="Q64">
            <v>5.7</v>
          </cell>
          <cell r="R64">
            <v>5.4</v>
          </cell>
          <cell r="S64">
            <v>28.2</v>
          </cell>
          <cell r="T64">
            <v>18.337052047488587</v>
          </cell>
          <cell r="U64">
            <v>20.428385256210429</v>
          </cell>
          <cell r="V64">
            <v>23.823013073266168</v>
          </cell>
          <cell r="W64">
            <v>25.45970862791804</v>
          </cell>
          <cell r="X64">
            <v>28.339080437027818</v>
          </cell>
          <cell r="Y64">
            <v>30.9</v>
          </cell>
          <cell r="Z64">
            <v>30.9</v>
          </cell>
          <cell r="AA64">
            <v>35.200000000000003</v>
          </cell>
          <cell r="AB64">
            <v>7.9</v>
          </cell>
          <cell r="AC64">
            <v>8.5</v>
          </cell>
          <cell r="AD64">
            <v>10.9</v>
          </cell>
          <cell r="AE64">
            <v>10.9</v>
          </cell>
          <cell r="AF64">
            <v>14.1</v>
          </cell>
          <cell r="AG64">
            <v>13.5</v>
          </cell>
          <cell r="AH64">
            <v>35.794499999999999</v>
          </cell>
          <cell r="AI64">
            <v>1.26</v>
          </cell>
          <cell r="AJ64">
            <v>1.26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6.5472451219999996</v>
          </cell>
          <cell r="Q65">
            <v>6.3</v>
          </cell>
          <cell r="R65">
            <v>5.7</v>
          </cell>
          <cell r="S65">
            <v>30.3</v>
          </cell>
          <cell r="T65">
            <v>19.276636532566517</v>
          </cell>
          <cell r="U65">
            <v>21.640752333730333</v>
          </cell>
          <cell r="V65">
            <v>24.944452619972079</v>
          </cell>
          <cell r="W65">
            <v>27.520732659701881</v>
          </cell>
          <cell r="X65">
            <v>30.551650353501646</v>
          </cell>
          <cell r="Y65">
            <v>31.2</v>
          </cell>
          <cell r="Z65">
            <v>31.2</v>
          </cell>
          <cell r="AA65">
            <v>35.700000000000003</v>
          </cell>
          <cell r="AB65">
            <v>8.4</v>
          </cell>
          <cell r="AC65">
            <v>9.5</v>
          </cell>
          <cell r="AD65">
            <v>11.7</v>
          </cell>
          <cell r="AE65">
            <v>11.7</v>
          </cell>
          <cell r="AF65">
            <v>15</v>
          </cell>
          <cell r="AG65">
            <v>14.1</v>
          </cell>
          <cell r="AH65">
            <v>38.808</v>
          </cell>
          <cell r="AI65">
            <v>1.38</v>
          </cell>
          <cell r="AJ65">
            <v>1.38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7.1885470360000001</v>
          </cell>
          <cell r="Q66">
            <v>6.8</v>
          </cell>
          <cell r="R66">
            <v>6</v>
          </cell>
          <cell r="S66">
            <v>32.200000000000003</v>
          </cell>
          <cell r="T66">
            <v>19.85251089438847</v>
          </cell>
          <cell r="U66">
            <v>22.368172580242277</v>
          </cell>
          <cell r="V66">
            <v>25.884037105050005</v>
          </cell>
          <cell r="W66">
            <v>29.157428214353754</v>
          </cell>
          <cell r="X66">
            <v>32.70360191609948</v>
          </cell>
          <cell r="Y66">
            <v>31.4</v>
          </cell>
          <cell r="Z66">
            <v>31.4</v>
          </cell>
          <cell r="AA66">
            <v>35.9</v>
          </cell>
          <cell r="AB66">
            <v>9.1</v>
          </cell>
          <cell r="AC66">
            <v>10.5</v>
          </cell>
          <cell r="AD66">
            <v>12.8</v>
          </cell>
          <cell r="AE66">
            <v>12.8</v>
          </cell>
          <cell r="AF66">
            <v>15.9</v>
          </cell>
          <cell r="AG66">
            <v>14.8</v>
          </cell>
          <cell r="AH66">
            <v>41.968499999999999</v>
          </cell>
          <cell r="AI66">
            <v>1.49</v>
          </cell>
          <cell r="AJ66">
            <v>1.49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7.606138979999999</v>
          </cell>
          <cell r="Q67">
            <v>7.3</v>
          </cell>
          <cell r="R67">
            <v>6.3</v>
          </cell>
          <cell r="S67">
            <v>33.9</v>
          </cell>
          <cell r="T67">
            <v>20.064675132954456</v>
          </cell>
          <cell r="U67">
            <v>22.883428588188238</v>
          </cell>
          <cell r="V67">
            <v>26.732694059313943</v>
          </cell>
          <cell r="W67">
            <v>30.551650353501646</v>
          </cell>
          <cell r="X67">
            <v>34.552461709317342</v>
          </cell>
          <cell r="Y67">
            <v>31</v>
          </cell>
          <cell r="Z67">
            <v>31</v>
          </cell>
          <cell r="AA67">
            <v>35.9</v>
          </cell>
          <cell r="AB67">
            <v>9.6999999999999993</v>
          </cell>
          <cell r="AC67">
            <v>12.5</v>
          </cell>
          <cell r="AD67">
            <v>14.2</v>
          </cell>
          <cell r="AE67">
            <v>14.2</v>
          </cell>
          <cell r="AF67">
            <v>16.8</v>
          </cell>
          <cell r="AG67">
            <v>15.6</v>
          </cell>
          <cell r="AH67">
            <v>45.055499999999995</v>
          </cell>
          <cell r="AI67">
            <v>1.6</v>
          </cell>
          <cell r="AJ67">
            <v>1.6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7.9342469360000001</v>
          </cell>
          <cell r="Q68">
            <v>7.7</v>
          </cell>
          <cell r="R68">
            <v>6.5</v>
          </cell>
          <cell r="S68">
            <v>36</v>
          </cell>
          <cell r="T68">
            <v>20.004056779078457</v>
          </cell>
          <cell r="U68">
            <v>23.034974472878226</v>
          </cell>
          <cell r="V68">
            <v>27.36918677501189</v>
          </cell>
          <cell r="W68">
            <v>31.612471546331566</v>
          </cell>
          <cell r="X68">
            <v>35.946683848465227</v>
          </cell>
          <cell r="Y68">
            <v>30.4</v>
          </cell>
          <cell r="Z68">
            <v>30.4</v>
          </cell>
          <cell r="AA68">
            <v>35.4</v>
          </cell>
          <cell r="AB68">
            <v>10.4</v>
          </cell>
          <cell r="AC68">
            <v>14</v>
          </cell>
          <cell r="AD68">
            <v>15.6</v>
          </cell>
          <cell r="AE68">
            <v>15.6</v>
          </cell>
          <cell r="AF68">
            <v>17.399999999999999</v>
          </cell>
          <cell r="AG68">
            <v>16.399999999999999</v>
          </cell>
          <cell r="AH68">
            <v>48.436500000000002</v>
          </cell>
          <cell r="AI68">
            <v>1.7</v>
          </cell>
          <cell r="AJ68">
            <v>1.7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8.0311879229999992</v>
          </cell>
          <cell r="Q69">
            <v>8</v>
          </cell>
          <cell r="R69">
            <v>6.7</v>
          </cell>
          <cell r="S69">
            <v>37.9</v>
          </cell>
          <cell r="T69">
            <v>19.61003747888449</v>
          </cell>
          <cell r="U69">
            <v>23.034974472878226</v>
          </cell>
          <cell r="V69">
            <v>27.854133606019854</v>
          </cell>
          <cell r="W69">
            <v>32.430819323657502</v>
          </cell>
          <cell r="X69">
            <v>36.855959156605159</v>
          </cell>
          <cell r="Y69">
            <v>29.5</v>
          </cell>
          <cell r="Z69">
            <v>29.5</v>
          </cell>
          <cell r="AA69">
            <v>34.700000000000003</v>
          </cell>
          <cell r="AB69">
            <v>11</v>
          </cell>
          <cell r="AC69">
            <v>15.7</v>
          </cell>
          <cell r="AD69">
            <v>17.2</v>
          </cell>
          <cell r="AE69">
            <v>17.2</v>
          </cell>
          <cell r="AF69">
            <v>17.8</v>
          </cell>
          <cell r="AG69">
            <v>16.899999999999999</v>
          </cell>
          <cell r="AH69">
            <v>51.523499999999991</v>
          </cell>
          <cell r="AI69">
            <v>1.81</v>
          </cell>
          <cell r="AJ69">
            <v>1.81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7.8522199469999991</v>
          </cell>
          <cell r="Q70">
            <v>8.1999999999999993</v>
          </cell>
          <cell r="R70">
            <v>6.9</v>
          </cell>
          <cell r="S70">
            <v>40.1</v>
          </cell>
          <cell r="T70">
            <v>18.821998878496551</v>
          </cell>
          <cell r="U70">
            <v>22.640955172684254</v>
          </cell>
          <cell r="V70">
            <v>27.854133606019854</v>
          </cell>
          <cell r="W70">
            <v>32.612674385285487</v>
          </cell>
          <cell r="X70">
            <v>37.280287633737132</v>
          </cell>
          <cell r="Y70">
            <v>28.2</v>
          </cell>
          <cell r="Z70">
            <v>28.2</v>
          </cell>
          <cell r="AA70">
            <v>33.9</v>
          </cell>
          <cell r="AB70">
            <v>11.8</v>
          </cell>
          <cell r="AC70">
            <v>17.5</v>
          </cell>
          <cell r="AD70">
            <v>18.7</v>
          </cell>
          <cell r="AE70">
            <v>18.7</v>
          </cell>
          <cell r="AF70">
            <v>18.600000000000001</v>
          </cell>
          <cell r="AG70">
            <v>17.100000000000001</v>
          </cell>
          <cell r="AH70">
            <v>54.536999999999999</v>
          </cell>
          <cell r="AI70">
            <v>1.91</v>
          </cell>
          <cell r="AJ70">
            <v>1.91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7.5539399870000006</v>
          </cell>
          <cell r="Q71">
            <v>7.9</v>
          </cell>
          <cell r="R71">
            <v>7.6</v>
          </cell>
          <cell r="S71">
            <v>43.2</v>
          </cell>
          <cell r="T71">
            <v>17.609631800976643</v>
          </cell>
          <cell r="U71">
            <v>22.186317518614292</v>
          </cell>
          <cell r="V71">
            <v>27.490423482763884</v>
          </cell>
          <cell r="W71">
            <v>32.279273438967515</v>
          </cell>
          <cell r="X71">
            <v>37.037814218233152</v>
          </cell>
          <cell r="Y71">
            <v>26.2</v>
          </cell>
          <cell r="Z71">
            <v>26.2</v>
          </cell>
          <cell r="AA71">
            <v>26.6</v>
          </cell>
          <cell r="AB71">
            <v>14.6</v>
          </cell>
          <cell r="AC71">
            <v>18.2</v>
          </cell>
          <cell r="AD71">
            <v>22.4</v>
          </cell>
          <cell r="AE71">
            <v>22.4</v>
          </cell>
          <cell r="AF71">
            <v>17.600000000000001</v>
          </cell>
          <cell r="AG71">
            <v>17.100000000000001</v>
          </cell>
          <cell r="AH71">
            <v>56.889000000000003</v>
          </cell>
          <cell r="AI71">
            <v>2.0099999999999998</v>
          </cell>
          <cell r="AJ71">
            <v>2.0099999999999998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32.6</v>
          </cell>
          <cell r="Q73">
            <v>50</v>
          </cell>
          <cell r="R73">
            <v>71</v>
          </cell>
          <cell r="S73">
            <v>49</v>
          </cell>
          <cell r="T73">
            <v>53.024948253151855</v>
          </cell>
          <cell r="U73">
            <v>56.512608994345506</v>
          </cell>
          <cell r="V73">
            <v>62.337492373398412</v>
          </cell>
          <cell r="W73">
            <v>48.547421720127062</v>
          </cell>
          <cell r="X73">
            <v>55.178350422104387</v>
          </cell>
          <cell r="Y73">
            <v>64</v>
          </cell>
          <cell r="Z73">
            <v>64</v>
          </cell>
          <cell r="AA73">
            <v>69</v>
          </cell>
          <cell r="AB73">
            <v>41</v>
          </cell>
          <cell r="AC73">
            <v>40</v>
          </cell>
          <cell r="AD73">
            <v>30</v>
          </cell>
          <cell r="AE73">
            <v>30</v>
          </cell>
          <cell r="AF73">
            <v>71.5</v>
          </cell>
          <cell r="AG73">
            <v>71</v>
          </cell>
          <cell r="AH73">
            <v>33.1</v>
          </cell>
          <cell r="AI73">
            <v>27.8</v>
          </cell>
          <cell r="AJ73">
            <v>27.8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49.5</v>
          </cell>
          <cell r="Q74">
            <v>68.400000000000006</v>
          </cell>
          <cell r="R74">
            <v>73.180000000000007</v>
          </cell>
          <cell r="S74">
            <v>60</v>
          </cell>
          <cell r="T74">
            <v>62.407321537522876</v>
          </cell>
          <cell r="U74">
            <v>65.140987027770535</v>
          </cell>
          <cell r="V74">
            <v>69.364557037095608</v>
          </cell>
          <cell r="W74">
            <v>59.158007771105616</v>
          </cell>
          <cell r="X74">
            <v>64.397890699904124</v>
          </cell>
          <cell r="Y74">
            <v>85.1</v>
          </cell>
          <cell r="Z74">
            <v>85.1</v>
          </cell>
          <cell r="AA74">
            <v>83.2</v>
          </cell>
          <cell r="AB74">
            <v>53</v>
          </cell>
          <cell r="AC74">
            <v>50</v>
          </cell>
          <cell r="AD74">
            <v>45.5</v>
          </cell>
          <cell r="AE74">
            <v>45.5</v>
          </cell>
          <cell r="AF74">
            <v>80.5</v>
          </cell>
          <cell r="AG74">
            <v>80.5</v>
          </cell>
          <cell r="AH74">
            <v>52.7</v>
          </cell>
          <cell r="AI74">
            <v>40.200000000000003</v>
          </cell>
          <cell r="AJ74">
            <v>40.200000000000003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61.8</v>
          </cell>
          <cell r="Q75">
            <v>72.739999999999995</v>
          </cell>
          <cell r="R75">
            <v>73.97</v>
          </cell>
          <cell r="S75">
            <v>62.36</v>
          </cell>
          <cell r="T75">
            <v>77.136730074262346</v>
          </cell>
          <cell r="U75">
            <v>72.098364563758395</v>
          </cell>
          <cell r="V75">
            <v>75.295465706334923</v>
          </cell>
          <cell r="W75">
            <v>67.737859413634766</v>
          </cell>
          <cell r="X75">
            <v>71.521379288716062</v>
          </cell>
          <cell r="Y75">
            <v>86.98</v>
          </cell>
          <cell r="Z75">
            <v>86.98</v>
          </cell>
          <cell r="AA75">
            <v>85.2</v>
          </cell>
          <cell r="AB75">
            <v>54.89</v>
          </cell>
          <cell r="AC75">
            <v>55.06</v>
          </cell>
          <cell r="AD75">
            <v>47.98</v>
          </cell>
          <cell r="AE75">
            <v>47.98</v>
          </cell>
          <cell r="AF75">
            <v>83.5</v>
          </cell>
          <cell r="AG75">
            <v>82.1</v>
          </cell>
          <cell r="AH75">
            <v>66.2</v>
          </cell>
          <cell r="AI75">
            <v>43.9</v>
          </cell>
          <cell r="AJ75">
            <v>43.9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71.5</v>
          </cell>
          <cell r="Q76">
            <v>75.38</v>
          </cell>
          <cell r="R76">
            <v>74.37</v>
          </cell>
          <cell r="S76">
            <v>64</v>
          </cell>
          <cell r="T76">
            <v>76.39491929668867</v>
          </cell>
          <cell r="U76">
            <v>78.576902395793923</v>
          </cell>
          <cell r="V76">
            <v>80.454162610789481</v>
          </cell>
          <cell r="W76">
            <v>74.905886864813041</v>
          </cell>
          <cell r="X76">
            <v>77.809640024405127</v>
          </cell>
          <cell r="Y76">
            <v>88.16</v>
          </cell>
          <cell r="Z76">
            <v>88.16</v>
          </cell>
          <cell r="AA76">
            <v>87</v>
          </cell>
          <cell r="AB76">
            <v>56.02</v>
          </cell>
          <cell r="AC76">
            <v>57.72</v>
          </cell>
          <cell r="AD76">
            <v>50.7</v>
          </cell>
          <cell r="AE76">
            <v>50.7</v>
          </cell>
          <cell r="AF76">
            <v>86.52</v>
          </cell>
          <cell r="AG76">
            <v>83.3</v>
          </cell>
          <cell r="AH76">
            <v>72.2</v>
          </cell>
          <cell r="AI76">
            <v>46.4</v>
          </cell>
          <cell r="AJ76">
            <v>46.4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78.2</v>
          </cell>
          <cell r="Q77">
            <v>76.819999999999993</v>
          </cell>
          <cell r="R77">
            <v>74.930000000000007</v>
          </cell>
          <cell r="S77">
            <v>64.86</v>
          </cell>
          <cell r="T77">
            <v>80.73964163606432</v>
          </cell>
          <cell r="U77">
            <v>82.713608933506293</v>
          </cell>
          <cell r="V77">
            <v>84.072228791375466</v>
          </cell>
          <cell r="W77">
            <v>80.688939479052721</v>
          </cell>
          <cell r="X77">
            <v>82.510282837967409</v>
          </cell>
          <cell r="Y77">
            <v>89</v>
          </cell>
          <cell r="Z77">
            <v>89</v>
          </cell>
          <cell r="AA77">
            <v>88.22</v>
          </cell>
          <cell r="AB77">
            <v>56.56</v>
          </cell>
          <cell r="AC77">
            <v>59.1</v>
          </cell>
          <cell r="AD77">
            <v>51.92</v>
          </cell>
          <cell r="AE77">
            <v>51.92</v>
          </cell>
          <cell r="AF77">
            <v>87.58</v>
          </cell>
          <cell r="AG77">
            <v>84.24</v>
          </cell>
          <cell r="AH77">
            <v>74.099999999999994</v>
          </cell>
          <cell r="AI77">
            <v>47.5</v>
          </cell>
          <cell r="AJ77">
            <v>47.5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82.2</v>
          </cell>
          <cell r="Q78">
            <v>77.5</v>
          </cell>
          <cell r="R78">
            <v>75.010000000000005</v>
          </cell>
          <cell r="S78">
            <v>65</v>
          </cell>
          <cell r="T78">
            <v>83.228444080127062</v>
          </cell>
          <cell r="U78">
            <v>84.894745457521694</v>
          </cell>
          <cell r="V78">
            <v>85.986871100073884</v>
          </cell>
          <cell r="W78">
            <v>84.591385396754532</v>
          </cell>
          <cell r="X78">
            <v>84.571595623588834</v>
          </cell>
          <cell r="Y78">
            <v>89.28</v>
          </cell>
          <cell r="Z78">
            <v>89.28</v>
          </cell>
          <cell r="AA78">
            <v>88.9</v>
          </cell>
          <cell r="AB78">
            <v>56.9</v>
          </cell>
          <cell r="AC78">
            <v>59.6</v>
          </cell>
          <cell r="AD78">
            <v>52.1</v>
          </cell>
          <cell r="AE78">
            <v>52.1</v>
          </cell>
          <cell r="AF78">
            <v>88</v>
          </cell>
          <cell r="AG78">
            <v>84.6</v>
          </cell>
          <cell r="AH78">
            <v>75</v>
          </cell>
          <cell r="AI78">
            <v>47.5</v>
          </cell>
          <cell r="AJ78">
            <v>47.5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84.8</v>
          </cell>
          <cell r="Q79">
            <v>76.819999999999993</v>
          </cell>
          <cell r="R79">
            <v>74.8</v>
          </cell>
          <cell r="S79">
            <v>64.680000000000007</v>
          </cell>
          <cell r="T79">
            <v>84.424996451671774</v>
          </cell>
          <cell r="U79">
            <v>85.578395484243742</v>
          </cell>
          <cell r="V79">
            <v>86.61476510067115</v>
          </cell>
          <cell r="W79">
            <v>86.609539789069999</v>
          </cell>
          <cell r="X79">
            <v>85.389622041681392</v>
          </cell>
          <cell r="Y79">
            <v>88.52</v>
          </cell>
          <cell r="Z79">
            <v>88.52</v>
          </cell>
          <cell r="AA79">
            <v>88.3</v>
          </cell>
          <cell r="AB79">
            <v>56.44</v>
          </cell>
          <cell r="AC79">
            <v>56.6</v>
          </cell>
          <cell r="AD79">
            <v>51.68</v>
          </cell>
          <cell r="AE79">
            <v>51.68</v>
          </cell>
          <cell r="AF79">
            <v>87.68</v>
          </cell>
          <cell r="AG79">
            <v>84.04</v>
          </cell>
          <cell r="AH79">
            <v>75.099999999999994</v>
          </cell>
          <cell r="AI79">
            <v>46.6</v>
          </cell>
          <cell r="AJ79">
            <v>46.6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85.1</v>
          </cell>
          <cell r="Q80">
            <v>74.8</v>
          </cell>
          <cell r="R80">
            <v>74.040000000000006</v>
          </cell>
          <cell r="S80">
            <v>64</v>
          </cell>
          <cell r="T80">
            <v>83.196461256863955</v>
          </cell>
          <cell r="U80">
            <v>85.382691628399868</v>
          </cell>
          <cell r="V80">
            <v>85.89683159044796</v>
          </cell>
          <cell r="W80">
            <v>86.834158049508716</v>
          </cell>
          <cell r="X80">
            <v>84.760123136819942</v>
          </cell>
          <cell r="Y80">
            <v>87.1</v>
          </cell>
          <cell r="Z80">
            <v>87.1</v>
          </cell>
          <cell r="AA80">
            <v>87.12</v>
          </cell>
          <cell r="AB80">
            <v>55.9</v>
          </cell>
          <cell r="AC80">
            <v>52</v>
          </cell>
          <cell r="AD80">
            <v>50.14</v>
          </cell>
          <cell r="AE80">
            <v>50.14</v>
          </cell>
          <cell r="AF80">
            <v>86.2</v>
          </cell>
          <cell r="AG80">
            <v>81.459999999999994</v>
          </cell>
          <cell r="AH80">
            <v>74.3</v>
          </cell>
          <cell r="AI80">
            <v>43.8</v>
          </cell>
          <cell r="AJ80">
            <v>43.8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83.8</v>
          </cell>
          <cell r="Q81">
            <v>70.98</v>
          </cell>
          <cell r="R81">
            <v>73.319999999999993</v>
          </cell>
          <cell r="S81">
            <v>62.88</v>
          </cell>
          <cell r="T81">
            <v>79.586745225770983</v>
          </cell>
          <cell r="U81">
            <v>83.381534793359251</v>
          </cell>
          <cell r="V81">
            <v>83.74080960483748</v>
          </cell>
          <cell r="W81">
            <v>84.662705889732194</v>
          </cell>
          <cell r="X81">
            <v>82.840096255740022</v>
          </cell>
          <cell r="Y81">
            <v>84.2</v>
          </cell>
          <cell r="Z81">
            <v>84.2</v>
          </cell>
          <cell r="AA81">
            <v>85.1</v>
          </cell>
          <cell r="AB81">
            <v>54.8</v>
          </cell>
          <cell r="AC81">
            <v>45</v>
          </cell>
          <cell r="AD81">
            <v>47.48</v>
          </cell>
          <cell r="AE81">
            <v>47.48</v>
          </cell>
          <cell r="AF81">
            <v>83.4</v>
          </cell>
          <cell r="AG81">
            <v>77.16</v>
          </cell>
          <cell r="AH81">
            <v>72.900000000000006</v>
          </cell>
          <cell r="AI81">
            <v>39.9</v>
          </cell>
          <cell r="AJ81">
            <v>39.9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79.400000000000006</v>
          </cell>
          <cell r="Q82">
            <v>65.5</v>
          </cell>
          <cell r="R82">
            <v>72.430000000000007</v>
          </cell>
          <cell r="S82">
            <v>60.91</v>
          </cell>
          <cell r="T82">
            <v>72.518237525532541</v>
          </cell>
          <cell r="U82">
            <v>80.381660871674626</v>
          </cell>
          <cell r="V82">
            <v>81.304984262146633</v>
          </cell>
          <cell r="W82">
            <v>80.556006586662008</v>
          </cell>
          <cell r="X82">
            <v>79.157659191357027</v>
          </cell>
          <cell r="Y82">
            <v>80.5</v>
          </cell>
          <cell r="Z82">
            <v>80.5</v>
          </cell>
          <cell r="AA82">
            <v>82.6</v>
          </cell>
          <cell r="AB82">
            <v>52.56</v>
          </cell>
          <cell r="AC82">
            <v>35</v>
          </cell>
          <cell r="AD82">
            <v>44</v>
          </cell>
          <cell r="AE82">
            <v>44</v>
          </cell>
          <cell r="AF82">
            <v>79</v>
          </cell>
          <cell r="AG82">
            <v>72</v>
          </cell>
          <cell r="AH82">
            <v>70.5</v>
          </cell>
          <cell r="AI82">
            <v>34.799999999999997</v>
          </cell>
          <cell r="AJ82">
            <v>34.799999999999997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73.2</v>
          </cell>
          <cell r="Q83">
            <v>44.5</v>
          </cell>
          <cell r="R83">
            <v>65</v>
          </cell>
          <cell r="S83">
            <v>58</v>
          </cell>
          <cell r="T83">
            <v>61.872725802539023</v>
          </cell>
          <cell r="U83">
            <v>73.975250302563538</v>
          </cell>
          <cell r="V83">
            <v>77.485229719630325</v>
          </cell>
          <cell r="W83">
            <v>74.370167312600429</v>
          </cell>
          <cell r="X83">
            <v>73.672788585111874</v>
          </cell>
          <cell r="Y83">
            <v>74</v>
          </cell>
          <cell r="Z83">
            <v>74</v>
          </cell>
          <cell r="AA83">
            <v>52</v>
          </cell>
          <cell r="AB83">
            <v>36.5</v>
          </cell>
          <cell r="AC83">
            <v>31</v>
          </cell>
          <cell r="AD83">
            <v>30</v>
          </cell>
          <cell r="AE83">
            <v>30</v>
          </cell>
          <cell r="AF83">
            <v>57</v>
          </cell>
          <cell r="AG83">
            <v>60</v>
          </cell>
          <cell r="AH83">
            <v>63.4</v>
          </cell>
          <cell r="AI83">
            <v>28.3</v>
          </cell>
          <cell r="AJ83">
            <v>28.3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&amp;output"/>
      <sheetName val="EOS calculations"/>
      <sheetName val="viscosity calculations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5.bin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B106"/>
  <sheetViews>
    <sheetView topLeftCell="A7" zoomScale="130" zoomScaleNormal="130" workbookViewId="0">
      <selection activeCell="C27" sqref="C27"/>
    </sheetView>
  </sheetViews>
  <sheetFormatPr defaultRowHeight="12.75" x14ac:dyDescent="0.2"/>
  <cols>
    <col min="1" max="1" width="21.42578125" bestFit="1" customWidth="1"/>
    <col min="2" max="2" width="12.7109375" customWidth="1"/>
    <col min="3" max="3" width="13.28515625" customWidth="1"/>
    <col min="4" max="4" width="4.7109375" customWidth="1"/>
    <col min="5" max="5" width="13.28515625" customWidth="1"/>
    <col min="6" max="6" width="4.7109375" customWidth="1"/>
    <col min="7" max="7" width="9.5703125" bestFit="1" customWidth="1"/>
    <col min="10" max="10" width="9" customWidth="1"/>
    <col min="15" max="25" width="9.140625" customWidth="1"/>
  </cols>
  <sheetData>
    <row r="1" spans="1:22" x14ac:dyDescent="0.2">
      <c r="A1" s="18" t="s">
        <v>13</v>
      </c>
      <c r="B1" s="19"/>
      <c r="C1" s="19"/>
      <c r="D1" s="19"/>
      <c r="E1" s="19"/>
      <c r="F1" s="19"/>
      <c r="G1" s="19"/>
      <c r="H1" s="19"/>
      <c r="I1" s="19"/>
      <c r="J1" s="19"/>
      <c r="K1" s="20"/>
      <c r="L1" t="s">
        <v>157</v>
      </c>
      <c r="R1" s="75" t="s">
        <v>4</v>
      </c>
      <c r="S1" s="76"/>
      <c r="T1" s="77" t="s">
        <v>45</v>
      </c>
    </row>
    <row r="2" spans="1:22" ht="15.95" customHeight="1" x14ac:dyDescent="0.2">
      <c r="A2" s="28"/>
      <c r="B2" s="28"/>
      <c r="C2" s="28"/>
      <c r="D2" s="28"/>
      <c r="E2" s="28"/>
      <c r="F2" s="22"/>
      <c r="G2" s="23" t="s">
        <v>27</v>
      </c>
      <c r="H2" s="416" t="s">
        <v>300</v>
      </c>
      <c r="I2" s="417"/>
      <c r="J2" s="418"/>
      <c r="K2" s="25"/>
      <c r="L2" t="s">
        <v>219</v>
      </c>
      <c r="R2" s="78" t="s">
        <v>11</v>
      </c>
      <c r="S2" s="79">
        <v>2</v>
      </c>
      <c r="T2" s="80">
        <f>IF($S$2=1,$C$6*100000,IF($S$2=2,101325+100*$C$6,IF($S$2=3,101325+9.81*$C$6,101325+$C$6)))</f>
        <v>98325</v>
      </c>
    </row>
    <row r="3" spans="1:22" ht="15.95" customHeight="1" x14ac:dyDescent="0.2">
      <c r="A3" s="28"/>
      <c r="B3" s="28"/>
      <c r="C3" s="28"/>
      <c r="D3" s="28"/>
      <c r="E3" s="28"/>
      <c r="F3" s="22"/>
      <c r="G3" s="27" t="s">
        <v>26</v>
      </c>
      <c r="H3" s="416"/>
      <c r="I3" s="417"/>
      <c r="J3" s="418"/>
      <c r="K3" s="25"/>
      <c r="L3" s="249" t="s">
        <v>290</v>
      </c>
      <c r="R3" s="78" t="s">
        <v>12</v>
      </c>
      <c r="S3" s="79"/>
      <c r="T3" s="261">
        <f>T2-C28</f>
        <v>96521.351558472161</v>
      </c>
    </row>
    <row r="4" spans="1:22" ht="15.95" customHeight="1" x14ac:dyDescent="0.2">
      <c r="A4" s="288" t="s">
        <v>10</v>
      </c>
      <c r="B4" s="19"/>
      <c r="C4" s="304" t="s">
        <v>262</v>
      </c>
      <c r="D4" s="22"/>
      <c r="E4" s="256"/>
      <c r="F4" s="22"/>
      <c r="G4" s="23" t="s">
        <v>25</v>
      </c>
      <c r="H4" s="416"/>
      <c r="I4" s="417"/>
      <c r="J4" s="418"/>
      <c r="K4" s="25"/>
      <c r="R4" s="78" t="s">
        <v>61</v>
      </c>
      <c r="S4" s="79"/>
      <c r="T4" s="81"/>
    </row>
    <row r="5" spans="1:22" ht="15.95" customHeight="1" thickBot="1" x14ac:dyDescent="0.25">
      <c r="A5" s="26" t="s">
        <v>7</v>
      </c>
      <c r="B5" s="22" t="s">
        <v>2</v>
      </c>
      <c r="C5" s="305">
        <v>45</v>
      </c>
      <c r="D5" s="22"/>
      <c r="E5" s="28"/>
      <c r="F5" s="28"/>
      <c r="G5" s="23" t="s">
        <v>24</v>
      </c>
      <c r="H5" s="420"/>
      <c r="I5" s="417"/>
      <c r="J5" s="418"/>
      <c r="K5" s="29"/>
      <c r="L5" s="350"/>
      <c r="M5" s="351"/>
      <c r="N5" s="351"/>
      <c r="O5" s="249"/>
      <c r="Q5" s="2"/>
      <c r="R5" s="262" t="s">
        <v>60</v>
      </c>
      <c r="S5" t="str">
        <f>IF(S2=1,"[bar(abs)]",IF(S2=2,"[mbar(g)]",IF(S2=3,"[mm wk(g)]","[Pa (g)]")))</f>
        <v>[mbar(g)]</v>
      </c>
      <c r="T5" s="263"/>
      <c r="U5" s="1"/>
    </row>
    <row r="6" spans="1:22" ht="15.95" customHeight="1" x14ac:dyDescent="0.2">
      <c r="A6" s="26" t="s">
        <v>6</v>
      </c>
      <c r="B6" s="22"/>
      <c r="C6" s="305">
        <v>-30</v>
      </c>
      <c r="D6" s="22"/>
      <c r="E6" s="28"/>
      <c r="F6" s="28"/>
      <c r="G6" s="23" t="s">
        <v>180</v>
      </c>
      <c r="H6" s="419"/>
      <c r="I6" s="417"/>
      <c r="J6" s="418"/>
      <c r="K6" s="29"/>
      <c r="M6" s="249"/>
      <c r="Q6" s="4"/>
      <c r="R6" s="265" t="s">
        <v>49</v>
      </c>
      <c r="S6" s="76"/>
      <c r="T6" s="13">
        <f>T2/101325*273/(273+C5)</f>
        <v>0.83307263662137065</v>
      </c>
      <c r="U6" s="1"/>
    </row>
    <row r="7" spans="1:22" ht="15.95" customHeight="1" thickBot="1" x14ac:dyDescent="0.25">
      <c r="A7" s="26" t="s">
        <v>103</v>
      </c>
      <c r="B7" s="28"/>
      <c r="C7" s="305">
        <v>58900</v>
      </c>
      <c r="D7" s="28"/>
      <c r="E7" s="28"/>
      <c r="F7" s="28"/>
      <c r="G7" s="22"/>
      <c r="H7" s="28"/>
      <c r="I7" s="30"/>
      <c r="J7" s="22"/>
      <c r="K7" s="25"/>
      <c r="R7" s="266" t="s">
        <v>49</v>
      </c>
      <c r="S7" s="86"/>
      <c r="T7" s="15">
        <f>T3/101325*273/(273+C5)</f>
        <v>0.81779096702847331</v>
      </c>
    </row>
    <row r="8" spans="1:22" ht="15.95" customHeight="1" x14ac:dyDescent="0.2">
      <c r="A8" s="252" t="s">
        <v>267</v>
      </c>
      <c r="B8" s="28"/>
      <c r="C8" s="305">
        <v>1.073</v>
      </c>
      <c r="D8" s="28"/>
      <c r="E8" s="28"/>
      <c r="F8" s="28"/>
      <c r="G8" s="22"/>
      <c r="H8" s="28"/>
      <c r="I8" s="28"/>
      <c r="J8" s="22"/>
      <c r="K8" s="25"/>
      <c r="Q8" s="1"/>
      <c r="R8" s="264" t="s">
        <v>1</v>
      </c>
      <c r="S8" s="79"/>
      <c r="T8" s="14" t="s">
        <v>52</v>
      </c>
      <c r="U8" s="1" t="s">
        <v>58</v>
      </c>
      <c r="V8" t="s">
        <v>8</v>
      </c>
    </row>
    <row r="9" spans="1:22" ht="15.95" customHeight="1" x14ac:dyDescent="0.2">
      <c r="A9" s="26" t="s">
        <v>151</v>
      </c>
      <c r="B9" s="257" t="s">
        <v>265</v>
      </c>
      <c r="C9" s="305">
        <v>0.02</v>
      </c>
      <c r="D9" s="414">
        <f>1000*(0.000001425*($C$5+273.15)^0.5039)/(1+(108.3/($C$5+273.15)))</f>
        <v>1.9393442259330929E-2</v>
      </c>
      <c r="E9" s="415"/>
      <c r="F9" s="415"/>
      <c r="G9" s="415"/>
      <c r="H9" s="415"/>
      <c r="I9" s="30"/>
      <c r="J9" s="22"/>
      <c r="K9" s="25"/>
      <c r="R9" s="78" t="s">
        <v>46</v>
      </c>
      <c r="S9" s="79">
        <v>2</v>
      </c>
      <c r="T9" s="10">
        <f>IF(S9=1,1,IF(S9=2,3600,IF(S9=3,T6,T6*3600)))</f>
        <v>3600</v>
      </c>
      <c r="U9" s="4">
        <f>C7/T9</f>
        <v>16.361111111111111</v>
      </c>
      <c r="V9" s="55">
        <f>T6*U9</f>
        <v>13.629993971388537</v>
      </c>
    </row>
    <row r="10" spans="1:22" ht="15.95" customHeight="1" x14ac:dyDescent="0.2">
      <c r="A10" s="252" t="s">
        <v>268</v>
      </c>
      <c r="B10" s="28" t="s">
        <v>17</v>
      </c>
      <c r="C10" s="305">
        <v>1500</v>
      </c>
      <c r="D10" s="28"/>
      <c r="E10" s="28"/>
      <c r="F10" s="22"/>
      <c r="G10" s="22"/>
      <c r="H10" s="31"/>
      <c r="I10" s="30"/>
      <c r="J10" s="22"/>
      <c r="K10" s="25"/>
      <c r="R10" s="78" t="s">
        <v>47</v>
      </c>
      <c r="S10" s="79"/>
      <c r="T10" s="14"/>
      <c r="U10" s="4">
        <f>C7/T9*(T2/T3)</f>
        <v>16.666843387760206</v>
      </c>
      <c r="V10" s="55">
        <f>T6*U9</f>
        <v>13.629993971388537</v>
      </c>
    </row>
    <row r="11" spans="1:22" ht="15.95" customHeight="1" x14ac:dyDescent="0.2">
      <c r="A11" s="32" t="s">
        <v>18</v>
      </c>
      <c r="B11" s="289"/>
      <c r="C11" s="408">
        <v>77</v>
      </c>
      <c r="D11" s="22"/>
      <c r="E11" s="274"/>
      <c r="F11" s="22"/>
      <c r="G11" s="22"/>
      <c r="H11" s="28"/>
      <c r="I11" s="28"/>
      <c r="J11" s="22"/>
      <c r="K11" s="25"/>
      <c r="R11" s="78" t="s">
        <v>8</v>
      </c>
      <c r="S11" s="79"/>
      <c r="T11" s="14"/>
      <c r="U11" s="4"/>
    </row>
    <row r="12" spans="1:22" ht="15.95" customHeight="1" thickBo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5"/>
      <c r="M12" s="250"/>
      <c r="N12" s="249"/>
      <c r="R12" s="82" t="s">
        <v>9</v>
      </c>
      <c r="S12" s="83"/>
      <c r="T12" s="15"/>
      <c r="U12" s="4"/>
    </row>
    <row r="13" spans="1:22" ht="15.95" customHeight="1" thickBot="1" x14ac:dyDescent="0.25">
      <c r="A13" s="22"/>
      <c r="B13" s="22"/>
      <c r="C13" s="306" t="s">
        <v>262</v>
      </c>
      <c r="D13" s="306"/>
      <c r="E13" s="306" t="s">
        <v>263</v>
      </c>
      <c r="F13" s="337" t="str">
        <f>IF('Berekening trap 2'!K23&lt;'Berekening trap 1'!K23,"kies 2e trap gelijk aan of hoogwaardiger dan 1e trap","")</f>
        <v/>
      </c>
      <c r="G13" s="22"/>
      <c r="H13" s="337" t="s">
        <v>297</v>
      </c>
      <c r="I13" s="22"/>
      <c r="J13" s="22"/>
      <c r="K13" s="25"/>
      <c r="M13" s="250"/>
      <c r="N13" s="249"/>
      <c r="Q13" s="2"/>
      <c r="R13" s="84"/>
      <c r="S13" s="76"/>
      <c r="T13" s="13"/>
      <c r="U13" s="4"/>
    </row>
    <row r="14" spans="1:22" ht="15.95" customHeight="1" x14ac:dyDescent="0.2">
      <c r="A14" s="290" t="s">
        <v>260</v>
      </c>
      <c r="B14" s="19"/>
      <c r="C14" s="291"/>
      <c r="D14" s="19"/>
      <c r="E14" s="292"/>
      <c r="F14" s="337" t="str">
        <f>IF('Berekening trap 2'!K23&lt;'Berekening trap 1'!K23,"anders is berekening incorrect","")</f>
        <v/>
      </c>
      <c r="G14" s="22"/>
      <c r="H14" s="403">
        <v>1</v>
      </c>
      <c r="I14" s="402" t="s">
        <v>298</v>
      </c>
      <c r="J14" s="22"/>
      <c r="K14" s="25"/>
      <c r="M14" s="250"/>
      <c r="N14" s="249"/>
      <c r="Q14" s="4"/>
      <c r="R14" s="75" t="s">
        <v>14</v>
      </c>
      <c r="S14" s="76"/>
      <c r="T14" s="267" t="s">
        <v>16</v>
      </c>
      <c r="U14" s="4" t="s">
        <v>15</v>
      </c>
    </row>
    <row r="15" spans="1:22" ht="15.95" customHeight="1" x14ac:dyDescent="0.2">
      <c r="A15" s="26" t="s">
        <v>28</v>
      </c>
      <c r="B15" s="31" t="s">
        <v>29</v>
      </c>
      <c r="C15" s="283">
        <v>6</v>
      </c>
      <c r="D15" s="22"/>
      <c r="E15" s="275">
        <v>6</v>
      </c>
      <c r="F15" s="22"/>
      <c r="G15" s="22"/>
      <c r="H15" s="403">
        <v>1</v>
      </c>
      <c r="I15" s="402" t="s">
        <v>299</v>
      </c>
      <c r="J15" s="22"/>
      <c r="K15" s="25"/>
      <c r="Q15" s="3"/>
      <c r="R15" s="78" t="s">
        <v>15</v>
      </c>
      <c r="S15" s="79">
        <v>2</v>
      </c>
      <c r="T15" s="268">
        <f>IF(S15=1,C8*T6,C8)</f>
        <v>1.073</v>
      </c>
      <c r="U15" s="4">
        <f>T15/T6</f>
        <v>1.2880029337557941</v>
      </c>
    </row>
    <row r="16" spans="1:22" ht="15.95" customHeight="1" thickBot="1" x14ac:dyDescent="0.25">
      <c r="A16" s="26" t="s">
        <v>30</v>
      </c>
      <c r="B16" s="28" t="s">
        <v>3</v>
      </c>
      <c r="C16" s="283">
        <v>20</v>
      </c>
      <c r="D16" s="22"/>
      <c r="E16" s="275">
        <v>25</v>
      </c>
      <c r="F16" s="22"/>
      <c r="G16" s="22"/>
      <c r="H16" s="22"/>
      <c r="I16" s="22"/>
      <c r="J16" s="22"/>
      <c r="K16" s="25"/>
      <c r="R16" s="85" t="s">
        <v>16</v>
      </c>
      <c r="S16" s="86"/>
      <c r="T16" s="269">
        <f>IF(S15=1,C8*T7,C8)</f>
        <v>1.073</v>
      </c>
      <c r="U16" s="4">
        <f>T16/T7</f>
        <v>1.3120712300098576</v>
      </c>
    </row>
    <row r="17" spans="1:28" ht="15.95" customHeight="1" x14ac:dyDescent="0.2">
      <c r="A17" s="26" t="s">
        <v>31</v>
      </c>
      <c r="B17" s="28" t="s">
        <v>0</v>
      </c>
      <c r="C17" s="284">
        <f>SQRT(U9/'Berekening trap 1'!K24/'Berekening trap 1'!K25/C16/C15)*1000</f>
        <v>1212.2987433916385</v>
      </c>
      <c r="D17" s="22"/>
      <c r="E17" s="276">
        <f>SQRT(U10/'Berekening trap 2'!K24/'Berekening trap 2'!K25/E16/E15)*1000</f>
        <v>1094.3970878761525</v>
      </c>
      <c r="F17" s="22"/>
      <c r="G17" s="22"/>
      <c r="H17" s="22"/>
      <c r="I17" s="22"/>
      <c r="J17" s="22"/>
      <c r="K17" s="25"/>
      <c r="R17" s="87"/>
      <c r="S17" s="79"/>
      <c r="T17" s="4"/>
      <c r="U17" s="1"/>
    </row>
    <row r="18" spans="1:28" ht="15.95" customHeight="1" x14ac:dyDescent="0.2">
      <c r="A18" s="26" t="s">
        <v>32</v>
      </c>
      <c r="B18" s="28" t="s">
        <v>0</v>
      </c>
      <c r="C18" s="283">
        <v>1250</v>
      </c>
      <c r="D18" s="22"/>
      <c r="E18" s="275">
        <v>1250</v>
      </c>
      <c r="F18" s="22"/>
      <c r="G18" s="22"/>
      <c r="H18" s="22"/>
      <c r="I18" s="22"/>
      <c r="J18" s="22"/>
      <c r="K18" s="25"/>
      <c r="R18" s="88" t="s">
        <v>19</v>
      </c>
      <c r="S18" s="79"/>
      <c r="T18" s="1" t="s">
        <v>102</v>
      </c>
      <c r="U18" t="s">
        <v>156</v>
      </c>
      <c r="V18" s="1" t="s">
        <v>16</v>
      </c>
      <c r="W18" t="s">
        <v>15</v>
      </c>
    </row>
    <row r="19" spans="1:28" ht="15.95" customHeight="1" x14ac:dyDescent="0.2">
      <c r="A19" s="26" t="s">
        <v>33</v>
      </c>
      <c r="B19" s="28"/>
      <c r="C19" s="26"/>
      <c r="D19" s="22"/>
      <c r="E19" s="25"/>
      <c r="F19" s="22"/>
      <c r="G19" s="22"/>
      <c r="H19" s="22"/>
      <c r="I19" s="22"/>
      <c r="J19" s="22"/>
      <c r="K19" s="25"/>
      <c r="R19" s="87" t="s">
        <v>20</v>
      </c>
      <c r="S19" s="79">
        <v>1</v>
      </c>
      <c r="T19" s="68">
        <f>IF(S19=1,1/1000*U9,IF(S19=2,V9/1000,IF(S19=3,U9,IF(S19=4,V9,1/3600))))</f>
        <v>1.6361111111111111E-2</v>
      </c>
      <c r="U19" s="70">
        <f>C11*T19</f>
        <v>1.2598055555555556</v>
      </c>
      <c r="V19" s="69">
        <f>U19/U9</f>
        <v>7.7000000000000013E-2</v>
      </c>
      <c r="W19" s="70">
        <f>U19/V9</f>
        <v>9.2428915097107323E-2</v>
      </c>
    </row>
    <row r="20" spans="1:28" ht="15.95" customHeight="1" x14ac:dyDescent="0.3">
      <c r="A20" s="26" t="s">
        <v>154</v>
      </c>
      <c r="B20" s="259" t="s">
        <v>261</v>
      </c>
      <c r="C20" s="283">
        <v>1</v>
      </c>
      <c r="D20" s="22"/>
      <c r="E20" s="275">
        <v>1</v>
      </c>
      <c r="F20" s="257" t="s">
        <v>288</v>
      </c>
      <c r="G20" s="28"/>
      <c r="H20" s="28"/>
      <c r="I20" s="22"/>
      <c r="J20" s="22"/>
      <c r="K20" s="25"/>
      <c r="Q20" s="2"/>
      <c r="R20" s="87" t="s">
        <v>21</v>
      </c>
      <c r="S20" s="79"/>
      <c r="T20" s="68"/>
      <c r="U20" s="294"/>
      <c r="V20" s="69">
        <f>C30*U9/U10/1000</f>
        <v>6.0805122705334582E-4</v>
      </c>
      <c r="W20" s="70">
        <f>C31/1000</f>
        <v>7.4352891089365014E-4</v>
      </c>
    </row>
    <row r="21" spans="1:28" ht="15.95" customHeight="1" x14ac:dyDescent="0.2">
      <c r="A21" s="26" t="s">
        <v>247</v>
      </c>
      <c r="B21" s="259" t="s">
        <v>261</v>
      </c>
      <c r="C21" s="285"/>
      <c r="D21" s="22"/>
      <c r="E21" s="277"/>
      <c r="F21" s="28" t="s">
        <v>147</v>
      </c>
      <c r="G21" s="28"/>
      <c r="H21" s="30"/>
      <c r="I21" s="22"/>
      <c r="J21" s="22"/>
      <c r="K21" s="25"/>
      <c r="Q21" s="4"/>
      <c r="R21" s="87" t="s">
        <v>16</v>
      </c>
      <c r="S21" s="79"/>
      <c r="T21" s="1"/>
      <c r="U21" s="3"/>
    </row>
    <row r="22" spans="1:28" ht="15.95" customHeight="1" x14ac:dyDescent="0.2">
      <c r="A22" s="278"/>
      <c r="B22" s="28"/>
      <c r="C22" s="278"/>
      <c r="D22" s="22"/>
      <c r="E22" s="29"/>
      <c r="F22" s="28"/>
      <c r="G22" s="28"/>
      <c r="H22" s="28"/>
      <c r="I22" s="22"/>
      <c r="J22" s="22"/>
      <c r="K22" s="25"/>
      <c r="Q22" s="4"/>
      <c r="R22" s="79" t="s">
        <v>15</v>
      </c>
      <c r="S22" s="89"/>
      <c r="T22" s="1"/>
      <c r="U22" s="3"/>
      <c r="W22" s="142"/>
      <c r="X22" s="142"/>
      <c r="Y22" s="142"/>
      <c r="Z22" s="142"/>
      <c r="AA22" s="142"/>
      <c r="AB22" s="142"/>
    </row>
    <row r="23" spans="1:28" ht="15.95" customHeight="1" x14ac:dyDescent="0.2">
      <c r="A23" s="21" t="s">
        <v>264</v>
      </c>
      <c r="B23" s="22"/>
      <c r="C23" s="26"/>
      <c r="D23" s="22"/>
      <c r="E23" s="279"/>
      <c r="F23" s="28"/>
      <c r="G23" s="28"/>
      <c r="H23" s="28"/>
      <c r="I23" s="22"/>
      <c r="J23" s="22"/>
      <c r="K23" s="25"/>
      <c r="M23" s="250"/>
      <c r="N23" s="250"/>
      <c r="O23" s="250"/>
      <c r="R23" s="90" t="s">
        <v>57</v>
      </c>
      <c r="S23" s="91"/>
      <c r="T23" s="1"/>
      <c r="U23" s="3"/>
      <c r="W23" s="401"/>
      <c r="X23" s="142"/>
      <c r="Y23" s="409"/>
      <c r="Z23" s="142"/>
      <c r="AA23" s="409"/>
      <c r="AB23" s="142"/>
    </row>
    <row r="24" spans="1:28" ht="15.95" customHeight="1" x14ac:dyDescent="0.2">
      <c r="A24" s="26" t="s">
        <v>39</v>
      </c>
      <c r="B24" s="22" t="s">
        <v>3</v>
      </c>
      <c r="C24" s="286">
        <f>'Berekening trap 1'!R24</f>
        <v>18.811753513330512</v>
      </c>
      <c r="D24" s="22"/>
      <c r="E24" s="280">
        <f>'Berekening trap 2'!R24</f>
        <v>19.163279775228844</v>
      </c>
      <c r="F24" s="28"/>
      <c r="G24" s="28"/>
      <c r="H24" s="66"/>
      <c r="I24" s="22"/>
      <c r="J24" s="22"/>
      <c r="K24" s="25"/>
      <c r="R24" s="88" t="s">
        <v>22</v>
      </c>
      <c r="S24" s="79"/>
      <c r="T24" s="35"/>
      <c r="U24" s="3"/>
      <c r="W24" s="142"/>
      <c r="X24" s="410"/>
      <c r="Y24" s="411"/>
      <c r="Z24" s="142"/>
      <c r="AA24" s="411"/>
      <c r="AB24" s="142"/>
    </row>
    <row r="25" spans="1:28" ht="15.95" customHeight="1" x14ac:dyDescent="0.2">
      <c r="A25" s="26" t="s">
        <v>40</v>
      </c>
      <c r="B25" s="22" t="s">
        <v>3</v>
      </c>
      <c r="C25" s="286">
        <f>'Berekening trap 1'!R25</f>
        <v>23.576258534984305</v>
      </c>
      <c r="D25" s="22"/>
      <c r="E25" s="280">
        <f>'Berekening trap 2'!R25</f>
        <v>24.016816828844515</v>
      </c>
      <c r="F25" s="65"/>
      <c r="G25" s="28"/>
      <c r="H25" s="66"/>
      <c r="I25" s="22"/>
      <c r="J25" s="22"/>
      <c r="K25" s="25"/>
      <c r="L25" s="43"/>
      <c r="R25" s="87">
        <v>300</v>
      </c>
      <c r="S25" s="79">
        <v>6</v>
      </c>
      <c r="U25" s="3"/>
      <c r="W25" s="142"/>
      <c r="X25" s="1"/>
      <c r="Y25" s="411"/>
      <c r="Z25" s="142"/>
      <c r="AA25" s="411"/>
      <c r="AB25" s="142"/>
    </row>
    <row r="26" spans="1:28" ht="15.95" customHeight="1" x14ac:dyDescent="0.2">
      <c r="A26" s="26" t="s">
        <v>221</v>
      </c>
      <c r="B26" s="255" t="s">
        <v>261</v>
      </c>
      <c r="C26" s="287">
        <f>'Berekening trap 1'!B51</f>
        <v>1.2515420236609607</v>
      </c>
      <c r="D26" s="273"/>
      <c r="E26" s="281">
        <f>'Berekening trap 2'!B51</f>
        <v>1.2400099113055771</v>
      </c>
      <c r="F26" s="253"/>
      <c r="G26" s="307" t="s">
        <v>269</v>
      </c>
      <c r="H26" s="253"/>
      <c r="I26" s="253"/>
      <c r="J26" s="258"/>
      <c r="K26" s="25"/>
      <c r="R26" s="87">
        <v>350</v>
      </c>
      <c r="S26" s="35">
        <v>6</v>
      </c>
      <c r="T26" s="6"/>
      <c r="W26" s="142"/>
      <c r="X26" s="1"/>
      <c r="Y26" s="412"/>
      <c r="Z26" s="142"/>
      <c r="AA26" s="412"/>
      <c r="AB26" s="142"/>
    </row>
    <row r="27" spans="1:28" ht="15.95" customHeight="1" x14ac:dyDescent="0.2">
      <c r="A27" s="278" t="s">
        <v>41</v>
      </c>
      <c r="B27" s="28" t="s">
        <v>5</v>
      </c>
      <c r="C27" s="301">
        <f>'Berekening trap 1'!W190</f>
        <v>99.195566765970923</v>
      </c>
      <c r="D27" s="302"/>
      <c r="E27" s="303">
        <f>'Berekening trap 2'!P190</f>
        <v>96.902926482982863</v>
      </c>
      <c r="F27" s="310"/>
      <c r="G27" s="311">
        <f>100-100*G31/(W19*1000)</f>
        <v>99.975086111346798</v>
      </c>
      <c r="H27" s="254"/>
      <c r="I27" s="258"/>
      <c r="J27" s="258"/>
      <c r="K27" s="25"/>
      <c r="Q27" s="2"/>
      <c r="R27" s="87">
        <v>435</v>
      </c>
      <c r="S27" s="79"/>
      <c r="T27" s="6"/>
      <c r="W27" s="142"/>
      <c r="X27" s="1"/>
      <c r="Y27" s="411"/>
      <c r="Z27" s="142"/>
      <c r="AA27" s="411"/>
      <c r="AB27" s="142"/>
    </row>
    <row r="28" spans="1:28" ht="15.95" customHeight="1" x14ac:dyDescent="0.2">
      <c r="A28" s="278" t="s">
        <v>42</v>
      </c>
      <c r="B28" s="28" t="s">
        <v>83</v>
      </c>
      <c r="C28" s="297">
        <f>'Berekening trap 1'!R27</f>
        <v>1803.6484415278442</v>
      </c>
      <c r="D28" s="22"/>
      <c r="E28" s="298">
        <f>'Berekening trap 2'!R27</f>
        <v>1667.9678321814874</v>
      </c>
      <c r="F28" s="26"/>
      <c r="G28" s="276">
        <f>C28+E28</f>
        <v>3471.6162737093318</v>
      </c>
      <c r="H28" s="22"/>
      <c r="I28" s="22"/>
      <c r="J28" s="258"/>
      <c r="K28" s="25"/>
      <c r="Q28" s="4"/>
      <c r="R28" s="79">
        <v>550</v>
      </c>
      <c r="S28" s="89"/>
      <c r="T28" s="6"/>
      <c r="W28" s="142"/>
      <c r="X28" s="1"/>
      <c r="Y28" s="142"/>
      <c r="Z28" s="142"/>
      <c r="AA28" s="142"/>
      <c r="AB28" s="142"/>
    </row>
    <row r="29" spans="1:28" ht="15.95" customHeight="1" x14ac:dyDescent="0.2">
      <c r="A29" s="26" t="s">
        <v>42</v>
      </c>
      <c r="B29" s="22" t="s">
        <v>84</v>
      </c>
      <c r="C29" s="297">
        <f>'Berekening trap 1'!R28</f>
        <v>1171.8019138010372</v>
      </c>
      <c r="D29" s="22"/>
      <c r="E29" s="298">
        <f>'Berekening trap 2'!R28</f>
        <v>1216.0048972624784</v>
      </c>
      <c r="F29" s="26"/>
      <c r="G29" s="276">
        <f>C29+E29</f>
        <v>2387.8068110635159</v>
      </c>
      <c r="H29" s="22"/>
      <c r="I29" s="22"/>
      <c r="J29" s="258"/>
      <c r="K29" s="25"/>
      <c r="R29" s="79">
        <v>750</v>
      </c>
      <c r="S29" s="92"/>
      <c r="T29" s="6"/>
      <c r="W29" s="142"/>
      <c r="X29" s="413"/>
      <c r="Y29" s="411"/>
      <c r="Z29" s="142"/>
      <c r="AA29" s="411"/>
      <c r="AB29" s="142"/>
    </row>
    <row r="30" spans="1:28" ht="15.95" customHeight="1" x14ac:dyDescent="0.2">
      <c r="A30" s="278" t="s">
        <v>43</v>
      </c>
      <c r="B30" s="257" t="s">
        <v>143</v>
      </c>
      <c r="C30" s="296">
        <f>'Berekening trap 1'!W191</f>
        <v>0.61941359020238929</v>
      </c>
      <c r="D30" s="22"/>
      <c r="E30" s="299">
        <f>'Berekening trap 2'!P191</f>
        <v>1.8831793522966874E-2</v>
      </c>
      <c r="F30" s="26"/>
      <c r="G30" s="308">
        <f>E30</f>
        <v>1.8831793522966874E-2</v>
      </c>
      <c r="H30" s="22"/>
      <c r="I30" s="22"/>
      <c r="J30" s="254"/>
      <c r="K30" s="25" t="s">
        <v>56</v>
      </c>
      <c r="Q30" s="4"/>
      <c r="R30" s="79">
        <v>850</v>
      </c>
      <c r="S30" s="79"/>
      <c r="T30" s="6"/>
    </row>
    <row r="31" spans="1:28" ht="15.95" customHeight="1" x14ac:dyDescent="0.2">
      <c r="A31" s="282" t="s">
        <v>43</v>
      </c>
      <c r="B31" s="34" t="s">
        <v>44</v>
      </c>
      <c r="C31" s="295">
        <f>'Berekening trap 1'!W192</f>
        <v>0.74352891089365014</v>
      </c>
      <c r="D31" s="34"/>
      <c r="E31" s="300">
        <f>'Berekening trap 2'!P192</f>
        <v>2.3027636990653137E-2</v>
      </c>
      <c r="F31" s="32"/>
      <c r="G31" s="309">
        <f>E31</f>
        <v>2.3027636990653137E-2</v>
      </c>
      <c r="H31" s="22"/>
      <c r="I31" s="22"/>
      <c r="J31" s="258"/>
      <c r="K31" s="25"/>
      <c r="Q31" s="347">
        <f>'[4]input&amp;output'!T37</f>
        <v>0</v>
      </c>
      <c r="R31" s="347">
        <f>'[4]input&amp;output'!U37</f>
        <v>0</v>
      </c>
      <c r="S31" s="348">
        <f>'[4]input&amp;output'!V37</f>
        <v>0</v>
      </c>
      <c r="T31" s="349" t="e">
        <f>($L5*$C$8^$M5)/(1+($N5/$C$8)+#REF!/($C$8^2))</f>
        <v>#REF!</v>
      </c>
    </row>
    <row r="32" spans="1:28" ht="15.95" customHeight="1" x14ac:dyDescent="0.2">
      <c r="A32" s="26"/>
      <c r="B32" s="22"/>
      <c r="C32" s="22"/>
      <c r="D32" s="22"/>
      <c r="E32" s="22"/>
      <c r="F32" s="22"/>
      <c r="G32" s="22"/>
      <c r="H32" s="22"/>
      <c r="I32" s="22"/>
      <c r="J32" s="246"/>
      <c r="K32" s="29"/>
      <c r="R32" s="93">
        <v>1850</v>
      </c>
      <c r="S32" s="93"/>
    </row>
    <row r="33" spans="1:25" ht="15.95" customHeight="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9"/>
      <c r="R33" s="91" t="s">
        <v>59</v>
      </c>
      <c r="S33" s="93"/>
    </row>
    <row r="34" spans="1:25" ht="15.95" customHeight="1" thickBot="1" x14ac:dyDescent="0.25">
      <c r="A34" s="260" t="s">
        <v>266</v>
      </c>
      <c r="B34" s="239"/>
      <c r="C34" s="24"/>
      <c r="D34" s="67" t="s">
        <v>248</v>
      </c>
      <c r="E34" s="22"/>
      <c r="F34" s="22"/>
      <c r="G34" s="22"/>
      <c r="H34" s="22"/>
      <c r="I34" s="22"/>
      <c r="J34" s="28"/>
      <c r="K34" s="29"/>
      <c r="R34" s="93"/>
      <c r="S34" s="93"/>
    </row>
    <row r="35" spans="1:25" ht="15.95" customHeight="1" x14ac:dyDescent="0.2">
      <c r="A35" s="236" t="s">
        <v>37</v>
      </c>
      <c r="B35" s="237" t="s">
        <v>38</v>
      </c>
      <c r="C35" s="236" t="s">
        <v>96</v>
      </c>
      <c r="D35" s="67" t="s">
        <v>50</v>
      </c>
      <c r="E35" s="22"/>
      <c r="F35" s="22"/>
      <c r="G35" s="22"/>
      <c r="H35" s="22"/>
      <c r="I35" s="22"/>
      <c r="J35" s="22"/>
      <c r="K35" s="25"/>
      <c r="Q35" s="2"/>
      <c r="R35" s="75" t="s">
        <v>34</v>
      </c>
      <c r="S35" s="76"/>
      <c r="T35" s="11"/>
      <c r="V35" s="36"/>
    </row>
    <row r="36" spans="1:25" ht="15.95" customHeight="1" x14ac:dyDescent="0.2">
      <c r="A36" s="446">
        <v>10</v>
      </c>
      <c r="B36" s="242">
        <v>99.2</v>
      </c>
      <c r="C36" s="245">
        <v>1</v>
      </c>
      <c r="D36" s="67" t="s">
        <v>258</v>
      </c>
      <c r="E36" s="22"/>
      <c r="F36" s="22"/>
      <c r="G36" s="22"/>
      <c r="H36" s="22"/>
      <c r="I36" s="22"/>
      <c r="J36" s="28"/>
      <c r="K36" s="29"/>
      <c r="Q36" s="4"/>
      <c r="R36" s="78" t="s">
        <v>35</v>
      </c>
      <c r="S36" s="79">
        <v>2</v>
      </c>
      <c r="T36" s="12">
        <v>2</v>
      </c>
      <c r="U36" t="str">
        <f>IF(S36=1,"NA","Y")</f>
        <v>Y</v>
      </c>
      <c r="Y36" s="36"/>
    </row>
    <row r="37" spans="1:25" ht="15.95" customHeight="1" thickBot="1" x14ac:dyDescent="0.25">
      <c r="A37" s="231">
        <v>15</v>
      </c>
      <c r="B37" s="232">
        <v>85.2</v>
      </c>
      <c r="C37" s="25">
        <f>C36+1</f>
        <v>2</v>
      </c>
      <c r="D37" s="22"/>
      <c r="E37" s="22"/>
      <c r="F37" s="22"/>
      <c r="G37" s="22"/>
      <c r="H37" s="22"/>
      <c r="I37" s="22"/>
      <c r="J37" s="22"/>
      <c r="K37" s="25"/>
      <c r="R37" s="94" t="s">
        <v>36</v>
      </c>
      <c r="S37" s="86">
        <v>1</v>
      </c>
      <c r="T37" s="16"/>
      <c r="U37" t="str">
        <f>IF(T36=1,"NA","Y")</f>
        <v>Y</v>
      </c>
      <c r="V37" s="36"/>
      <c r="Y37" s="36"/>
    </row>
    <row r="38" spans="1:25" ht="15.95" customHeight="1" x14ac:dyDescent="0.2">
      <c r="A38" s="231">
        <v>20</v>
      </c>
      <c r="B38" s="232">
        <v>57.5</v>
      </c>
      <c r="C38" s="25">
        <f t="shared" ref="C38:C101" si="0">C37+1</f>
        <v>3</v>
      </c>
      <c r="D38" s="22"/>
      <c r="E38" s="22"/>
      <c r="F38" s="22"/>
      <c r="G38" s="22"/>
      <c r="H38" s="22"/>
      <c r="I38" s="22"/>
      <c r="J38" s="22"/>
      <c r="K38" s="25"/>
      <c r="N38" s="1"/>
      <c r="Q38" s="4"/>
      <c r="R38" s="7"/>
      <c r="S38" s="6"/>
      <c r="V38" s="36"/>
      <c r="Y38" s="36"/>
    </row>
    <row r="39" spans="1:25" ht="15.95" customHeight="1" x14ac:dyDescent="0.2">
      <c r="A39" s="231">
        <v>30</v>
      </c>
      <c r="B39" s="232">
        <v>15.4</v>
      </c>
      <c r="C39" s="25">
        <f t="shared" si="0"/>
        <v>4</v>
      </c>
      <c r="D39" s="22"/>
      <c r="E39" s="22"/>
      <c r="F39" s="22"/>
      <c r="G39" s="22"/>
      <c r="H39" s="22"/>
      <c r="I39" s="22"/>
      <c r="J39" s="22"/>
      <c r="K39" s="25"/>
      <c r="R39" s="17"/>
      <c r="S39" s="6"/>
      <c r="T39" s="6"/>
      <c r="U39" s="6"/>
      <c r="V39" s="36"/>
      <c r="Y39" s="47"/>
    </row>
    <row r="40" spans="1:25" ht="15.95" customHeight="1" x14ac:dyDescent="0.2">
      <c r="A40" s="231">
        <v>40</v>
      </c>
      <c r="B40" s="232">
        <v>10</v>
      </c>
      <c r="C40" s="25">
        <f t="shared" si="0"/>
        <v>5</v>
      </c>
      <c r="D40" s="22"/>
      <c r="E40" s="22"/>
      <c r="F40" s="22"/>
      <c r="G40" s="22"/>
      <c r="H40" s="22"/>
      <c r="I40" s="22"/>
      <c r="J40" s="22"/>
      <c r="K40" s="25"/>
      <c r="R40" s="7"/>
      <c r="S40" s="6"/>
      <c r="T40" s="6"/>
      <c r="U40" s="6"/>
      <c r="V40" s="47"/>
    </row>
    <row r="41" spans="1:25" ht="15.95" customHeight="1" x14ac:dyDescent="0.2">
      <c r="A41" s="231">
        <v>50</v>
      </c>
      <c r="B41" s="232">
        <v>6.7</v>
      </c>
      <c r="C41" s="25">
        <f t="shared" si="0"/>
        <v>6</v>
      </c>
      <c r="D41" s="22"/>
      <c r="E41" s="22"/>
      <c r="F41" s="22"/>
      <c r="G41" s="22"/>
      <c r="H41" s="22"/>
      <c r="I41" s="22"/>
      <c r="J41" s="246"/>
      <c r="K41" s="29"/>
    </row>
    <row r="42" spans="1:25" ht="15.95" customHeight="1" x14ac:dyDescent="0.2">
      <c r="A42" s="231">
        <v>60</v>
      </c>
      <c r="B42" s="232">
        <v>4.5</v>
      </c>
      <c r="C42" s="25">
        <f t="shared" si="0"/>
        <v>7</v>
      </c>
      <c r="D42" s="22"/>
      <c r="E42" s="22"/>
      <c r="F42" s="22"/>
      <c r="G42" s="22"/>
      <c r="H42" s="22"/>
      <c r="I42" s="22"/>
      <c r="J42" s="28"/>
      <c r="K42" s="29"/>
    </row>
    <row r="43" spans="1:25" ht="15.95" customHeight="1" x14ac:dyDescent="0.2">
      <c r="A43" s="231">
        <v>80</v>
      </c>
      <c r="B43" s="232">
        <v>2</v>
      </c>
      <c r="C43" s="25">
        <f t="shared" si="0"/>
        <v>8</v>
      </c>
      <c r="D43" s="22"/>
      <c r="E43" s="22"/>
      <c r="F43" s="22"/>
      <c r="G43" s="22"/>
      <c r="H43" s="22"/>
      <c r="I43" s="22"/>
      <c r="J43" s="22"/>
      <c r="K43" s="25"/>
      <c r="N43" s="36"/>
      <c r="R43" s="6"/>
      <c r="S43" s="6"/>
      <c r="T43" s="6"/>
    </row>
    <row r="44" spans="1:25" ht="15.95" customHeight="1" x14ac:dyDescent="0.2">
      <c r="A44" s="231"/>
      <c r="B44" s="232"/>
      <c r="C44" s="25">
        <f t="shared" si="0"/>
        <v>9</v>
      </c>
      <c r="D44" s="22"/>
      <c r="E44" s="22"/>
      <c r="F44" s="22"/>
      <c r="G44" s="22"/>
      <c r="H44" s="22"/>
      <c r="I44" s="22"/>
      <c r="J44" s="28"/>
      <c r="K44" s="29"/>
      <c r="R44" s="6"/>
      <c r="S44" s="6"/>
      <c r="T44" s="6"/>
    </row>
    <row r="45" spans="1:25" ht="15.95" customHeight="1" x14ac:dyDescent="0.2">
      <c r="A45" s="231"/>
      <c r="B45" s="232"/>
      <c r="C45" s="25">
        <f t="shared" si="0"/>
        <v>10</v>
      </c>
      <c r="D45" s="22"/>
      <c r="E45" s="22"/>
      <c r="F45" s="22"/>
      <c r="G45" s="22"/>
      <c r="H45" s="22"/>
      <c r="I45" s="22"/>
      <c r="J45" s="22"/>
      <c r="K45" s="25"/>
      <c r="N45" s="353"/>
      <c r="R45" s="6"/>
      <c r="S45" s="6"/>
      <c r="T45" s="6"/>
    </row>
    <row r="46" spans="1:25" ht="15.95" customHeight="1" x14ac:dyDescent="0.2">
      <c r="A46" s="231"/>
      <c r="B46" s="232"/>
      <c r="C46" s="25">
        <f t="shared" si="0"/>
        <v>11</v>
      </c>
      <c r="D46" s="22"/>
      <c r="E46" s="22"/>
      <c r="F46" s="22"/>
      <c r="G46" s="22"/>
      <c r="H46" s="22"/>
      <c r="I46" s="22"/>
      <c r="J46" s="22"/>
      <c r="K46" s="25"/>
    </row>
    <row r="47" spans="1:25" x14ac:dyDescent="0.2">
      <c r="A47" s="231"/>
      <c r="B47" s="232"/>
      <c r="C47" s="25">
        <f t="shared" si="0"/>
        <v>12</v>
      </c>
      <c r="D47" s="22"/>
      <c r="E47" s="22"/>
      <c r="F47" s="22"/>
      <c r="G47" s="22"/>
      <c r="H47" s="22"/>
      <c r="I47" s="22"/>
      <c r="J47" s="22"/>
      <c r="K47" s="25"/>
    </row>
    <row r="48" spans="1:25" x14ac:dyDescent="0.2">
      <c r="A48" s="231"/>
      <c r="B48" s="232"/>
      <c r="C48" s="25">
        <f t="shared" si="0"/>
        <v>13</v>
      </c>
      <c r="D48" s="22"/>
      <c r="E48" s="22"/>
      <c r="F48" s="22"/>
      <c r="G48" s="22"/>
      <c r="H48" s="22"/>
      <c r="I48" s="22"/>
      <c r="J48" s="22"/>
      <c r="K48" s="25"/>
    </row>
    <row r="49" spans="1:11" x14ac:dyDescent="0.2">
      <c r="A49" s="231"/>
      <c r="B49" s="232"/>
      <c r="C49" s="25">
        <f t="shared" si="0"/>
        <v>14</v>
      </c>
      <c r="D49" s="22"/>
      <c r="E49" s="22"/>
      <c r="F49" s="22"/>
      <c r="G49" s="22"/>
      <c r="H49" s="22"/>
      <c r="I49" s="22"/>
      <c r="J49" s="246"/>
      <c r="K49" s="29"/>
    </row>
    <row r="50" spans="1:11" x14ac:dyDescent="0.2">
      <c r="A50" s="231"/>
      <c r="B50" s="232"/>
      <c r="C50" s="25">
        <f t="shared" si="0"/>
        <v>15</v>
      </c>
      <c r="D50" s="22"/>
      <c r="E50" s="22"/>
      <c r="F50" s="22"/>
      <c r="G50" s="22"/>
      <c r="H50" s="22"/>
      <c r="I50" s="22"/>
      <c r="J50" s="28"/>
      <c r="K50" s="29"/>
    </row>
    <row r="51" spans="1:11" x14ac:dyDescent="0.2">
      <c r="A51" s="231"/>
      <c r="B51" s="232"/>
      <c r="C51" s="25">
        <f t="shared" si="0"/>
        <v>16</v>
      </c>
      <c r="D51" s="22"/>
      <c r="E51" s="22"/>
      <c r="F51" s="22"/>
      <c r="G51" s="22"/>
      <c r="H51" s="22"/>
      <c r="I51" s="22"/>
      <c r="J51" s="22"/>
      <c r="K51" s="25"/>
    </row>
    <row r="52" spans="1:11" x14ac:dyDescent="0.2">
      <c r="A52" s="231"/>
      <c r="B52" s="232"/>
      <c r="C52" s="25">
        <f t="shared" si="0"/>
        <v>17</v>
      </c>
      <c r="D52" s="22"/>
      <c r="E52" s="22"/>
      <c r="F52" s="22"/>
      <c r="G52" s="22"/>
      <c r="H52" s="22"/>
      <c r="I52" s="22"/>
      <c r="J52" s="22"/>
      <c r="K52" s="25"/>
    </row>
    <row r="53" spans="1:11" x14ac:dyDescent="0.2">
      <c r="A53" s="231"/>
      <c r="B53" s="232"/>
      <c r="C53" s="25">
        <f t="shared" si="0"/>
        <v>18</v>
      </c>
      <c r="D53" s="22"/>
      <c r="E53" s="22"/>
      <c r="F53" s="22"/>
      <c r="G53" s="22"/>
      <c r="H53" s="22"/>
      <c r="I53" s="22"/>
      <c r="J53" s="22"/>
      <c r="K53" s="25"/>
    </row>
    <row r="54" spans="1:11" x14ac:dyDescent="0.2">
      <c r="A54" s="231"/>
      <c r="B54" s="232"/>
      <c r="C54" s="25">
        <f t="shared" si="0"/>
        <v>19</v>
      </c>
      <c r="D54" s="22"/>
      <c r="E54" s="22"/>
      <c r="F54" s="22"/>
      <c r="G54" s="22"/>
      <c r="H54" s="22"/>
      <c r="I54" s="22"/>
      <c r="J54" s="22"/>
      <c r="K54" s="25"/>
    </row>
    <row r="55" spans="1:11" x14ac:dyDescent="0.2">
      <c r="A55" s="231"/>
      <c r="B55" s="232"/>
      <c r="C55" s="25">
        <f t="shared" si="0"/>
        <v>20</v>
      </c>
      <c r="D55" s="22"/>
      <c r="E55" s="22"/>
      <c r="F55" s="22"/>
      <c r="G55" s="22"/>
      <c r="H55" s="22"/>
      <c r="I55" s="22"/>
      <c r="J55" s="246"/>
      <c r="K55" s="29"/>
    </row>
    <row r="56" spans="1:11" x14ac:dyDescent="0.2">
      <c r="A56" s="231"/>
      <c r="B56" s="232"/>
      <c r="C56" s="25">
        <f t="shared" si="0"/>
        <v>21</v>
      </c>
      <c r="D56" s="22"/>
      <c r="E56" s="22"/>
      <c r="F56" s="22"/>
      <c r="G56" s="22"/>
      <c r="H56" s="22"/>
      <c r="I56" s="22"/>
      <c r="J56" s="28"/>
      <c r="K56" s="29"/>
    </row>
    <row r="57" spans="1:11" x14ac:dyDescent="0.2">
      <c r="A57" s="231"/>
      <c r="B57" s="232"/>
      <c r="C57" s="25">
        <f t="shared" si="0"/>
        <v>22</v>
      </c>
      <c r="D57" s="22"/>
      <c r="E57" s="22"/>
      <c r="F57" s="22"/>
      <c r="G57" s="22"/>
      <c r="H57" s="22"/>
      <c r="I57" s="22"/>
      <c r="J57" s="22"/>
      <c r="K57" s="25"/>
    </row>
    <row r="58" spans="1:11" x14ac:dyDescent="0.2">
      <c r="A58" s="231"/>
      <c r="B58" s="232"/>
      <c r="C58" s="25">
        <f t="shared" si="0"/>
        <v>23</v>
      </c>
      <c r="D58" s="22"/>
      <c r="E58" s="22"/>
      <c r="F58" s="22"/>
      <c r="G58" s="22"/>
      <c r="H58" s="22"/>
      <c r="I58" s="22"/>
      <c r="J58" s="22"/>
      <c r="K58" s="25"/>
    </row>
    <row r="59" spans="1:11" x14ac:dyDescent="0.2">
      <c r="A59" s="231"/>
      <c r="B59" s="232"/>
      <c r="C59" s="25">
        <f t="shared" si="0"/>
        <v>24</v>
      </c>
      <c r="D59" s="22"/>
      <c r="E59" s="22"/>
      <c r="F59" s="22"/>
      <c r="G59" s="22"/>
      <c r="H59" s="22"/>
      <c r="I59" s="22"/>
      <c r="J59" s="22"/>
      <c r="K59" s="25"/>
    </row>
    <row r="60" spans="1:11" x14ac:dyDescent="0.2">
      <c r="A60" s="231"/>
      <c r="B60" s="232"/>
      <c r="C60" s="25">
        <f t="shared" si="0"/>
        <v>25</v>
      </c>
      <c r="D60" s="22"/>
      <c r="E60" s="337" t="s">
        <v>287</v>
      </c>
      <c r="F60" s="22"/>
      <c r="G60" s="22"/>
      <c r="H60" s="22"/>
      <c r="I60" s="22"/>
      <c r="J60" s="22"/>
      <c r="K60" s="25"/>
    </row>
    <row r="61" spans="1:11" x14ac:dyDescent="0.2">
      <c r="A61" s="231"/>
      <c r="B61" s="232"/>
      <c r="C61" s="25">
        <f t="shared" si="0"/>
        <v>26</v>
      </c>
      <c r="D61" s="22"/>
      <c r="E61" s="337" t="s">
        <v>289</v>
      </c>
      <c r="F61" s="22"/>
      <c r="G61" s="22"/>
      <c r="H61" s="22"/>
      <c r="I61" s="22"/>
      <c r="J61" s="22"/>
      <c r="K61" s="25"/>
    </row>
    <row r="62" spans="1:11" x14ac:dyDescent="0.2">
      <c r="A62" s="231"/>
      <c r="B62" s="232"/>
      <c r="C62" s="25">
        <f t="shared" si="0"/>
        <v>27</v>
      </c>
      <c r="D62" s="22"/>
      <c r="E62" s="22"/>
      <c r="F62" s="22"/>
      <c r="G62" s="22"/>
      <c r="H62" s="22"/>
      <c r="I62" s="22"/>
      <c r="J62" s="22"/>
      <c r="K62" s="25"/>
    </row>
    <row r="63" spans="1:11" x14ac:dyDescent="0.2">
      <c r="A63" s="231"/>
      <c r="B63" s="232"/>
      <c r="C63" s="25">
        <f t="shared" si="0"/>
        <v>28</v>
      </c>
      <c r="D63" s="22"/>
      <c r="E63" s="22"/>
      <c r="F63" s="22"/>
      <c r="G63" s="22"/>
      <c r="H63" s="22"/>
      <c r="I63" s="22"/>
      <c r="J63" s="22"/>
      <c r="K63" s="25"/>
    </row>
    <row r="64" spans="1:11" x14ac:dyDescent="0.2">
      <c r="A64" s="231"/>
      <c r="B64" s="232"/>
      <c r="C64" s="25">
        <f t="shared" si="0"/>
        <v>29</v>
      </c>
      <c r="D64" s="22"/>
      <c r="E64" s="22"/>
      <c r="F64" s="22"/>
      <c r="G64" s="22"/>
      <c r="H64" s="22"/>
      <c r="I64" s="22"/>
      <c r="J64" s="22"/>
      <c r="K64" s="25"/>
    </row>
    <row r="65" spans="1:11" x14ac:dyDescent="0.2">
      <c r="A65" s="231"/>
      <c r="B65" s="232"/>
      <c r="C65" s="25">
        <f t="shared" si="0"/>
        <v>30</v>
      </c>
      <c r="D65" s="22"/>
      <c r="E65" s="22"/>
      <c r="F65" s="22"/>
      <c r="G65" s="22"/>
      <c r="H65" s="22"/>
      <c r="I65" s="22"/>
      <c r="J65" s="22"/>
      <c r="K65" s="25"/>
    </row>
    <row r="66" spans="1:11" x14ac:dyDescent="0.2">
      <c r="A66" s="231"/>
      <c r="B66" s="232"/>
      <c r="C66" s="25">
        <f t="shared" si="0"/>
        <v>31</v>
      </c>
      <c r="D66" s="22"/>
      <c r="E66" s="22"/>
      <c r="F66" s="22"/>
      <c r="G66" s="22"/>
      <c r="H66" s="22"/>
      <c r="I66" s="22"/>
      <c r="J66" s="22"/>
      <c r="K66" s="25"/>
    </row>
    <row r="67" spans="1:11" x14ac:dyDescent="0.2">
      <c r="A67" s="231"/>
      <c r="B67" s="232"/>
      <c r="C67" s="25">
        <f t="shared" si="0"/>
        <v>32</v>
      </c>
      <c r="D67" s="22"/>
      <c r="E67" s="22"/>
      <c r="F67" s="22"/>
      <c r="G67" s="22"/>
      <c r="H67" s="22"/>
      <c r="I67" s="22"/>
      <c r="J67" s="22"/>
      <c r="K67" s="25"/>
    </row>
    <row r="68" spans="1:11" x14ac:dyDescent="0.2">
      <c r="A68" s="231"/>
      <c r="B68" s="232"/>
      <c r="C68" s="25">
        <f t="shared" si="0"/>
        <v>33</v>
      </c>
      <c r="D68" s="22"/>
      <c r="E68" s="22"/>
      <c r="F68" s="22"/>
      <c r="G68" s="22"/>
      <c r="H68" s="22"/>
      <c r="I68" s="22"/>
      <c r="J68" s="22"/>
      <c r="K68" s="25"/>
    </row>
    <row r="69" spans="1:11" x14ac:dyDescent="0.2">
      <c r="A69" s="231"/>
      <c r="B69" s="232"/>
      <c r="C69" s="25">
        <f t="shared" si="0"/>
        <v>34</v>
      </c>
      <c r="D69" s="22"/>
      <c r="E69" s="22"/>
      <c r="F69" s="22"/>
      <c r="G69" s="22"/>
      <c r="H69" s="22"/>
      <c r="I69" s="22"/>
      <c r="J69" s="22"/>
      <c r="K69" s="25"/>
    </row>
    <row r="70" spans="1:11" x14ac:dyDescent="0.2">
      <c r="A70" s="231"/>
      <c r="B70" s="232"/>
      <c r="C70" s="25">
        <f t="shared" si="0"/>
        <v>35</v>
      </c>
      <c r="D70" s="22"/>
      <c r="E70" s="22"/>
      <c r="F70" s="22"/>
      <c r="G70" s="22"/>
      <c r="H70" s="22"/>
      <c r="I70" s="22"/>
      <c r="J70" s="22"/>
      <c r="K70" s="25"/>
    </row>
    <row r="71" spans="1:11" x14ac:dyDescent="0.2">
      <c r="A71" s="231"/>
      <c r="B71" s="232"/>
      <c r="C71" s="25">
        <f t="shared" si="0"/>
        <v>36</v>
      </c>
      <c r="D71" s="22"/>
      <c r="E71" s="22"/>
      <c r="F71" s="22"/>
      <c r="G71" s="22"/>
      <c r="H71" s="22"/>
      <c r="I71" s="22"/>
      <c r="J71" s="22"/>
      <c r="K71" s="25"/>
    </row>
    <row r="72" spans="1:11" x14ac:dyDescent="0.2">
      <c r="A72" s="231"/>
      <c r="B72" s="232"/>
      <c r="C72" s="25">
        <f t="shared" si="0"/>
        <v>37</v>
      </c>
      <c r="D72" s="22"/>
      <c r="E72" s="22"/>
      <c r="F72" s="22"/>
      <c r="G72" s="22"/>
      <c r="H72" s="22"/>
      <c r="I72" s="22"/>
      <c r="J72" s="22"/>
      <c r="K72" s="25"/>
    </row>
    <row r="73" spans="1:11" x14ac:dyDescent="0.2">
      <c r="A73" s="231"/>
      <c r="B73" s="232"/>
      <c r="C73" s="25">
        <f t="shared" si="0"/>
        <v>38</v>
      </c>
      <c r="D73" s="22"/>
      <c r="E73" s="22"/>
      <c r="F73" s="22"/>
      <c r="G73" s="22"/>
      <c r="H73" s="22"/>
      <c r="I73" s="22"/>
      <c r="J73" s="22"/>
      <c r="K73" s="25"/>
    </row>
    <row r="74" spans="1:11" x14ac:dyDescent="0.2">
      <c r="A74" s="231"/>
      <c r="B74" s="232"/>
      <c r="C74" s="25">
        <f t="shared" si="0"/>
        <v>39</v>
      </c>
      <c r="D74" s="22"/>
      <c r="E74" s="22"/>
      <c r="F74" s="22"/>
      <c r="G74" s="22"/>
      <c r="H74" s="22"/>
      <c r="I74" s="22"/>
      <c r="J74" s="22"/>
      <c r="K74" s="25"/>
    </row>
    <row r="75" spans="1:11" x14ac:dyDescent="0.2">
      <c r="A75" s="231"/>
      <c r="B75" s="232"/>
      <c r="C75" s="25">
        <f t="shared" si="0"/>
        <v>40</v>
      </c>
      <c r="D75" s="22"/>
      <c r="E75" s="22"/>
      <c r="F75" s="22"/>
      <c r="G75" s="22"/>
      <c r="H75" s="22"/>
      <c r="I75" s="22"/>
      <c r="J75" s="22"/>
      <c r="K75" s="25"/>
    </row>
    <row r="76" spans="1:11" x14ac:dyDescent="0.2">
      <c r="A76" s="231"/>
      <c r="B76" s="232"/>
      <c r="C76" s="25">
        <f t="shared" si="0"/>
        <v>41</v>
      </c>
      <c r="D76" s="22"/>
      <c r="E76" s="22"/>
      <c r="F76" s="22"/>
      <c r="G76" s="22"/>
      <c r="H76" s="22"/>
      <c r="I76" s="22"/>
      <c r="J76" s="22"/>
      <c r="K76" s="25"/>
    </row>
    <row r="77" spans="1:11" x14ac:dyDescent="0.2">
      <c r="A77" s="231"/>
      <c r="B77" s="232"/>
      <c r="C77" s="25">
        <f t="shared" si="0"/>
        <v>42</v>
      </c>
      <c r="D77" s="22"/>
      <c r="E77" s="22"/>
      <c r="F77" s="22"/>
      <c r="G77" s="22"/>
      <c r="H77" s="22"/>
      <c r="I77" s="22"/>
      <c r="J77" s="22"/>
      <c r="K77" s="25"/>
    </row>
    <row r="78" spans="1:11" x14ac:dyDescent="0.2">
      <c r="A78" s="231"/>
      <c r="B78" s="232"/>
      <c r="C78" s="25">
        <f t="shared" si="0"/>
        <v>43</v>
      </c>
      <c r="D78" s="22"/>
      <c r="E78" s="22"/>
      <c r="F78" s="22"/>
      <c r="G78" s="22"/>
      <c r="H78" s="22"/>
      <c r="I78" s="22"/>
      <c r="J78" s="22"/>
      <c r="K78" s="25"/>
    </row>
    <row r="79" spans="1:11" x14ac:dyDescent="0.2">
      <c r="A79" s="231"/>
      <c r="B79" s="232"/>
      <c r="C79" s="25">
        <f t="shared" si="0"/>
        <v>44</v>
      </c>
      <c r="D79" s="22"/>
      <c r="E79" s="22"/>
      <c r="F79" s="22"/>
      <c r="G79" s="22"/>
      <c r="H79" s="22"/>
      <c r="I79" s="22"/>
      <c r="J79" s="22"/>
      <c r="K79" s="25"/>
    </row>
    <row r="80" spans="1:11" x14ac:dyDescent="0.2">
      <c r="A80" s="231"/>
      <c r="B80" s="232"/>
      <c r="C80" s="25">
        <f t="shared" si="0"/>
        <v>45</v>
      </c>
      <c r="D80" s="22"/>
      <c r="E80" s="22"/>
      <c r="F80" s="22"/>
      <c r="G80" s="22"/>
      <c r="H80" s="22"/>
      <c r="I80" s="22"/>
      <c r="J80" s="22"/>
      <c r="K80" s="25"/>
    </row>
    <row r="81" spans="1:11" x14ac:dyDescent="0.2">
      <c r="A81" s="231"/>
      <c r="B81" s="232"/>
      <c r="C81" s="25">
        <f t="shared" si="0"/>
        <v>46</v>
      </c>
      <c r="D81" s="22"/>
      <c r="E81" s="22"/>
      <c r="F81" s="22"/>
      <c r="G81" s="22"/>
      <c r="H81" s="22"/>
      <c r="I81" s="22"/>
      <c r="J81" s="22"/>
      <c r="K81" s="25"/>
    </row>
    <row r="82" spans="1:11" x14ac:dyDescent="0.2">
      <c r="A82" s="231"/>
      <c r="B82" s="232"/>
      <c r="C82" s="25">
        <f t="shared" si="0"/>
        <v>47</v>
      </c>
      <c r="D82" s="22"/>
      <c r="E82" s="22"/>
      <c r="F82" s="22"/>
      <c r="G82" s="22"/>
      <c r="H82" s="22"/>
      <c r="I82" s="22"/>
      <c r="J82" s="22"/>
      <c r="K82" s="25"/>
    </row>
    <row r="83" spans="1:11" x14ac:dyDescent="0.2">
      <c r="A83" s="231"/>
      <c r="B83" s="232"/>
      <c r="C83" s="25">
        <f t="shared" si="0"/>
        <v>48</v>
      </c>
      <c r="D83" s="22"/>
      <c r="E83" s="22"/>
      <c r="F83" s="22"/>
      <c r="G83" s="22"/>
      <c r="H83" s="22"/>
      <c r="I83" s="22"/>
      <c r="J83" s="22"/>
      <c r="K83" s="25"/>
    </row>
    <row r="84" spans="1:11" x14ac:dyDescent="0.2">
      <c r="A84" s="231"/>
      <c r="B84" s="232"/>
      <c r="C84" s="25">
        <f t="shared" si="0"/>
        <v>49</v>
      </c>
      <c r="D84" s="22"/>
      <c r="E84" s="22"/>
      <c r="F84" s="22"/>
      <c r="G84" s="22"/>
      <c r="H84" s="22"/>
      <c r="I84" s="22"/>
      <c r="J84" s="22"/>
      <c r="K84" s="25"/>
    </row>
    <row r="85" spans="1:11" x14ac:dyDescent="0.2">
      <c r="A85" s="231"/>
      <c r="B85" s="232"/>
      <c r="C85" s="25">
        <f t="shared" si="0"/>
        <v>50</v>
      </c>
      <c r="D85" s="22"/>
      <c r="E85" s="22"/>
      <c r="F85" s="22"/>
      <c r="G85" s="22"/>
      <c r="H85" s="22"/>
      <c r="I85" s="22"/>
      <c r="J85" s="22"/>
      <c r="K85" s="25"/>
    </row>
    <row r="86" spans="1:11" x14ac:dyDescent="0.2">
      <c r="A86" s="240"/>
      <c r="B86" s="232"/>
      <c r="C86" s="25">
        <f t="shared" si="0"/>
        <v>51</v>
      </c>
      <c r="D86" s="22"/>
      <c r="E86" s="22"/>
      <c r="F86" s="22"/>
      <c r="G86" s="22"/>
      <c r="H86" s="22"/>
      <c r="I86" s="22"/>
      <c r="J86" s="22"/>
      <c r="K86" s="25"/>
    </row>
    <row r="87" spans="1:11" x14ac:dyDescent="0.2">
      <c r="A87" s="240"/>
      <c r="B87" s="232"/>
      <c r="C87" s="25">
        <f t="shared" si="0"/>
        <v>52</v>
      </c>
      <c r="D87" s="22"/>
      <c r="E87" s="22"/>
      <c r="F87" s="22"/>
      <c r="G87" s="22"/>
      <c r="H87" s="22"/>
      <c r="I87" s="22"/>
      <c r="J87" s="22"/>
      <c r="K87" s="25"/>
    </row>
    <row r="88" spans="1:11" x14ac:dyDescent="0.2">
      <c r="A88" s="240"/>
      <c r="B88" s="232"/>
      <c r="C88" s="25">
        <f t="shared" si="0"/>
        <v>53</v>
      </c>
      <c r="D88" s="22"/>
      <c r="E88" s="22"/>
      <c r="F88" s="22"/>
      <c r="G88" s="22"/>
      <c r="H88" s="22"/>
      <c r="I88" s="22"/>
      <c r="J88" s="22"/>
      <c r="K88" s="25"/>
    </row>
    <row r="89" spans="1:11" x14ac:dyDescent="0.2">
      <c r="A89" s="240"/>
      <c r="B89" s="232"/>
      <c r="C89" s="25">
        <f t="shared" si="0"/>
        <v>54</v>
      </c>
      <c r="D89" s="22"/>
      <c r="E89" s="22"/>
      <c r="F89" s="22"/>
      <c r="G89" s="22"/>
      <c r="H89" s="22"/>
      <c r="I89" s="22"/>
      <c r="J89" s="22"/>
      <c r="K89" s="25"/>
    </row>
    <row r="90" spans="1:11" x14ac:dyDescent="0.2">
      <c r="A90" s="240"/>
      <c r="B90" s="232"/>
      <c r="C90" s="25">
        <f t="shared" si="0"/>
        <v>55</v>
      </c>
      <c r="D90" s="22"/>
      <c r="E90" s="22"/>
      <c r="F90" s="22"/>
      <c r="G90" s="22"/>
      <c r="H90" s="22"/>
      <c r="I90" s="22"/>
      <c r="J90" s="22"/>
      <c r="K90" s="25"/>
    </row>
    <row r="91" spans="1:11" x14ac:dyDescent="0.2">
      <c r="A91" s="240"/>
      <c r="B91" s="232"/>
      <c r="C91" s="25">
        <f t="shared" si="0"/>
        <v>56</v>
      </c>
      <c r="D91" s="22"/>
      <c r="E91" s="22"/>
      <c r="F91" s="22"/>
      <c r="G91" s="22"/>
      <c r="H91" s="22"/>
      <c r="I91" s="22"/>
      <c r="J91" s="22"/>
      <c r="K91" s="25"/>
    </row>
    <row r="92" spans="1:11" x14ac:dyDescent="0.2">
      <c r="A92" s="240"/>
      <c r="B92" s="232"/>
      <c r="C92" s="25">
        <f t="shared" si="0"/>
        <v>57</v>
      </c>
      <c r="D92" s="22"/>
      <c r="E92" s="22"/>
      <c r="F92" s="22"/>
      <c r="G92" s="22"/>
      <c r="H92" s="22"/>
      <c r="I92" s="22"/>
      <c r="J92" s="22"/>
      <c r="K92" s="25"/>
    </row>
    <row r="93" spans="1:11" x14ac:dyDescent="0.2">
      <c r="A93" s="240"/>
      <c r="B93" s="232"/>
      <c r="C93" s="25">
        <f t="shared" si="0"/>
        <v>58</v>
      </c>
      <c r="D93" s="22"/>
      <c r="E93" s="22"/>
      <c r="F93" s="22"/>
      <c r="G93" s="22"/>
      <c r="H93" s="22"/>
      <c r="I93" s="22"/>
      <c r="J93" s="22"/>
      <c r="K93" s="25"/>
    </row>
    <row r="94" spans="1:11" x14ac:dyDescent="0.2">
      <c r="A94" s="240"/>
      <c r="B94" s="232"/>
      <c r="C94" s="25">
        <f t="shared" si="0"/>
        <v>59</v>
      </c>
      <c r="D94" s="22"/>
      <c r="E94" s="22"/>
      <c r="F94" s="22"/>
      <c r="G94" s="22"/>
      <c r="H94" s="22"/>
      <c r="I94" s="22"/>
      <c r="J94" s="22"/>
      <c r="K94" s="25"/>
    </row>
    <row r="95" spans="1:11" x14ac:dyDescent="0.2">
      <c r="A95" s="240"/>
      <c r="B95" s="232"/>
      <c r="C95" s="25">
        <f t="shared" si="0"/>
        <v>60</v>
      </c>
      <c r="D95" s="22"/>
      <c r="E95" s="22"/>
      <c r="F95" s="22"/>
      <c r="G95" s="22"/>
      <c r="H95" s="22"/>
      <c r="I95" s="22"/>
      <c r="J95" s="22"/>
      <c r="K95" s="25"/>
    </row>
    <row r="96" spans="1:11" x14ac:dyDescent="0.2">
      <c r="A96" s="240"/>
      <c r="B96" s="232"/>
      <c r="C96" s="25">
        <f t="shared" si="0"/>
        <v>61</v>
      </c>
      <c r="D96" s="22"/>
      <c r="E96" s="22"/>
      <c r="F96" s="22"/>
      <c r="G96" s="22"/>
      <c r="H96" s="22"/>
      <c r="I96" s="22"/>
      <c r="J96" s="22"/>
      <c r="K96" s="25"/>
    </row>
    <row r="97" spans="1:11" x14ac:dyDescent="0.2">
      <c r="A97" s="240"/>
      <c r="B97" s="232"/>
      <c r="C97" s="25">
        <f t="shared" si="0"/>
        <v>62</v>
      </c>
      <c r="D97" s="22"/>
      <c r="E97" s="22"/>
      <c r="F97" s="22"/>
      <c r="G97" s="22"/>
      <c r="H97" s="22"/>
      <c r="I97" s="22"/>
      <c r="J97" s="22"/>
      <c r="K97" s="25"/>
    </row>
    <row r="98" spans="1:11" x14ac:dyDescent="0.2">
      <c r="A98" s="240"/>
      <c r="B98" s="232"/>
      <c r="C98" s="25">
        <f t="shared" si="0"/>
        <v>63</v>
      </c>
      <c r="D98" s="22"/>
      <c r="E98" s="22"/>
      <c r="F98" s="22"/>
      <c r="G98" s="22"/>
      <c r="H98" s="22"/>
      <c r="I98" s="22"/>
      <c r="J98" s="22"/>
      <c r="K98" s="25"/>
    </row>
    <row r="99" spans="1:11" x14ac:dyDescent="0.2">
      <c r="A99" s="240"/>
      <c r="B99" s="232"/>
      <c r="C99" s="25">
        <f t="shared" si="0"/>
        <v>64</v>
      </c>
      <c r="D99" s="22"/>
      <c r="E99" s="22"/>
      <c r="F99" s="22"/>
      <c r="G99" s="22"/>
      <c r="H99" s="22"/>
      <c r="I99" s="22"/>
      <c r="J99" s="22"/>
      <c r="K99" s="25"/>
    </row>
    <row r="100" spans="1:11" x14ac:dyDescent="0.2">
      <c r="A100" s="240"/>
      <c r="B100" s="232"/>
      <c r="C100" s="25">
        <f t="shared" si="0"/>
        <v>65</v>
      </c>
      <c r="D100" s="22"/>
      <c r="E100" s="22"/>
      <c r="F100" s="22"/>
      <c r="G100" s="22"/>
      <c r="H100" s="22"/>
      <c r="I100" s="22"/>
      <c r="J100" s="22"/>
      <c r="K100" s="25"/>
    </row>
    <row r="101" spans="1:11" x14ac:dyDescent="0.2">
      <c r="A101" s="240"/>
      <c r="B101" s="232"/>
      <c r="C101" s="25">
        <f t="shared" si="0"/>
        <v>66</v>
      </c>
      <c r="D101" s="22"/>
      <c r="E101" s="22"/>
      <c r="F101" s="22"/>
      <c r="G101" s="22"/>
      <c r="H101" s="22"/>
      <c r="I101" s="22"/>
      <c r="J101" s="22"/>
      <c r="K101" s="25"/>
    </row>
    <row r="102" spans="1:11" x14ac:dyDescent="0.2">
      <c r="A102" s="240"/>
      <c r="B102" s="232"/>
      <c r="C102" s="25">
        <f>C101+1</f>
        <v>67</v>
      </c>
      <c r="D102" s="22"/>
      <c r="E102" s="22"/>
      <c r="F102" s="22"/>
      <c r="G102" s="22"/>
      <c r="H102" s="22"/>
      <c r="I102" s="22"/>
      <c r="J102" s="22"/>
      <c r="K102" s="25"/>
    </row>
    <row r="103" spans="1:11" x14ac:dyDescent="0.2">
      <c r="A103" s="240"/>
      <c r="B103" s="232"/>
      <c r="C103" s="25">
        <f>C102+1</f>
        <v>68</v>
      </c>
      <c r="D103" s="22"/>
      <c r="E103" s="22"/>
      <c r="F103" s="22"/>
      <c r="G103" s="22"/>
      <c r="H103" s="22"/>
      <c r="I103" s="22"/>
      <c r="J103" s="22"/>
      <c r="K103" s="25"/>
    </row>
    <row r="104" spans="1:11" x14ac:dyDescent="0.2">
      <c r="A104" s="240"/>
      <c r="B104" s="232"/>
      <c r="C104" s="25">
        <f>C103+1</f>
        <v>69</v>
      </c>
      <c r="D104" s="22"/>
      <c r="E104" s="22"/>
      <c r="F104" s="22"/>
      <c r="G104" s="22"/>
      <c r="H104" s="22"/>
      <c r="I104" s="22"/>
      <c r="J104" s="22"/>
      <c r="K104" s="25"/>
    </row>
    <row r="105" spans="1:11" x14ac:dyDescent="0.2">
      <c r="A105" s="241"/>
      <c r="B105" s="233"/>
      <c r="C105" s="33">
        <f>C104+1</f>
        <v>70</v>
      </c>
      <c r="D105" s="22"/>
      <c r="E105" s="22"/>
      <c r="F105" s="22"/>
      <c r="G105" s="22"/>
      <c r="H105" s="22"/>
      <c r="I105" s="22"/>
      <c r="J105" s="22"/>
      <c r="K105" s="25"/>
    </row>
    <row r="106" spans="1:11" x14ac:dyDescent="0.2">
      <c r="A106" s="32"/>
      <c r="B106" s="34"/>
      <c r="C106" s="34"/>
      <c r="D106" s="34"/>
      <c r="E106" s="34"/>
      <c r="F106" s="34"/>
      <c r="G106" s="34"/>
      <c r="H106" s="34"/>
      <c r="I106" s="34"/>
      <c r="J106" s="34"/>
      <c r="K106" s="33"/>
    </row>
  </sheetData>
  <mergeCells count="6">
    <mergeCell ref="D9:H9"/>
    <mergeCell ref="H2:J2"/>
    <mergeCell ref="H6:J6"/>
    <mergeCell ref="H5:J5"/>
    <mergeCell ref="H4:J4"/>
    <mergeCell ref="H3:J3"/>
  </mergeCells>
  <phoneticPr fontId="0" type="noConversion"/>
  <pageMargins left="0.75" right="0.75" top="1" bottom="1" header="0.5" footer="0.5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1</xdr:col>
                    <xdr:colOff>9525</xdr:colOff>
                    <xdr:row>5</xdr:row>
                    <xdr:rowOff>0</xdr:rowOff>
                  </from>
                  <to>
                    <xdr:col>1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1</xdr:col>
                    <xdr:colOff>828675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1</xdr:col>
                    <xdr:colOff>828675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828675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2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2</xdr:col>
                    <xdr:colOff>9525</xdr:colOff>
                    <xdr:row>20</xdr:row>
                    <xdr:rowOff>9525</xdr:rowOff>
                  </from>
                  <to>
                    <xdr:col>2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8</xdr:col>
                    <xdr:colOff>66675</xdr:colOff>
                    <xdr:row>7</xdr:row>
                    <xdr:rowOff>76200</xdr:rowOff>
                  </from>
                  <to>
                    <xdr:col>10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Drop Down 42">
              <controlPr locked="0" defaultSize="0" autoLine="0" autoPict="0">
                <anchor moveWithCells="1">
                  <from>
                    <xdr:col>4</xdr:col>
                    <xdr:colOff>9525</xdr:colOff>
                    <xdr:row>13</xdr:row>
                    <xdr:rowOff>0</xdr:rowOff>
                  </from>
                  <to>
                    <xdr:col>4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Drop Down 43">
              <controlPr locked="0" defaultSize="0" autoLine="0" autoPict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4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96"/>
  <sheetViews>
    <sheetView tabSelected="1" topLeftCell="A66" zoomScale="130" zoomScaleNormal="130" workbookViewId="0">
      <selection activeCell="D76" sqref="D76"/>
    </sheetView>
  </sheetViews>
  <sheetFormatPr defaultRowHeight="12.75" x14ac:dyDescent="0.2"/>
  <cols>
    <col min="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INVOER!U9</f>
        <v>16.361111111111111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INVOER!T15</f>
        <v>1.073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0.02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1500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INVOER!S25</f>
        <v>6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INVOER!C15</f>
        <v>6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INVOER!C18</f>
        <v>1250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INVOER!C20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IF(INVOER!S36=1,"neen","ja")</f>
        <v>ja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HLOOKUP(INVOER!S$25,B$22:J$43,1)</f>
        <v>6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343">
        <v>1850</v>
      </c>
      <c r="J23" s="342" t="s">
        <v>212</v>
      </c>
      <c r="K23" s="152">
        <f>HLOOKUP(INVOER!S$25,B$22:J$43,2)</f>
        <v>850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40">
        <v>0.13600000000000001</v>
      </c>
      <c r="K24" s="139">
        <f>HLOOKUP(INVOER!S$25,B$22:J$43,3)</f>
        <v>0.20300000000000001</v>
      </c>
      <c r="Q24" s="41" t="s">
        <v>39</v>
      </c>
      <c r="R24" s="149">
        <f>C6/C12/K24/K25/(C13/1000)^2</f>
        <v>18.811753513330512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40">
        <v>0.31</v>
      </c>
      <c r="K25" s="139">
        <f>HLOOKUP(INVOER!S$25,B$22:J$43,4)</f>
        <v>0.45700000000000002</v>
      </c>
      <c r="Q25" s="43" t="s">
        <v>119</v>
      </c>
      <c r="R25" s="61">
        <f>C6/C12/(PI()/4*(C14*K27*C13/1000)^2)</f>
        <v>23.576258534984305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40">
        <v>0.53</v>
      </c>
      <c r="K26" s="139">
        <f>HLOOKUP(INVOER!S$25,B$22:J$43,5)</f>
        <v>0.56399999999999995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40">
        <v>0.15</v>
      </c>
      <c r="K27" s="139">
        <f>HLOOKUP(INVOER!S$25,B$22:J$43,6)</f>
        <v>0.307</v>
      </c>
      <c r="Q27" s="211" t="s">
        <v>210</v>
      </c>
      <c r="R27" s="213">
        <f>K43*0.5*C7*R24^2*C14^(-2.23)</f>
        <v>1803.6484415278442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40">
        <v>0.25</v>
      </c>
      <c r="K28" s="139">
        <f>HLOOKUP(INVOER!S$25,B$22:J$43,7)</f>
        <v>0.42799999999999999</v>
      </c>
      <c r="Q28" s="211" t="s">
        <v>144</v>
      </c>
      <c r="R28" s="213">
        <f>IF(K22=1,"unknown",IF(K22=7,"unknown",IF(K22=8,"unknown",IF(K22=9,"unkown",0.5*C7*R24^2*T39))))</f>
        <v>1171.8019138010372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41">
        <v>2.4849999999999999</v>
      </c>
      <c r="K29" s="139">
        <f>HLOOKUP(INVOER!S$25,B$22:J$43,8)</f>
        <v>2.4849999999999999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3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3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3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3"/>
      <c r="K33" s="139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52">
        <f>HLOOKUP(INVOER!S$25,B$22:J$43,13)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44">
        <v>0.4617</v>
      </c>
      <c r="K35" s="138">
        <f>HLOOKUP(INVOER!S$25,B$22:J$43,14)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45">
        <v>-0.23960000000000001</v>
      </c>
      <c r="K36" s="139">
        <f>HLOOKUP(INVOER!S$25,B$22:J$43,15)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45">
        <v>0.29210000000000003</v>
      </c>
      <c r="K37" s="139">
        <f>HLOOKUP(INVOER!S$25,B$22:J$43,16)</f>
        <v>1.9418</v>
      </c>
      <c r="Q37" s="43">
        <v>1850</v>
      </c>
      <c r="R37" s="6"/>
      <c r="S37" s="6"/>
      <c r="T37" s="44" t="s">
        <v>146</v>
      </c>
    </row>
    <row r="38" spans="1:20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45">
        <v>0.12690000000000001</v>
      </c>
      <c r="K38" s="139">
        <f>HLOOKUP(INVOER!S$25,B$22:J$43,17)</f>
        <v>2.0196999999999998</v>
      </c>
      <c r="Q38" s="45"/>
      <c r="R38" s="46"/>
      <c r="S38" s="46"/>
      <c r="T38" s="50"/>
    </row>
    <row r="39" spans="1:20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45">
        <v>0.45600000000000002</v>
      </c>
      <c r="K39" s="139">
        <f>HLOOKUP(INVOER!S$25,B$22:J$43,18)</f>
        <v>0.73704999999999998</v>
      </c>
      <c r="Q39" s="43"/>
      <c r="R39" s="6" t="s">
        <v>196</v>
      </c>
      <c r="S39" s="6"/>
      <c r="T39" s="214">
        <f>VLOOKUP(K23,Q31:T37,4)</f>
        <v>6.1719999999999997</v>
      </c>
    </row>
    <row r="40" spans="1:20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45">
        <v>0.36330000000000001</v>
      </c>
      <c r="K40" s="139">
        <f>HLOOKUP(INVOER!S$25,B$22:J$43,19)</f>
        <v>0.7077</v>
      </c>
      <c r="Q40" s="45"/>
      <c r="R40" s="46"/>
      <c r="S40" s="46"/>
      <c r="T40" s="50"/>
    </row>
    <row r="41" spans="1:20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6">
        <v>10.45</v>
      </c>
      <c r="K41" s="140">
        <f>HLOOKUP(INVOER!S$25,B$22:J$43,20)</f>
        <v>7.8</v>
      </c>
    </row>
    <row r="42" spans="1:20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39"/>
    </row>
    <row r="43" spans="1:20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52">
        <f>HLOOKUP(INVOER!S$25,B$22:J$43,22)</f>
        <v>9.5</v>
      </c>
    </row>
    <row r="47" spans="1:20" x14ac:dyDescent="0.2">
      <c r="G47" s="166"/>
      <c r="H47" s="166"/>
      <c r="I47" s="166"/>
      <c r="J47" s="166"/>
      <c r="K47" s="166"/>
      <c r="L47" s="166"/>
    </row>
    <row r="48" spans="1:20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</row>
    <row r="49" spans="1:23" x14ac:dyDescent="0.2">
      <c r="G49" s="166"/>
      <c r="H49" s="166"/>
      <c r="I49" s="187"/>
      <c r="J49" s="187"/>
      <c r="K49" s="187"/>
      <c r="L49" s="166"/>
    </row>
    <row r="50" spans="1:23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</row>
    <row r="51" spans="1:23" x14ac:dyDescent="0.2">
      <c r="A51" s="43" t="s">
        <v>220</v>
      </c>
      <c r="B51" s="6">
        <f>INVOER!H14*SQRT(INVOER!C18/1000*2000*INVOER!C9*16/INVOER!C10/0.0181/INVOER!C24)</f>
        <v>1.2515420236609607</v>
      </c>
      <c r="C51" s="44"/>
      <c r="G51" s="191" t="s">
        <v>73</v>
      </c>
      <c r="H51" s="189">
        <v>0.95</v>
      </c>
      <c r="I51" s="194">
        <f t="shared" ref="I51:I56" si="0">$K$37*$B$51*((-LN(H51^(1/($B$54*$B$64))))^(1/$K$39))+$K$35*$B$51</f>
        <v>0.68620726181660807</v>
      </c>
      <c r="J51" s="202">
        <f t="shared" ref="J51:J56" si="1">$K$38*$B$51*((-LN(H51^(1/($B$54*$B$64))))^(1/$K$40))+$K$36*$B$51</f>
        <v>-0.10176159293455823</v>
      </c>
      <c r="K51" s="204">
        <f t="shared" ref="K51:K55" si="2">IF(I51/$B$51&lt;K$41,I51,J51)</f>
        <v>0.68620726181660807</v>
      </c>
      <c r="L51" s="166"/>
    </row>
    <row r="52" spans="1:23" x14ac:dyDescent="0.2">
      <c r="A52" s="45"/>
      <c r="B52" s="46"/>
      <c r="C52" s="50"/>
      <c r="G52" s="192" t="s">
        <v>75</v>
      </c>
      <c r="H52" s="193">
        <v>0.9</v>
      </c>
      <c r="I52" s="195">
        <f t="shared" si="0"/>
        <v>0.74482099353581055</v>
      </c>
      <c r="J52" s="203">
        <f t="shared" si="1"/>
        <v>-4.7211565011908457E-2</v>
      </c>
      <c r="K52" s="205">
        <f t="shared" si="2"/>
        <v>0.74482099353581055</v>
      </c>
      <c r="L52" s="166"/>
    </row>
    <row r="53" spans="1:23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0"/>
        <v>1.8620865438356906</v>
      </c>
      <c r="J53" s="203">
        <f t="shared" si="1"/>
        <v>1.0913528344061458</v>
      </c>
      <c r="K53" s="205">
        <f t="shared" si="2"/>
        <v>1.8620865438356906</v>
      </c>
      <c r="L53" s="166"/>
    </row>
    <row r="54" spans="1:23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0"/>
        <v>6.8259540145338988</v>
      </c>
      <c r="J54" s="203">
        <f t="shared" si="1"/>
        <v>6.543489070484716</v>
      </c>
      <c r="K54" s="205">
        <f t="shared" si="2"/>
        <v>6.8259540145338988</v>
      </c>
      <c r="L54" s="166"/>
    </row>
    <row r="55" spans="1:23" x14ac:dyDescent="0.2">
      <c r="A55" s="43"/>
      <c r="B55" s="6"/>
      <c r="C55" s="44"/>
      <c r="G55" s="192" t="s">
        <v>80</v>
      </c>
      <c r="H55" s="193">
        <v>0.05</v>
      </c>
      <c r="I55" s="195">
        <f t="shared" si="0"/>
        <v>9.4756678610161078</v>
      </c>
      <c r="J55" s="203">
        <f t="shared" si="1"/>
        <v>9.5505037714939736</v>
      </c>
      <c r="K55" s="205">
        <f t="shared" si="2"/>
        <v>9.4756678610161078</v>
      </c>
      <c r="L55" s="166"/>
    </row>
    <row r="56" spans="1:23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0"/>
        <v>87.195990408677915</v>
      </c>
      <c r="J56" s="203">
        <f t="shared" si="1"/>
        <v>104.26085716278493</v>
      </c>
      <c r="K56" s="205">
        <f>IF(MAX(INVOER!A36:A105)&gt;'Berekening trap 1'!L56,MAX(INVOER!A36:A105),'Berekening trap 1'!L56)</f>
        <v>104.26085716278493</v>
      </c>
      <c r="L56" s="331">
        <f>IF(I56/$B$51&lt;K$41,I56,J56)</f>
        <v>104.26085716278493</v>
      </c>
      <c r="M56" s="6"/>
    </row>
    <row r="57" spans="1:23" x14ac:dyDescent="0.2">
      <c r="A57" s="43"/>
      <c r="B57" s="6"/>
      <c r="C57" s="44"/>
      <c r="G57" s="154" t="s">
        <v>86</v>
      </c>
      <c r="H57" s="157">
        <f>B51*K35</f>
        <v>0.65080185230369958</v>
      </c>
      <c r="I57" s="37" t="s">
        <v>198</v>
      </c>
      <c r="J57" s="38"/>
      <c r="K57" s="206"/>
      <c r="L57" s="6"/>
    </row>
    <row r="58" spans="1:23" x14ac:dyDescent="0.2">
      <c r="A58" s="43" t="s">
        <v>101</v>
      </c>
      <c r="B58" s="164">
        <f>INVOER!V19</f>
        <v>7.7000000000000013E-2</v>
      </c>
      <c r="C58" s="165" t="s">
        <v>100</v>
      </c>
      <c r="G58" s="150" t="s">
        <v>87</v>
      </c>
      <c r="H58" s="161">
        <f>(K56/'Berekening trap 2'!H57)^(1/110)</f>
        <v>1.0473191036676239</v>
      </c>
      <c r="I58" s="43"/>
      <c r="J58" s="6"/>
      <c r="K58" s="44"/>
      <c r="L58" s="6"/>
      <c r="M58" s="251" t="s">
        <v>279</v>
      </c>
    </row>
    <row r="59" spans="1:23" x14ac:dyDescent="0.2">
      <c r="A59" s="48" t="s">
        <v>215</v>
      </c>
      <c r="B59" s="39">
        <f>0.97833+2.918055*B58-39.3739*B58^2+472.0149*B58^3-769.586*B58^4</f>
        <v>1.1580094720306742</v>
      </c>
      <c r="C59" s="44"/>
      <c r="G59" s="43" t="s">
        <v>235</v>
      </c>
      <c r="H59" s="6"/>
      <c r="I59" s="6"/>
      <c r="J59" s="6"/>
      <c r="K59" s="44"/>
      <c r="L59" s="6"/>
    </row>
    <row r="60" spans="1:23" x14ac:dyDescent="0.2">
      <c r="A60" s="48" t="s">
        <v>216</v>
      </c>
      <c r="B60" s="39">
        <f>-0.30338+21.91961*B58-73.5039*B58^2+112.485*B58^3-63.4408*B58^4</f>
        <v>0.99774832436152727</v>
      </c>
      <c r="C60" s="44"/>
      <c r="G60" s="43" t="s">
        <v>236</v>
      </c>
      <c r="H60" s="6"/>
      <c r="I60" s="6"/>
      <c r="J60" s="6"/>
      <c r="K60" s="44"/>
      <c r="L60" s="6"/>
    </row>
    <row r="61" spans="1:23" x14ac:dyDescent="0.2">
      <c r="A61" s="48" t="s">
        <v>217</v>
      </c>
      <c r="B61" s="39">
        <f>2.043212+0.725352*B58-0.2663*B58^2+0.04299*B58^3-0.00233*B58^4</f>
        <v>2.0975047557470843</v>
      </c>
      <c r="C61" s="44"/>
      <c r="G61" s="43" t="s">
        <v>230</v>
      </c>
      <c r="H61" s="6"/>
      <c r="I61" s="6"/>
      <c r="J61" s="6"/>
      <c r="K61" s="44"/>
      <c r="L61" s="6"/>
    </row>
    <row r="62" spans="1:23" x14ac:dyDescent="0.2">
      <c r="A62" s="48" t="s">
        <v>218</v>
      </c>
      <c r="B62" s="39">
        <f>2.853325+0.019026*B58-0.00036*B58^2+0.000003*B58^3-0.0000000065*B58^4</f>
        <v>2.8547878689293706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</row>
    <row r="63" spans="1:23" x14ac:dyDescent="0.2">
      <c r="A63" s="48" t="s">
        <v>214</v>
      </c>
      <c r="B63" s="39">
        <f>IF(INVOER!S36=1,1,IF(B58&lt;0.02,1,(IF(B58&lt;0.14,B59,(IF(B58&lt;0.7,B60,(IF(B58&lt;9.1,B61,B62))))))))</f>
        <v>1.1580094720306742</v>
      </c>
      <c r="C63" s="44"/>
      <c r="F63" s="218" t="s">
        <v>237</v>
      </c>
      <c r="G63" s="142"/>
      <c r="H63" s="142"/>
      <c r="I63" s="142"/>
      <c r="J63" s="142"/>
      <c r="K63" s="142"/>
      <c r="W63" s="6"/>
    </row>
    <row r="64" spans="1:23" x14ac:dyDescent="0.2">
      <c r="A64" s="43" t="s">
        <v>155</v>
      </c>
      <c r="B64" s="6">
        <f>IF(INVOER!S36=1,1,'Berekening trap 1'!B63)</f>
        <v>1.1580094720306742</v>
      </c>
      <c r="C64" s="44" t="str">
        <f>IF(B64=1,"neen","ja")</f>
        <v>ja</v>
      </c>
      <c r="F64" s="218" t="s">
        <v>239</v>
      </c>
      <c r="G64" s="142"/>
      <c r="H64" s="142"/>
      <c r="I64" s="142"/>
      <c r="J64" s="142"/>
      <c r="K64" s="142"/>
      <c r="W64" s="6"/>
    </row>
    <row r="65" spans="1:30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</row>
    <row r="66" spans="1:30" x14ac:dyDescent="0.2">
      <c r="W66" s="6"/>
    </row>
    <row r="67" spans="1:30" x14ac:dyDescent="0.2">
      <c r="B67" s="251" t="s">
        <v>275</v>
      </c>
      <c r="V67" s="6"/>
    </row>
    <row r="68" spans="1:30" x14ac:dyDescent="0.2">
      <c r="V68" s="6"/>
    </row>
    <row r="69" spans="1:30" x14ac:dyDescent="0.2">
      <c r="D69" s="218" t="s">
        <v>244</v>
      </c>
      <c r="V69" s="6"/>
    </row>
    <row r="70" spans="1:30" x14ac:dyDescent="0.2">
      <c r="D70" s="218" t="s">
        <v>245</v>
      </c>
      <c r="V70" s="6"/>
    </row>
    <row r="71" spans="1:30" x14ac:dyDescent="0.2">
      <c r="S71" s="46"/>
      <c r="W71" s="6"/>
    </row>
    <row r="72" spans="1:30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147"/>
      <c r="K72" s="175" t="s">
        <v>195</v>
      </c>
      <c r="L72" s="5"/>
      <c r="M72" s="5"/>
      <c r="N72" s="5"/>
      <c r="O72" s="5"/>
      <c r="P72" s="5"/>
      <c r="Q72" s="5"/>
      <c r="R72" s="5"/>
      <c r="T72" s="42"/>
      <c r="U72" s="147"/>
      <c r="V72" s="147"/>
      <c r="W72" s="142"/>
      <c r="Y72" t="s">
        <v>229</v>
      </c>
    </row>
    <row r="73" spans="1:30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238"/>
      <c r="K73" s="177" t="s">
        <v>192</v>
      </c>
      <c r="L73" s="46"/>
      <c r="M73" s="46"/>
      <c r="N73" s="46"/>
      <c r="O73" s="46"/>
      <c r="P73" s="46"/>
      <c r="Q73" s="46"/>
      <c r="R73" s="46"/>
      <c r="S73" s="46"/>
      <c r="T73" s="50"/>
      <c r="U73" s="145"/>
      <c r="V73" s="145"/>
      <c r="W73" s="142"/>
      <c r="Y73" s="6"/>
      <c r="Z73" s="6"/>
      <c r="AA73" s="6"/>
      <c r="AB73" s="6"/>
    </row>
    <row r="74" spans="1:30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244" t="s">
        <v>252</v>
      </c>
      <c r="K74" s="41"/>
      <c r="L74" s="5"/>
      <c r="M74" s="5"/>
      <c r="N74" s="5"/>
      <c r="O74" s="5"/>
      <c r="P74" s="176"/>
      <c r="Q74" s="5"/>
      <c r="R74" s="5" t="s">
        <v>98</v>
      </c>
      <c r="S74" t="s">
        <v>90</v>
      </c>
      <c r="T74" s="186" t="s">
        <v>99</v>
      </c>
      <c r="U74" s="147" t="s">
        <v>182</v>
      </c>
      <c r="V74" s="147" t="s">
        <v>206</v>
      </c>
      <c r="Y74" s="41" t="s">
        <v>96</v>
      </c>
      <c r="Z74" s="5" t="s">
        <v>88</v>
      </c>
      <c r="AA74" s="5" t="s">
        <v>91</v>
      </c>
      <c r="AB74" s="5" t="s">
        <v>97</v>
      </c>
      <c r="AC74" s="5" t="s">
        <v>202</v>
      </c>
      <c r="AD74" s="42" t="s">
        <v>88</v>
      </c>
    </row>
    <row r="75" spans="1:30" x14ac:dyDescent="0.2">
      <c r="A75" s="45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238" t="s">
        <v>233</v>
      </c>
      <c r="K75" s="43"/>
      <c r="L75" s="6" t="s">
        <v>92</v>
      </c>
      <c r="M75" s="6" t="s">
        <v>93</v>
      </c>
      <c r="N75" s="6" t="s">
        <v>94</v>
      </c>
      <c r="O75" s="6" t="s">
        <v>95</v>
      </c>
      <c r="P75" s="6" t="s">
        <v>89</v>
      </c>
      <c r="Q75" s="6" t="s">
        <v>72</v>
      </c>
      <c r="R75" s="6" t="s">
        <v>90</v>
      </c>
      <c r="S75" s="142" t="s">
        <v>5</v>
      </c>
      <c r="T75" s="143" t="s">
        <v>5</v>
      </c>
      <c r="U75" s="238" t="s">
        <v>227</v>
      </c>
      <c r="V75" s="238" t="s">
        <v>227</v>
      </c>
      <c r="Y75" s="45"/>
      <c r="Z75" s="46"/>
      <c r="AA75" s="46"/>
      <c r="AB75" s="46"/>
      <c r="AC75" s="46"/>
      <c r="AD75" s="44" t="s">
        <v>233</v>
      </c>
    </row>
    <row r="76" spans="1:30" x14ac:dyDescent="0.2">
      <c r="A76" s="43">
        <f>'Berekening trap 2'!H57</f>
        <v>0.64480515387890014</v>
      </c>
      <c r="B76" s="6">
        <f>A76/2</f>
        <v>0.32240257693945007</v>
      </c>
      <c r="C76" s="168">
        <f>B76/$B$51</f>
        <v>0.25760427604050479</v>
      </c>
      <c r="D76" s="198">
        <f>IF(C76-$K$35&gt;0,EXP(-(((C76-$K$35)/$K$37)^$K$39)),1)</f>
        <v>1</v>
      </c>
      <c r="E76" s="199">
        <f>IF(C76-$K$36&gt;0,EXP(-(((C76-$K$36)/$K$38)^$K$40)),1)</f>
        <v>0.74291737439675898</v>
      </c>
      <c r="F76" s="41">
        <f t="shared" ref="F76:F97" si="3">D76^($B$54*$B$63)</f>
        <v>1</v>
      </c>
      <c r="G76" s="180">
        <f>E76^($B$54*$B$63)</f>
        <v>0.70883947318266183</v>
      </c>
      <c r="H76" s="181">
        <f>IF(C76&lt;$K$41,D76,E76)</f>
        <v>1</v>
      </c>
      <c r="I76" s="234">
        <f>IF(C76&lt;$K$41,F76,G76)</f>
        <v>1</v>
      </c>
      <c r="J76" s="147">
        <f>IF(INVOER!$S$36=1,100-H76*100,100-I76*100)</f>
        <v>0</v>
      </c>
      <c r="K76" s="41">
        <f t="shared" ref="K76:K107" si="4">VLOOKUP(A76,Z$76:AB$146,3)</f>
        <v>0</v>
      </c>
      <c r="L76" s="5">
        <f t="shared" ref="L76:L107" si="5">IF(K76=0,VLOOKUP(1,Y$77:AA$146,2),VLOOKUP(K76,Y$76:Z$145,2))</f>
        <v>10</v>
      </c>
      <c r="M76" s="5">
        <f t="shared" ref="M76:M107" si="6">IF(K76=0,VLOOKUP(2,Y$77:AA$145,2),VLOOKUP(K76+1,Y$77:Z$145,2))</f>
        <v>15</v>
      </c>
      <c r="N76" s="5">
        <f t="shared" ref="N76:N107" si="7">(VLOOKUP(L76,Z$76:AA$146,2))/100</f>
        <v>0.99199999999999999</v>
      </c>
      <c r="O76" s="5">
        <f t="shared" ref="O76:O107" si="8">(VLOOKUP(M76,Z$76:AA$145,2))/100</f>
        <v>0.85199999999999998</v>
      </c>
      <c r="P76" s="365">
        <f>LN(LN(N76)/LN(O76))/LN(L76/M76)</f>
        <v>7.3810864638246141</v>
      </c>
      <c r="Q76" s="5">
        <f>L76/((-LN(N76))^(1/P76))</f>
        <v>19.224549927406461</v>
      </c>
      <c r="R76" s="5">
        <f>IF(M76="x",0,EXP(-((A76/Q76)^P76)))</f>
        <v>0.99999999998690448</v>
      </c>
      <c r="S76" s="5">
        <f>R76*100</f>
        <v>99.999999998690441</v>
      </c>
      <c r="T76" s="354">
        <f>100*(1-R76)</f>
        <v>1.3095524664663571E-9</v>
      </c>
      <c r="U76" s="355">
        <f>'Berekening trap 1'!H76*$T76</f>
        <v>1.3095524664663571E-9</v>
      </c>
      <c r="V76" s="356">
        <f>'Berekening trap 1'!I76*$T76</f>
        <v>1.3095524664663571E-9</v>
      </c>
      <c r="Y76" s="4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86">
        <v>1E-8</v>
      </c>
    </row>
    <row r="77" spans="1:30" x14ac:dyDescent="0.2">
      <c r="A77" s="43">
        <f>A76*'Berekening trap 1'!H$58</f>
        <v>0.67531675580071404</v>
      </c>
      <c r="B77" s="6">
        <f>(A76+A77)/2</f>
        <v>0.66006095483980709</v>
      </c>
      <c r="C77" s="168">
        <f>B77/$B$51</f>
        <v>0.52739815552419345</v>
      </c>
      <c r="D77" s="200">
        <f>IF(C77-$K$35&gt;0,EXP(-(((C77-$K$35)/$K$37)^$K$39)),1)</f>
        <v>0.98365284570510558</v>
      </c>
      <c r="E77" s="197">
        <f>IF(C77-$K$36&gt;0,EXP(-(((C77-$K$36)/$K$38)^$K$40)),1)</f>
        <v>0.64394344720270891</v>
      </c>
      <c r="F77" s="43">
        <f>D77^($B$54*$B$63)</f>
        <v>0.98109440185875307</v>
      </c>
      <c r="G77" s="155">
        <f>E77^($B$54*$B$63)</f>
        <v>0.60068094952815865</v>
      </c>
      <c r="H77" s="170">
        <f>IF(C77&lt;$K$41,D77,E77)</f>
        <v>0.98365284570510558</v>
      </c>
      <c r="I77" s="179">
        <f>IF(C77&lt;$K$41,F77,G77)</f>
        <v>0.98109440185875307</v>
      </c>
      <c r="J77" s="145">
        <f>IF(INVOER!$S$36=1,100-H77*100,100-I77*100)</f>
        <v>1.8905598141246855</v>
      </c>
      <c r="K77" s="43">
        <f t="shared" si="4"/>
        <v>0</v>
      </c>
      <c r="L77" s="6">
        <f t="shared" si="5"/>
        <v>10</v>
      </c>
      <c r="M77" s="6">
        <f t="shared" si="6"/>
        <v>15</v>
      </c>
      <c r="N77" s="6">
        <f t="shared" si="7"/>
        <v>0.99199999999999999</v>
      </c>
      <c r="O77" s="6">
        <f t="shared" si="8"/>
        <v>0.85199999999999998</v>
      </c>
      <c r="P77" s="366">
        <f t="shared" ref="P77:P97" si="9">(LN(LN(N77)/LN(O77)))/LN(L77/M77)</f>
        <v>7.3810864638246141</v>
      </c>
      <c r="Q77" s="6">
        <f t="shared" ref="Q77:Q97" si="10">L77/((-LN(N77))^(1/P77))</f>
        <v>19.224549927406461</v>
      </c>
      <c r="R77" s="6">
        <f t="shared" ref="R77:R139" si="11">IF(M77="x",0,EXP(-((A77/Q77)^P77)))</f>
        <v>0.9999999999815784</v>
      </c>
      <c r="S77" s="6">
        <f>R77*100</f>
        <v>99.999999998157847</v>
      </c>
      <c r="T77" s="357">
        <f>IF(M77="x",0,(R76-R77)*100)</f>
        <v>5.3260729160342635E-10</v>
      </c>
      <c r="U77" s="358">
        <f>'Berekening trap 1'!H77*$T77</f>
        <v>5.2390067802899936E-10</v>
      </c>
      <c r="V77" s="359">
        <f>'Berekening trap 1'!I77*$T77</f>
        <v>5.2253803218127409E-10</v>
      </c>
      <c r="Y77" s="43">
        <f>Y76+1</f>
        <v>1</v>
      </c>
      <c r="Z77" s="6">
        <f>IF(INVOER!A36=0,"x",INVOER!A36)</f>
        <v>10</v>
      </c>
      <c r="AA77" s="6">
        <f>IF(INVOER!B$36&gt;INVOER!B$37,INVOER!B36,100-INVOER!B36)</f>
        <v>99.2</v>
      </c>
      <c r="AB77" s="6">
        <f>IF(Z77=0,AB76,Y77)</f>
        <v>1</v>
      </c>
      <c r="AC77" s="6">
        <f t="shared" ref="AC77:AC140" si="12">AA77/100</f>
        <v>0.99199999999999999</v>
      </c>
      <c r="AD77" s="44">
        <f>IF(INVOER!A36=0,10000,INVOER!A36)</f>
        <v>10</v>
      </c>
    </row>
    <row r="78" spans="1:30" x14ac:dyDescent="0.2">
      <c r="A78" s="43">
        <f>A77*'Berekening trap 1'!H$58</f>
        <v>0.70727213937693145</v>
      </c>
      <c r="B78" s="6">
        <f>(A77+A78)/2</f>
        <v>0.69129444758882275</v>
      </c>
      <c r="C78" s="168">
        <f>B78/$B$51</f>
        <v>0.55235416351955635</v>
      </c>
      <c r="D78" s="200">
        <f>IF(C78-$K$35&gt;0,EXP(-(((C78-$K$35)/$K$37)^$K$39)),1)</f>
        <v>0.95227484576238031</v>
      </c>
      <c r="E78" s="197">
        <f>IF(C78-$K$36&gt;0,EXP(-(((C78-$K$36)/$K$38)^$K$40)),1)</f>
        <v>0.63613298217753389</v>
      </c>
      <c r="F78" s="43">
        <f>D78^($B$54*$B$63)</f>
        <v>0.94494505547761731</v>
      </c>
      <c r="G78" s="155">
        <f t="shared" ref="G78:G97" si="13">E78^($B$54*$B$63)</f>
        <v>0.59225211859818838</v>
      </c>
      <c r="H78" s="170">
        <f>IF(C78&lt;$K$41,D78,E78)</f>
        <v>0.95227484576238031</v>
      </c>
      <c r="I78" s="179">
        <f>IF(C78&lt;$K$41,F78,G78)</f>
        <v>0.94494505547761731</v>
      </c>
      <c r="J78" s="145">
        <f>IF(INVOER!$S$36=1,100-H78*100,100-I78*100)</f>
        <v>5.5054944522382669</v>
      </c>
      <c r="K78" s="43">
        <f t="shared" si="4"/>
        <v>0</v>
      </c>
      <c r="L78" s="6">
        <f t="shared" si="5"/>
        <v>10</v>
      </c>
      <c r="M78" s="6">
        <f t="shared" si="6"/>
        <v>15</v>
      </c>
      <c r="N78" s="6">
        <f t="shared" si="7"/>
        <v>0.99199999999999999</v>
      </c>
      <c r="O78" s="6">
        <f t="shared" si="8"/>
        <v>0.85199999999999998</v>
      </c>
      <c r="P78" s="366">
        <f t="shared" si="9"/>
        <v>7.3810864638246141</v>
      </c>
      <c r="Q78" s="6">
        <f t="shared" si="10"/>
        <v>19.224549927406461</v>
      </c>
      <c r="R78" s="6">
        <f t="shared" si="11"/>
        <v>0.99999999997408617</v>
      </c>
      <c r="S78" s="6">
        <f>R78*100</f>
        <v>99.999999997408622</v>
      </c>
      <c r="T78" s="357">
        <f t="shared" ref="T78:T140" si="14">IF(M78="x",0,(R77-R78)*100)</f>
        <v>7.4922290593804064E-10</v>
      </c>
      <c r="U78" s="358">
        <f>'Berekening trap 1'!H78*$T78</f>
        <v>7.1346612719379003E-10</v>
      </c>
      <c r="V78" s="359">
        <f>'Berekening trap 1'!I78*$T78</f>
        <v>7.0797448041672345E-10</v>
      </c>
      <c r="Y78" s="43">
        <f t="shared" ref="Y78:Y141" si="15">Y77+1</f>
        <v>2</v>
      </c>
      <c r="Z78" s="6">
        <f>IF(INVOER!A37=0,"x",INVOER!A37)</f>
        <v>15</v>
      </c>
      <c r="AA78" s="6">
        <f>IF(INVOER!B$36&gt;INVOER!B$37,INVOER!B37,100-INVOER!B37)</f>
        <v>85.2</v>
      </c>
      <c r="AB78" s="6">
        <f t="shared" ref="AB78:AB141" si="16">IF(Z78=0,AB77,Y78)</f>
        <v>2</v>
      </c>
      <c r="AC78" s="6">
        <f t="shared" si="12"/>
        <v>0.85199999999999998</v>
      </c>
      <c r="AD78" s="44">
        <f>IF(INVOER!A37=0,10000,INVOER!A37)</f>
        <v>15</v>
      </c>
    </row>
    <row r="79" spans="1:30" x14ac:dyDescent="0.2">
      <c r="A79" s="43">
        <f>A78*'Berekening trap 1'!H$58</f>
        <v>0.74073962306133068</v>
      </c>
      <c r="B79" s="6">
        <f>(A78+A79)/2</f>
        <v>0.72400588121913101</v>
      </c>
      <c r="C79" s="168">
        <f t="shared" ref="C79:C140" si="17">B79/$B$51</f>
        <v>0.57849106744438195</v>
      </c>
      <c r="D79" s="200">
        <f>IF(C79-$K$35&gt;0,EXP(-(((C79-$K$35)/$K$37)^$K$39)),1)</f>
        <v>0.92713204157242135</v>
      </c>
      <c r="E79" s="197">
        <f t="shared" ref="E79:E97" si="18">IF(C79-$K$36&gt;0,EXP(-(((C79-$K$36)/$K$38)^$K$40)),1)</f>
        <v>0.62814498220163162</v>
      </c>
      <c r="F79" s="43">
        <f t="shared" si="3"/>
        <v>0.91611427530120637</v>
      </c>
      <c r="G79" s="155">
        <f t="shared" si="13"/>
        <v>0.58364859643108979</v>
      </c>
      <c r="H79" s="170">
        <f>IF(C79&lt;$K$41,D79,E79)</f>
        <v>0.92713204157242135</v>
      </c>
      <c r="I79" s="179">
        <f t="shared" ref="I79:I97" si="19">IF(C79&lt;$K$41,F79,G79)</f>
        <v>0.91611427530120637</v>
      </c>
      <c r="J79" s="145">
        <f>IF(INVOER!$S$36=1,100-H79*100,100-I79*100)</f>
        <v>8.3885724698793638</v>
      </c>
      <c r="K79" s="43">
        <f>VLOOKUP(A79,Z$76:AB$146,3)</f>
        <v>0</v>
      </c>
      <c r="L79" s="6">
        <f t="shared" si="5"/>
        <v>10</v>
      </c>
      <c r="M79" s="6">
        <f t="shared" si="6"/>
        <v>15</v>
      </c>
      <c r="N79" s="6">
        <f t="shared" si="7"/>
        <v>0.99199999999999999</v>
      </c>
      <c r="O79" s="6">
        <f t="shared" si="8"/>
        <v>0.85199999999999998</v>
      </c>
      <c r="P79" s="366">
        <f>(LN(LN(N79)/LN(O79)))/LN(L79/M79)</f>
        <v>7.3810864638246141</v>
      </c>
      <c r="Q79" s="6">
        <f t="shared" si="10"/>
        <v>19.224549927406461</v>
      </c>
      <c r="R79" s="6">
        <f t="shared" si="11"/>
        <v>0.99999999996354672</v>
      </c>
      <c r="S79" s="6">
        <f t="shared" ref="S79:S140" si="20">R79*100</f>
        <v>99.999999996354674</v>
      </c>
      <c r="T79" s="357">
        <f t="shared" si="14"/>
        <v>1.0539458195069074E-9</v>
      </c>
      <c r="U79" s="358">
        <f>'Berekening trap 1'!H79*$T79</f>
        <v>9.7714693934615767E-10</v>
      </c>
      <c r="V79" s="359">
        <f>'Berekening trap 1'!I79*$T79</f>
        <v>9.6553481064430649E-10</v>
      </c>
      <c r="Y79" s="43">
        <f t="shared" si="15"/>
        <v>3</v>
      </c>
      <c r="Z79" s="6">
        <f>IF(INVOER!A38=0,"x",INVOER!A38)</f>
        <v>20</v>
      </c>
      <c r="AA79" s="6">
        <f>IF(INVOER!B$36&gt;INVOER!B$37,INVOER!B38,100-INVOER!B38)</f>
        <v>57.5</v>
      </c>
      <c r="AB79" s="6">
        <f t="shared" si="16"/>
        <v>3</v>
      </c>
      <c r="AC79" s="6">
        <f t="shared" si="12"/>
        <v>0.57499999999999996</v>
      </c>
      <c r="AD79" s="44">
        <f>IF(INVOER!A38=0,10000,INVOER!A38)</f>
        <v>20</v>
      </c>
    </row>
    <row r="80" spans="1:30" x14ac:dyDescent="0.2">
      <c r="A80" s="43">
        <f>A79*'Berekening trap 1'!H$58</f>
        <v>0.77579075807568643</v>
      </c>
      <c r="B80" s="6">
        <f t="shared" ref="B80:B97" si="21">(A79+A80)/2</f>
        <v>0.7582651905685085</v>
      </c>
      <c r="C80" s="168">
        <f t="shared" si="17"/>
        <v>0.60586474623557707</v>
      </c>
      <c r="D80" s="200">
        <f t="shared" ref="D80:D87" si="22">IF(C80-$K$35&gt;0,EXP(-(((C80-$K$35)/$K$37)^$K$39)),1)</f>
        <v>0.90447274764485774</v>
      </c>
      <c r="E80" s="197">
        <f t="shared" si="18"/>
        <v>0.61997968793023017</v>
      </c>
      <c r="F80" s="43">
        <f t="shared" si="3"/>
        <v>0.89023683416307486</v>
      </c>
      <c r="G80" s="155">
        <f t="shared" si="13"/>
        <v>0.57487196985565681</v>
      </c>
      <c r="H80" s="170">
        <f>IF(C80&lt;$K$41,D80,E80)</f>
        <v>0.90447274764485774</v>
      </c>
      <c r="I80" s="179">
        <f>IF(C80&lt;$K$41,F80,G80)</f>
        <v>0.89023683416307486</v>
      </c>
      <c r="J80" s="145">
        <f>IF(INVOER!$S$36=1,100-H80*100,100-I80*100)</f>
        <v>10.976316583692508</v>
      </c>
      <c r="K80" s="43">
        <f t="shared" si="4"/>
        <v>0</v>
      </c>
      <c r="L80" s="6">
        <f>IF(K80=0,VLOOKUP(1,Y$77:AA$146,2),VLOOKUP(K80,Y$76:Z$145,2))</f>
        <v>10</v>
      </c>
      <c r="M80" s="6">
        <f>IF(K80=0,VLOOKUP(2,Y$77:AA$145,2),VLOOKUP(K80+1,Y$77:Z$145,2))</f>
        <v>15</v>
      </c>
      <c r="N80" s="6">
        <f t="shared" si="7"/>
        <v>0.99199999999999999</v>
      </c>
      <c r="O80" s="6">
        <f t="shared" si="8"/>
        <v>0.85199999999999998</v>
      </c>
      <c r="P80" s="366">
        <f>(LN(LN(N80)/LN(O80)))/LN(L80/M80)</f>
        <v>7.3810864638246141</v>
      </c>
      <c r="Q80" s="6">
        <f>L80/((-LN(N80))^(1/P80))</f>
        <v>19.224549927406461</v>
      </c>
      <c r="R80" s="6">
        <f t="shared" si="11"/>
        <v>0.99999999994872069</v>
      </c>
      <c r="S80" s="6">
        <f t="shared" si="20"/>
        <v>99.99999999487207</v>
      </c>
      <c r="T80" s="357">
        <f t="shared" si="14"/>
        <v>1.4826029293146803E-9</v>
      </c>
      <c r="U80" s="358">
        <f>'Berekening trap 1'!H80*$T80</f>
        <v>1.3409739451435637E-9</v>
      </c>
      <c r="V80" s="359">
        <f>'Berekening trap 1'!I80*$T80</f>
        <v>1.3198677381140021E-9</v>
      </c>
      <c r="Y80" s="43">
        <f t="shared" si="15"/>
        <v>4</v>
      </c>
      <c r="Z80" s="6">
        <f>IF(INVOER!A39=0,"x",INVOER!A39)</f>
        <v>30</v>
      </c>
      <c r="AA80" s="6">
        <f>IF(INVOER!B$36&gt;INVOER!B$37,INVOER!B39,100-INVOER!B39)</f>
        <v>15.4</v>
      </c>
      <c r="AB80" s="6">
        <f t="shared" si="16"/>
        <v>4</v>
      </c>
      <c r="AC80" s="6">
        <f t="shared" si="12"/>
        <v>0.154</v>
      </c>
      <c r="AD80" s="44">
        <f>IF(INVOER!A39=0,10000,INVOER!A39)</f>
        <v>30</v>
      </c>
    </row>
    <row r="81" spans="1:30" x14ac:dyDescent="0.2">
      <c r="A81" s="45">
        <f>A80*'Berekening trap 1'!H$58</f>
        <v>0.81250048138145436</v>
      </c>
      <c r="B81" s="46">
        <f>(A80+A81)/2</f>
        <v>0.79414561972857034</v>
      </c>
      <c r="C81" s="182">
        <f t="shared" si="17"/>
        <v>0.63453372297125699</v>
      </c>
      <c r="D81" s="201">
        <f>IF(C81-$K$35&gt;0,EXP(-(((C81-$K$35)/$K$37)^$K$39)),1)</f>
        <v>0.88324254695294047</v>
      </c>
      <c r="E81" s="167">
        <f t="shared" si="18"/>
        <v>0.61163763248832725</v>
      </c>
      <c r="F81" s="45">
        <f t="shared" si="3"/>
        <v>0.86608418391031372</v>
      </c>
      <c r="G81" s="183">
        <f t="shared" si="13"/>
        <v>0.5659241922229552</v>
      </c>
      <c r="H81" s="171">
        <f t="shared" ref="H81:H97" si="23">IF(C81&lt;$K$41,D81,E81)</f>
        <v>0.88324254695294047</v>
      </c>
      <c r="I81" s="235">
        <f>IF(C81&lt;$K$41,F81,G81)</f>
        <v>0.86608418391031372</v>
      </c>
      <c r="J81" s="238">
        <f>IF(INVOER!$S$36=1,100-H81*100,100-I81*100)</f>
        <v>13.391581608968622</v>
      </c>
      <c r="K81" s="45">
        <f t="shared" si="4"/>
        <v>0</v>
      </c>
      <c r="L81" s="46">
        <f t="shared" si="5"/>
        <v>10</v>
      </c>
      <c r="M81" s="46">
        <f t="shared" si="6"/>
        <v>15</v>
      </c>
      <c r="N81" s="46">
        <f t="shared" si="7"/>
        <v>0.99199999999999999</v>
      </c>
      <c r="O81" s="46">
        <f t="shared" si="8"/>
        <v>0.85199999999999998</v>
      </c>
      <c r="P81" s="367">
        <f t="shared" si="9"/>
        <v>7.3810864638246141</v>
      </c>
      <c r="Q81" s="46">
        <f>L81/((-LN(N81))^(1/P81))</f>
        <v>19.224549927406461</v>
      </c>
      <c r="R81" s="46">
        <f t="shared" si="11"/>
        <v>0.99999999992786481</v>
      </c>
      <c r="S81" s="46">
        <f t="shared" si="20"/>
        <v>99.999999992786485</v>
      </c>
      <c r="T81" s="360">
        <f t="shared" si="14"/>
        <v>2.0855872584490953E-9</v>
      </c>
      <c r="U81" s="361">
        <f>'Berekening trap 1'!H81*$T81</f>
        <v>1.8420794020451794E-9</v>
      </c>
      <c r="V81" s="362">
        <f>'Berekening trap 1'!I81*$T81</f>
        <v>1.8062941387076333E-9</v>
      </c>
      <c r="Y81" s="43">
        <f t="shared" si="15"/>
        <v>5</v>
      </c>
      <c r="Z81" s="6">
        <f>IF(INVOER!A40=0,"x",INVOER!A40)</f>
        <v>40</v>
      </c>
      <c r="AA81" s="6">
        <f>IF(INVOER!B$36&gt;INVOER!B$37,INVOER!B40,100-INVOER!B40)</f>
        <v>10</v>
      </c>
      <c r="AB81" s="6">
        <f t="shared" si="16"/>
        <v>5</v>
      </c>
      <c r="AC81" s="6">
        <f t="shared" si="12"/>
        <v>0.1</v>
      </c>
      <c r="AD81" s="44">
        <f>IF(INVOER!A40=0,10000,INVOER!A40)</f>
        <v>40</v>
      </c>
    </row>
    <row r="82" spans="1:30" x14ac:dyDescent="0.2">
      <c r="A82" s="43">
        <f>A81*'Berekening trap 1'!H$58</f>
        <v>0.85094727588993779</v>
      </c>
      <c r="B82" s="6">
        <f>(A81+A82)/2</f>
        <v>0.83172387863569608</v>
      </c>
      <c r="C82" s="168">
        <f t="shared" si="17"/>
        <v>0.66455928998913727</v>
      </c>
      <c r="D82" s="200">
        <f t="shared" si="22"/>
        <v>0.86295069083926523</v>
      </c>
      <c r="E82" s="197">
        <f t="shared" si="18"/>
        <v>0.60311965778294763</v>
      </c>
      <c r="F82" s="43">
        <f t="shared" si="3"/>
        <v>0.84308460569858623</v>
      </c>
      <c r="G82" s="155">
        <f t="shared" si="13"/>
        <v>0.55680759984180117</v>
      </c>
      <c r="H82" s="170">
        <f t="shared" si="23"/>
        <v>0.86295069083926523</v>
      </c>
      <c r="I82" s="179">
        <f t="shared" si="19"/>
        <v>0.84308460569858623</v>
      </c>
      <c r="J82" s="145">
        <f>IF(INVOER!$S$36=1,100-H82*100,100-I82*100)</f>
        <v>15.691539430141376</v>
      </c>
      <c r="K82" s="41">
        <f t="shared" si="4"/>
        <v>0</v>
      </c>
      <c r="L82" s="5">
        <f t="shared" si="5"/>
        <v>10</v>
      </c>
      <c r="M82" s="5">
        <f t="shared" si="6"/>
        <v>15</v>
      </c>
      <c r="N82" s="5">
        <f t="shared" si="7"/>
        <v>0.99199999999999999</v>
      </c>
      <c r="O82" s="5">
        <f t="shared" si="8"/>
        <v>0.85199999999999998</v>
      </c>
      <c r="P82" s="365">
        <f t="shared" si="9"/>
        <v>7.3810864638246141</v>
      </c>
      <c r="Q82" s="5">
        <f t="shared" si="10"/>
        <v>19.224549927406461</v>
      </c>
      <c r="R82" s="5">
        <f t="shared" si="11"/>
        <v>0.99999999989852661</v>
      </c>
      <c r="S82" s="5">
        <f t="shared" si="20"/>
        <v>99.999999989852668</v>
      </c>
      <c r="T82" s="363">
        <f t="shared" si="14"/>
        <v>2.9338198537232074E-9</v>
      </c>
      <c r="U82" s="358">
        <f>'Berekening trap 1'!H82*$T82</f>
        <v>2.5317418695683937E-9</v>
      </c>
      <c r="V82" s="359">
        <f>'Berekening trap 1'!I82*$T82</f>
        <v>2.4734583545669144E-9</v>
      </c>
      <c r="Y82" s="43">
        <f t="shared" si="15"/>
        <v>6</v>
      </c>
      <c r="Z82" s="6">
        <f>IF(INVOER!A41=0,"x",INVOER!A41)</f>
        <v>50</v>
      </c>
      <c r="AA82" s="6">
        <f>IF(INVOER!B$36&gt;INVOER!B$37,INVOER!B41,100-INVOER!B41)</f>
        <v>6.7</v>
      </c>
      <c r="AB82" s="6">
        <f t="shared" si="16"/>
        <v>6</v>
      </c>
      <c r="AC82" s="6">
        <f t="shared" si="12"/>
        <v>6.7000000000000004E-2</v>
      </c>
      <c r="AD82" s="44">
        <f>IF(INVOER!A41=0,10000,INVOER!A41)</f>
        <v>50</v>
      </c>
    </row>
    <row r="83" spans="1:30" x14ac:dyDescent="0.2">
      <c r="A83" s="43">
        <f>A82*'Berekening trap 1'!H$58</f>
        <v>0.89121333825345594</v>
      </c>
      <c r="B83" s="6">
        <f>(A82+A83)/2</f>
        <v>0.87108030707169681</v>
      </c>
      <c r="C83" s="168">
        <f t="shared" si="17"/>
        <v>0.69600563992541575</v>
      </c>
      <c r="D83" s="200">
        <f t="shared" si="22"/>
        <v>0.84331926010872149</v>
      </c>
      <c r="E83" s="197">
        <f t="shared" si="18"/>
        <v>0.5944269309721395</v>
      </c>
      <c r="F83" s="43">
        <f t="shared" si="3"/>
        <v>0.82091474626602201</v>
      </c>
      <c r="G83" s="155">
        <f t="shared" si="13"/>
        <v>0.54752492819790044</v>
      </c>
      <c r="H83" s="170">
        <f>IF(C83&lt;$K$41,D83,E83)</f>
        <v>0.84331926010872149</v>
      </c>
      <c r="I83" s="179">
        <f t="shared" si="19"/>
        <v>0.82091474626602201</v>
      </c>
      <c r="J83" s="145">
        <f>IF(INVOER!$S$36=1,100-H83*100,100-I83*100)</f>
        <v>17.908525373397794</v>
      </c>
      <c r="K83" s="43">
        <f t="shared" si="4"/>
        <v>0</v>
      </c>
      <c r="L83" s="6">
        <f t="shared" si="5"/>
        <v>10</v>
      </c>
      <c r="M83" s="6">
        <f t="shared" si="6"/>
        <v>15</v>
      </c>
      <c r="N83" s="6">
        <f t="shared" si="7"/>
        <v>0.99199999999999999</v>
      </c>
      <c r="O83" s="6">
        <f t="shared" si="8"/>
        <v>0.85199999999999998</v>
      </c>
      <c r="P83" s="366">
        <f>(LN(LN(N83)/LN(O83)))/LN(L83/M83)</f>
        <v>7.3810864638246141</v>
      </c>
      <c r="Q83" s="6">
        <f>L83/((-LN(N83))^(1/P83))</f>
        <v>19.224549927406461</v>
      </c>
      <c r="R83" s="6">
        <f t="shared" si="11"/>
        <v>0.99999999985725629</v>
      </c>
      <c r="S83" s="6">
        <f t="shared" si="20"/>
        <v>99.999999985725623</v>
      </c>
      <c r="T83" s="357">
        <f t="shared" si="14"/>
        <v>4.1270320494390944E-9</v>
      </c>
      <c r="U83" s="358">
        <f>'Berekening trap 1'!H83*$T83</f>
        <v>3.4804056143779577E-9</v>
      </c>
      <c r="V83" s="359">
        <f>'Berekening trap 1'!I83*$T83</f>
        <v>3.3879414676970348E-9</v>
      </c>
      <c r="Y83" s="43">
        <f t="shared" si="15"/>
        <v>7</v>
      </c>
      <c r="Z83" s="6">
        <f>IF(INVOER!A42=0,"x",INVOER!A42)</f>
        <v>60</v>
      </c>
      <c r="AA83" s="6">
        <f>IF(INVOER!B$36&gt;INVOER!B$37,INVOER!B42,100-INVOER!B42)</f>
        <v>4.5</v>
      </c>
      <c r="AB83" s="6">
        <f>IF(Z83=0,AB82,Y83)</f>
        <v>7</v>
      </c>
      <c r="AC83" s="6">
        <f t="shared" si="12"/>
        <v>4.4999999999999998E-2</v>
      </c>
      <c r="AD83" s="44">
        <f>IF(INVOER!A42=0,10000,INVOER!A42)</f>
        <v>60</v>
      </c>
    </row>
    <row r="84" spans="1:30" x14ac:dyDescent="0.2">
      <c r="A84" s="43">
        <f>A83*'Berekening trap 1'!H$58</f>
        <v>0.93338475459624037</v>
      </c>
      <c r="B84" s="6">
        <f t="shared" si="21"/>
        <v>0.91229904642484816</v>
      </c>
      <c r="C84" s="168">
        <f>B84/$B$51</f>
        <v>0.72894000295429751</v>
      </c>
      <c r="D84" s="200">
        <f>IF(C84-$K$35&gt;0,EXP(-(((C84-$K$35)/$K$37)^$K$39)),1)</f>
        <v>0.82417268010758837</v>
      </c>
      <c r="E84" s="197">
        <f t="shared" si="18"/>
        <v>0.58556096102216282</v>
      </c>
      <c r="F84" s="43">
        <f t="shared" si="3"/>
        <v>0.79937083076792448</v>
      </c>
      <c r="G84" s="155">
        <f t="shared" si="13"/>
        <v>0.53807932784896273</v>
      </c>
      <c r="H84" s="170">
        <f t="shared" si="23"/>
        <v>0.82417268010758837</v>
      </c>
      <c r="I84" s="179">
        <f t="shared" si="19"/>
        <v>0.79937083076792448</v>
      </c>
      <c r="J84" s="145">
        <f>IF(INVOER!$S$36=1,100-H84*100,100-I84*100)</f>
        <v>20.062916923207553</v>
      </c>
      <c r="K84" s="43">
        <f t="shared" si="4"/>
        <v>0</v>
      </c>
      <c r="L84" s="6">
        <f t="shared" si="5"/>
        <v>10</v>
      </c>
      <c r="M84" s="6">
        <f t="shared" si="6"/>
        <v>15</v>
      </c>
      <c r="N84" s="6">
        <f t="shared" si="7"/>
        <v>0.99199999999999999</v>
      </c>
      <c r="O84" s="6">
        <f t="shared" si="8"/>
        <v>0.85199999999999998</v>
      </c>
      <c r="P84" s="366">
        <f t="shared" si="9"/>
        <v>7.3810864638246141</v>
      </c>
      <c r="Q84" s="6">
        <f t="shared" si="10"/>
        <v>19.224549927406461</v>
      </c>
      <c r="R84" s="6">
        <f t="shared" si="11"/>
        <v>0.99999999979920084</v>
      </c>
      <c r="S84" s="6">
        <f t="shared" si="20"/>
        <v>99.999999979920091</v>
      </c>
      <c r="T84" s="357">
        <f t="shared" si="14"/>
        <v>5.8055449336791298E-9</v>
      </c>
      <c r="U84" s="358">
        <f>'Berekening trap 1'!H84*$T84</f>
        <v>4.7847715274753602E-9</v>
      </c>
      <c r="V84" s="359">
        <f>'Berekening trap 1'!I84*$T84</f>
        <v>4.6407832766956011E-9</v>
      </c>
      <c r="Y84" s="43">
        <f t="shared" si="15"/>
        <v>8</v>
      </c>
      <c r="Z84" s="6">
        <f>IF(INVOER!A43=0,"x",INVOER!A43)</f>
        <v>80</v>
      </c>
      <c r="AA84" s="6">
        <f>IF(INVOER!B$36&gt;INVOER!B$37,INVOER!B43,100-INVOER!B43)</f>
        <v>2</v>
      </c>
      <c r="AB84" s="6">
        <f t="shared" si="16"/>
        <v>8</v>
      </c>
      <c r="AC84" s="6">
        <f t="shared" si="12"/>
        <v>0.02</v>
      </c>
      <c r="AD84" s="44">
        <f>IF(INVOER!A43=0,10000,INVOER!A43)</f>
        <v>80</v>
      </c>
    </row>
    <row r="85" spans="1:30" x14ac:dyDescent="0.2">
      <c r="A85" s="43">
        <f>A84*'Berekening trap 1'!H$58</f>
        <v>0.97755168456075958</v>
      </c>
      <c r="B85" s="6">
        <f t="shared" si="21"/>
        <v>0.95546821957850003</v>
      </c>
      <c r="C85" s="168">
        <f>B85/$B$51</f>
        <v>0.76343279052156998</v>
      </c>
      <c r="D85" s="200">
        <f t="shared" si="22"/>
        <v>0.80539207478291608</v>
      </c>
      <c r="E85" s="197">
        <f t="shared" si="18"/>
        <v>0.57652361527597029</v>
      </c>
      <c r="F85" s="43">
        <f t="shared" si="3"/>
        <v>0.77831539892348822</v>
      </c>
      <c r="G85" s="155">
        <f t="shared" si="13"/>
        <v>0.52847437987832968</v>
      </c>
      <c r="H85" s="170">
        <f t="shared" si="23"/>
        <v>0.80539207478291608</v>
      </c>
      <c r="I85" s="179">
        <f t="shared" si="19"/>
        <v>0.77831539892348822</v>
      </c>
      <c r="J85" s="145">
        <f>IF(INVOER!$S$36=1,100-H85*100,100-I85*100)</f>
        <v>22.168460107651171</v>
      </c>
      <c r="K85" s="43">
        <f t="shared" si="4"/>
        <v>0</v>
      </c>
      <c r="L85" s="6">
        <f t="shared" si="5"/>
        <v>10</v>
      </c>
      <c r="M85" s="6">
        <f t="shared" si="6"/>
        <v>15</v>
      </c>
      <c r="N85" s="6">
        <f t="shared" si="7"/>
        <v>0.99199999999999999</v>
      </c>
      <c r="O85" s="6">
        <f t="shared" si="8"/>
        <v>0.85199999999999998</v>
      </c>
      <c r="P85" s="366">
        <f t="shared" si="9"/>
        <v>7.3810864638246141</v>
      </c>
      <c r="Q85" s="6">
        <f t="shared" si="10"/>
        <v>19.224549927406461</v>
      </c>
      <c r="R85" s="6">
        <f t="shared" si="11"/>
        <v>0.99999999971753351</v>
      </c>
      <c r="S85" s="6">
        <f t="shared" si="20"/>
        <v>99.999999971753354</v>
      </c>
      <c r="T85" s="357">
        <f t="shared" si="14"/>
        <v>8.166733955761174E-9</v>
      </c>
      <c r="U85" s="358">
        <f>'Berekening trap 1'!H85*$T85</f>
        <v>6.5774228048305833E-9</v>
      </c>
      <c r="V85" s="359">
        <f>'Berekening trap 1'!I85*$T85</f>
        <v>6.356294796680255E-9</v>
      </c>
      <c r="Y85" s="43">
        <f t="shared" si="15"/>
        <v>9</v>
      </c>
      <c r="Z85" s="6" t="str">
        <f>IF(INVOER!A44=0,"x",INVOER!A44)</f>
        <v>x</v>
      </c>
      <c r="AA85" s="6">
        <f>IF(INVOER!B$36&gt;INVOER!B$37,INVOER!B44,100-INVOER!B44)</f>
        <v>0</v>
      </c>
      <c r="AB85" s="6">
        <f t="shared" si="16"/>
        <v>9</v>
      </c>
      <c r="AC85" s="6">
        <f t="shared" si="12"/>
        <v>0</v>
      </c>
      <c r="AD85" s="44">
        <f>IF(INVOER!A44=0,10000,INVOER!A44)</f>
        <v>10000</v>
      </c>
    </row>
    <row r="86" spans="1:30" x14ac:dyDescent="0.2">
      <c r="A86" s="45">
        <f>A85*'Berekening trap 1'!H$58</f>
        <v>1.0238085540629507</v>
      </c>
      <c r="B86" s="46">
        <f t="shared" si="21"/>
        <v>1.0006801193118551</v>
      </c>
      <c r="C86" s="182">
        <f t="shared" si="17"/>
        <v>0.79955774587952355</v>
      </c>
      <c r="D86" s="201">
        <f t="shared" si="22"/>
        <v>0.78689311850842381</v>
      </c>
      <c r="E86" s="167">
        <f t="shared" si="18"/>
        <v>0.56731713594733313</v>
      </c>
      <c r="F86" s="45">
        <f t="shared" si="3"/>
        <v>0.75765143399926937</v>
      </c>
      <c r="G86" s="183">
        <f t="shared" si="13"/>
        <v>0.51871411077971419</v>
      </c>
      <c r="H86" s="171">
        <f t="shared" si="23"/>
        <v>0.78689311850842381</v>
      </c>
      <c r="I86" s="235">
        <f t="shared" si="19"/>
        <v>0.75765143399926937</v>
      </c>
      <c r="J86" s="145">
        <f>IF(INVOER!$S$36=1,100-H86*100,100-I86*100)</f>
        <v>24.234856600073059</v>
      </c>
      <c r="K86" s="45">
        <f t="shared" si="4"/>
        <v>0</v>
      </c>
      <c r="L86" s="46">
        <f t="shared" si="5"/>
        <v>10</v>
      </c>
      <c r="M86" s="46">
        <f t="shared" si="6"/>
        <v>15</v>
      </c>
      <c r="N86" s="46">
        <f t="shared" si="7"/>
        <v>0.99199999999999999</v>
      </c>
      <c r="O86" s="46">
        <f t="shared" si="8"/>
        <v>0.85199999999999998</v>
      </c>
      <c r="P86" s="367">
        <f>(LN(LN(N86)/LN(O86)))/LN(L86/M86)</f>
        <v>7.3810864638246141</v>
      </c>
      <c r="Q86" s="46">
        <f t="shared" si="10"/>
        <v>19.224549927406461</v>
      </c>
      <c r="R86" s="46">
        <f t="shared" si="11"/>
        <v>0.99999999960265107</v>
      </c>
      <c r="S86" s="46">
        <f t="shared" si="20"/>
        <v>99.9999999602651</v>
      </c>
      <c r="T86" s="360">
        <f t="shared" si="14"/>
        <v>1.1488243689683486E-8</v>
      </c>
      <c r="U86" s="361">
        <f>'Berekening trap 1'!H86*$T86</f>
        <v>9.0400199031597587E-9</v>
      </c>
      <c r="V86" s="362">
        <f>'Berekening trap 1'!I86*$T86</f>
        <v>8.7040843056217512E-9</v>
      </c>
      <c r="Y86" s="43">
        <f t="shared" si="15"/>
        <v>10</v>
      </c>
      <c r="Z86" s="6" t="str">
        <f>IF(INVOER!A45=0,"x",INVOER!A45)</f>
        <v>x</v>
      </c>
      <c r="AA86" s="6">
        <f>IF(INVOER!B$36&gt;INVOER!B$37,INVOER!B45,100-INVOER!B45)</f>
        <v>0</v>
      </c>
      <c r="AB86" s="6">
        <f t="shared" si="16"/>
        <v>10</v>
      </c>
      <c r="AC86" s="6">
        <f t="shared" si="12"/>
        <v>0</v>
      </c>
      <c r="AD86" s="44">
        <f>IF(INVOER!A45=0,10000,INVOER!A45)</f>
        <v>10000</v>
      </c>
    </row>
    <row r="87" spans="1:30" x14ac:dyDescent="0.2">
      <c r="A87" s="43">
        <f>A86*'Berekening trap 1'!H$58</f>
        <v>1.0722542571684557</v>
      </c>
      <c r="B87" s="6">
        <f t="shared" si="21"/>
        <v>1.0480314056157032</v>
      </c>
      <c r="C87" s="168">
        <f t="shared" si="17"/>
        <v>0.83739210174504863</v>
      </c>
      <c r="D87" s="200">
        <f t="shared" si="22"/>
        <v>0.76861405784937542</v>
      </c>
      <c r="E87" s="197">
        <f t="shared" si="18"/>
        <v>0.55794415644586781</v>
      </c>
      <c r="F87" s="43">
        <f t="shared" si="3"/>
        <v>0.73730835612015189</v>
      </c>
      <c r="G87" s="155">
        <f t="shared" si="13"/>
        <v>0.50880300663564504</v>
      </c>
      <c r="H87" s="170">
        <f t="shared" si="23"/>
        <v>0.76861405784937542</v>
      </c>
      <c r="I87" s="179">
        <f t="shared" si="19"/>
        <v>0.73730835612015189</v>
      </c>
      <c r="J87" s="147">
        <f>IF(INVOER!$S$36=1,100-H87*100,100-I87*100)</f>
        <v>26.269164387984816</v>
      </c>
      <c r="K87" s="41">
        <f t="shared" si="4"/>
        <v>0</v>
      </c>
      <c r="L87" s="5">
        <f t="shared" si="5"/>
        <v>10</v>
      </c>
      <c r="M87" s="5">
        <f t="shared" si="6"/>
        <v>15</v>
      </c>
      <c r="N87" s="5">
        <f t="shared" si="7"/>
        <v>0.99199999999999999</v>
      </c>
      <c r="O87" s="5">
        <f t="shared" si="8"/>
        <v>0.85199999999999998</v>
      </c>
      <c r="P87" s="365">
        <f t="shared" si="9"/>
        <v>7.3810864638246141</v>
      </c>
      <c r="Q87" s="5">
        <f t="shared" si="10"/>
        <v>19.224549927406461</v>
      </c>
      <c r="R87" s="5">
        <f t="shared" si="11"/>
        <v>0.99999999944104478</v>
      </c>
      <c r="S87" s="5">
        <f>R87*100</f>
        <v>99.999999944104474</v>
      </c>
      <c r="T87" s="363">
        <f t="shared" si="14"/>
        <v>1.6160628391048704E-8</v>
      </c>
      <c r="U87" s="358">
        <f>'Berekening trap 1'!H87*$T87</f>
        <v>1.2421286165039767E-8</v>
      </c>
      <c r="V87" s="359">
        <f>'Berekening trap 1'!I87*$T87</f>
        <v>1.1915366352872775E-8</v>
      </c>
      <c r="Y87" s="43">
        <f t="shared" si="15"/>
        <v>11</v>
      </c>
      <c r="Z87" s="6" t="str">
        <f>IF(INVOER!A46=0,"x",INVOER!A46)</f>
        <v>x</v>
      </c>
      <c r="AA87" s="6">
        <f>IF(INVOER!B$36&gt;INVOER!B$37,INVOER!B46,100-INVOER!B46)</f>
        <v>0</v>
      </c>
      <c r="AB87" s="6">
        <f t="shared" si="16"/>
        <v>11</v>
      </c>
      <c r="AC87" s="6">
        <f t="shared" si="12"/>
        <v>0</v>
      </c>
      <c r="AD87" s="44">
        <f>IF(INVOER!A46=0,10000,INVOER!A46)</f>
        <v>10000</v>
      </c>
    </row>
    <row r="88" spans="1:30" x14ac:dyDescent="0.2">
      <c r="A88" s="43">
        <f>A87*'Berekening trap 1'!H$58</f>
        <v>1.122992367521461</v>
      </c>
      <c r="B88" s="6">
        <f t="shared" si="21"/>
        <v>1.0976233123449584</v>
      </c>
      <c r="C88" s="168">
        <f t="shared" si="17"/>
        <v>0.87701674541797214</v>
      </c>
      <c r="D88" s="200">
        <f>IF(C88-$K$35&gt;0,EXP(-(((C88-$K$35)/$K$37)^$K$39)),1)</f>
        <v>0.75050870256155267</v>
      </c>
      <c r="E88" s="197">
        <f t="shared" si="18"/>
        <v>0.54840771742880889</v>
      </c>
      <c r="F88" s="43">
        <f t="shared" si="3"/>
        <v>0.71723381630908301</v>
      </c>
      <c r="G88" s="155">
        <f t="shared" si="13"/>
        <v>0.49874602644221611</v>
      </c>
      <c r="H88" s="170">
        <f t="shared" si="23"/>
        <v>0.75050870256155267</v>
      </c>
      <c r="I88" s="179">
        <f t="shared" si="19"/>
        <v>0.71723381630908301</v>
      </c>
      <c r="J88" s="145">
        <f>IF(INVOER!$S$36=1,100-H88*100,100-I88*100)</f>
        <v>28.276618369091693</v>
      </c>
      <c r="K88" s="43">
        <f t="shared" si="4"/>
        <v>0</v>
      </c>
      <c r="L88" s="6">
        <f t="shared" si="5"/>
        <v>10</v>
      </c>
      <c r="M88" s="6">
        <f t="shared" si="6"/>
        <v>15</v>
      </c>
      <c r="N88" s="6">
        <f t="shared" si="7"/>
        <v>0.99199999999999999</v>
      </c>
      <c r="O88" s="6">
        <f t="shared" si="8"/>
        <v>0.85199999999999998</v>
      </c>
      <c r="P88" s="366">
        <f t="shared" si="9"/>
        <v>7.3810864638246141</v>
      </c>
      <c r="Q88" s="6">
        <f t="shared" si="10"/>
        <v>19.224549927406461</v>
      </c>
      <c r="R88" s="6">
        <f t="shared" si="11"/>
        <v>0.99999999921371119</v>
      </c>
      <c r="S88" s="6">
        <f t="shared" si="20"/>
        <v>99.999999921371113</v>
      </c>
      <c r="T88" s="357">
        <f t="shared" si="14"/>
        <v>2.2733359639204309E-8</v>
      </c>
      <c r="U88" s="358">
        <f>'Berekening trap 1'!H88*$T88</f>
        <v>1.7061584247684392E-8</v>
      </c>
      <c r="V88" s="359">
        <f>'Berekening trap 1'!I88*$T88</f>
        <v>1.6305134291553385E-8</v>
      </c>
      <c r="Y88" s="43">
        <f t="shared" si="15"/>
        <v>12</v>
      </c>
      <c r="Z88" s="6" t="str">
        <f>IF(INVOER!A47=0,"x",INVOER!A47)</f>
        <v>x</v>
      </c>
      <c r="AA88" s="6">
        <f>IF(INVOER!B$36&gt;INVOER!B$37,INVOER!B47,100-INVOER!B47)</f>
        <v>0</v>
      </c>
      <c r="AB88" s="6">
        <f t="shared" si="16"/>
        <v>12</v>
      </c>
      <c r="AC88" s="6">
        <f t="shared" si="12"/>
        <v>0</v>
      </c>
      <c r="AD88" s="44">
        <f>IF(INVOER!A47=0,10000,INVOER!A47)</f>
        <v>10000</v>
      </c>
    </row>
    <row r="89" spans="1:30" x14ac:dyDescent="0.2">
      <c r="A89" s="43">
        <f>A88*'Berekening trap 1'!H$58</f>
        <v>1.1761313597781595</v>
      </c>
      <c r="B89" s="6">
        <f t="shared" si="21"/>
        <v>1.1495618636498102</v>
      </c>
      <c r="C89" s="168">
        <f t="shared" si="17"/>
        <v>0.91851639171264721</v>
      </c>
      <c r="D89" s="200">
        <f>IF(C89-$K$35&gt;0,EXP(-(((C89-$K$35)/$K$37)^$K$39)),1)</f>
        <v>0.73254207065141985</v>
      </c>
      <c r="E89" s="197">
        <f t="shared" si="18"/>
        <v>0.53871128246570299</v>
      </c>
      <c r="F89" s="43">
        <f t="shared" si="3"/>
        <v>0.69738859025288635</v>
      </c>
      <c r="G89" s="155">
        <f t="shared" si="13"/>
        <v>0.48854861442289349</v>
      </c>
      <c r="H89" s="170">
        <f t="shared" si="23"/>
        <v>0.73254207065141985</v>
      </c>
      <c r="I89" s="179">
        <f t="shared" si="19"/>
        <v>0.69738859025288635</v>
      </c>
      <c r="J89" s="145">
        <f>IF(INVOER!$S$36=1,100-H89*100,100-I89*100)</f>
        <v>30.261140974711367</v>
      </c>
      <c r="K89" s="43">
        <f t="shared" si="4"/>
        <v>0</v>
      </c>
      <c r="L89" s="6">
        <f t="shared" si="5"/>
        <v>10</v>
      </c>
      <c r="M89" s="6">
        <f t="shared" si="6"/>
        <v>15</v>
      </c>
      <c r="N89" s="6">
        <f t="shared" si="7"/>
        <v>0.99199999999999999</v>
      </c>
      <c r="O89" s="6">
        <f t="shared" si="8"/>
        <v>0.85199999999999998</v>
      </c>
      <c r="P89" s="366">
        <f t="shared" si="9"/>
        <v>7.3810864638246141</v>
      </c>
      <c r="Q89" s="6">
        <f t="shared" si="10"/>
        <v>19.224549927406461</v>
      </c>
      <c r="R89" s="6">
        <f t="shared" si="11"/>
        <v>0.99999999889391855</v>
      </c>
      <c r="S89" s="6">
        <f t="shared" si="20"/>
        <v>99.999999889391859</v>
      </c>
      <c r="T89" s="357">
        <f t="shared" si="14"/>
        <v>3.1979263681591874E-8</v>
      </c>
      <c r="U89" s="358">
        <f>'Berekening trap 1'!H89*$T89</f>
        <v>2.342615603522106E-8</v>
      </c>
      <c r="V89" s="359">
        <f>'Berekening trap 1'!I89*$T89</f>
        <v>2.2301973616230685E-8</v>
      </c>
      <c r="Y89" s="43">
        <f t="shared" si="15"/>
        <v>13</v>
      </c>
      <c r="Z89" s="6" t="str">
        <f>IF(INVOER!A48=0,"x",INVOER!A48)</f>
        <v>x</v>
      </c>
      <c r="AA89" s="6">
        <f>IF(INVOER!B$36&gt;INVOER!B$37,INVOER!B48,100-INVOER!B48)</f>
        <v>0</v>
      </c>
      <c r="AB89" s="6">
        <f t="shared" si="16"/>
        <v>13</v>
      </c>
      <c r="AC89" s="6">
        <f t="shared" si="12"/>
        <v>0</v>
      </c>
      <c r="AD89" s="44">
        <f>IF(INVOER!A48=0,10000,INVOER!A48)</f>
        <v>10000</v>
      </c>
    </row>
    <row r="90" spans="1:30" x14ac:dyDescent="0.2">
      <c r="A90" s="43">
        <f>A89*'Berekening trap 1'!H$58</f>
        <v>1.2317848415182457</v>
      </c>
      <c r="B90" s="6">
        <f t="shared" si="21"/>
        <v>1.2039581006482027</v>
      </c>
      <c r="C90" s="168">
        <f t="shared" si="17"/>
        <v>0.96197976407251007</v>
      </c>
      <c r="D90" s="200">
        <f t="shared" ref="D90:D153" si="24">IF(C90-$K$35&gt;0,EXP(-(((C90-$K$35)/$K$37)^$K$39)),1)</f>
        <v>0.71468755129167183</v>
      </c>
      <c r="E90" s="197">
        <f t="shared" si="18"/>
        <v>0.52885875319234366</v>
      </c>
      <c r="F90" s="43">
        <f t="shared" si="3"/>
        <v>0.6777432454582879</v>
      </c>
      <c r="G90" s="155">
        <f t="shared" si="13"/>
        <v>0.47821671116455472</v>
      </c>
      <c r="H90" s="170">
        <f t="shared" si="23"/>
        <v>0.71468755129167183</v>
      </c>
      <c r="I90" s="179">
        <f t="shared" si="19"/>
        <v>0.6777432454582879</v>
      </c>
      <c r="J90" s="145">
        <f>IF(INVOER!$S$36=1,100-H90*100,100-I90*100)</f>
        <v>32.22567545417121</v>
      </c>
      <c r="K90" s="43">
        <f t="shared" si="4"/>
        <v>0</v>
      </c>
      <c r="L90" s="6">
        <f t="shared" si="5"/>
        <v>10</v>
      </c>
      <c r="M90" s="6">
        <f t="shared" si="6"/>
        <v>15</v>
      </c>
      <c r="N90" s="6">
        <f t="shared" si="7"/>
        <v>0.99199999999999999</v>
      </c>
      <c r="O90" s="6">
        <f t="shared" si="8"/>
        <v>0.85199999999999998</v>
      </c>
      <c r="P90" s="366">
        <f t="shared" si="9"/>
        <v>7.3810864638246141</v>
      </c>
      <c r="Q90" s="6">
        <f t="shared" si="10"/>
        <v>19.224549927406461</v>
      </c>
      <c r="R90" s="6">
        <f t="shared" si="11"/>
        <v>0.99999999844406262</v>
      </c>
      <c r="S90" s="6">
        <f t="shared" si="20"/>
        <v>99.999999844406261</v>
      </c>
      <c r="T90" s="357">
        <f t="shared" si="14"/>
        <v>4.498559302845706E-8</v>
      </c>
      <c r="U90" s="358">
        <f>'Berekening trap 1'!H90*$T90</f>
        <v>3.2150643324911677E-8</v>
      </c>
      <c r="V90" s="359">
        <f>'Berekening trap 1'!I90*$T90</f>
        <v>3.0488681817972216E-8</v>
      </c>
      <c r="Y90" s="43">
        <f t="shared" si="15"/>
        <v>14</v>
      </c>
      <c r="Z90" s="6" t="str">
        <f>IF(INVOER!A49=0,"x",INVOER!A49)</f>
        <v>x</v>
      </c>
      <c r="AA90" s="6">
        <f>IF(INVOER!B$36&gt;INVOER!B$37,INVOER!B49,100-INVOER!B49)</f>
        <v>0</v>
      </c>
      <c r="AB90" s="6">
        <f t="shared" si="16"/>
        <v>14</v>
      </c>
      <c r="AC90" s="6">
        <f>AA90/100</f>
        <v>0</v>
      </c>
      <c r="AD90" s="44">
        <f>IF(INVOER!A49=0,10000,INVOER!A49)</f>
        <v>10000</v>
      </c>
    </row>
    <row r="91" spans="1:30" x14ac:dyDescent="0.2">
      <c r="A91" s="45">
        <f>A90*'Berekening trap 1'!H$58</f>
        <v>1.2900717961302552</v>
      </c>
      <c r="B91" s="46">
        <f t="shared" si="21"/>
        <v>1.2609283188242504</v>
      </c>
      <c r="C91" s="182">
        <f t="shared" si="17"/>
        <v>1.0074997842548132</v>
      </c>
      <c r="D91" s="201">
        <f t="shared" si="24"/>
        <v>0.69692498420000426</v>
      </c>
      <c r="E91" s="167">
        <f t="shared" si="18"/>
        <v>0.51885448382029875</v>
      </c>
      <c r="F91" s="45">
        <f t="shared" si="3"/>
        <v>0.65827587938264287</v>
      </c>
      <c r="G91" s="183">
        <f t="shared" si="13"/>
        <v>0.46775676339977368</v>
      </c>
      <c r="H91" s="171">
        <f t="shared" si="23"/>
        <v>0.69692498420000426</v>
      </c>
      <c r="I91" s="235">
        <f t="shared" si="19"/>
        <v>0.65827587938264287</v>
      </c>
      <c r="J91" s="238">
        <f>IF(INVOER!$S$36=1,100-H91*100,100-I91*100)</f>
        <v>34.172412061735713</v>
      </c>
      <c r="K91" s="45">
        <f t="shared" si="4"/>
        <v>0</v>
      </c>
      <c r="L91" s="46">
        <f t="shared" si="5"/>
        <v>10</v>
      </c>
      <c r="M91" s="46">
        <f t="shared" si="6"/>
        <v>15</v>
      </c>
      <c r="N91" s="46">
        <f t="shared" si="7"/>
        <v>0.99199999999999999</v>
      </c>
      <c r="O91" s="46">
        <f t="shared" si="8"/>
        <v>0.85199999999999998</v>
      </c>
      <c r="P91" s="367">
        <f t="shared" si="9"/>
        <v>7.3810864638246141</v>
      </c>
      <c r="Q91" s="46">
        <f t="shared" si="10"/>
        <v>19.224549927406461</v>
      </c>
      <c r="R91" s="46">
        <f t="shared" si="11"/>
        <v>0.99999999781124504</v>
      </c>
      <c r="S91" s="46">
        <f t="shared" si="20"/>
        <v>99.999999781124501</v>
      </c>
      <c r="T91" s="360">
        <f t="shared" si="14"/>
        <v>6.3281757611832745E-8</v>
      </c>
      <c r="U91" s="361">
        <f>'Berekening trap 1'!H91*$T91</f>
        <v>4.4102637923775034E-8</v>
      </c>
      <c r="V91" s="362">
        <f>'Berekening trap 1'!I91*$T91</f>
        <v>4.1656854640808456E-8</v>
      </c>
      <c r="Y91" s="43">
        <f t="shared" si="15"/>
        <v>15</v>
      </c>
      <c r="Z91" s="6" t="str">
        <f>IF(INVOER!A50=0,"x",INVOER!A50)</f>
        <v>x</v>
      </c>
      <c r="AA91" s="6">
        <f>IF(INVOER!B$36&gt;INVOER!B$37,INVOER!B50,100-INVOER!B50)</f>
        <v>0</v>
      </c>
      <c r="AB91" s="6">
        <f t="shared" si="16"/>
        <v>15</v>
      </c>
      <c r="AC91" s="6">
        <f t="shared" si="12"/>
        <v>0</v>
      </c>
      <c r="AD91" s="44">
        <f>IF(INVOER!A50=0,10000,INVOER!A50)</f>
        <v>10000</v>
      </c>
    </row>
    <row r="92" spans="1:30" x14ac:dyDescent="0.2">
      <c r="A92" s="43">
        <f>A91*'Berekening trap 1'!H$58</f>
        <v>1.3511168371900206</v>
      </c>
      <c r="B92" s="6">
        <f t="shared" si="21"/>
        <v>1.3205943166601379</v>
      </c>
      <c r="C92" s="168">
        <f t="shared" si="17"/>
        <v>1.0551737709910756</v>
      </c>
      <c r="D92" s="200">
        <f t="shared" si="24"/>
        <v>0.67923931729002496</v>
      </c>
      <c r="E92" s="197">
        <f t="shared" si="18"/>
        <v>0.50870329485839083</v>
      </c>
      <c r="F92" s="43">
        <f t="shared" si="3"/>
        <v>0.63897053333289566</v>
      </c>
      <c r="G92" s="155">
        <f t="shared" si="13"/>
        <v>0.45717573225078556</v>
      </c>
      <c r="H92" s="170">
        <f t="shared" si="23"/>
        <v>0.67923931729002496</v>
      </c>
      <c r="I92" s="179">
        <f t="shared" si="19"/>
        <v>0.63897053333289566</v>
      </c>
      <c r="J92" s="145">
        <f>IF(INVOER!$S$36=1,100-H92*100,100-I92*100)</f>
        <v>36.102946666710437</v>
      </c>
      <c r="K92" s="41">
        <f t="shared" si="4"/>
        <v>0</v>
      </c>
      <c r="L92" s="5">
        <f t="shared" si="5"/>
        <v>10</v>
      </c>
      <c r="M92" s="5">
        <f t="shared" si="6"/>
        <v>15</v>
      </c>
      <c r="N92" s="5">
        <f t="shared" si="7"/>
        <v>0.99199999999999999</v>
      </c>
      <c r="O92" s="5">
        <f t="shared" si="8"/>
        <v>0.85199999999999998</v>
      </c>
      <c r="P92" s="365">
        <f t="shared" si="9"/>
        <v>7.3810864638246141</v>
      </c>
      <c r="Q92" s="5">
        <f t="shared" si="10"/>
        <v>19.224549927406461</v>
      </c>
      <c r="R92" s="5">
        <f t="shared" si="11"/>
        <v>0.99999999692105335</v>
      </c>
      <c r="S92" s="5">
        <f t="shared" si="20"/>
        <v>99.999999692105334</v>
      </c>
      <c r="T92" s="363">
        <f t="shared" si="14"/>
        <v>8.9019169813298049E-8</v>
      </c>
      <c r="U92" s="358">
        <f>'Berekening trap 1'!H92*$T92</f>
        <v>6.046532012970936E-8</v>
      </c>
      <c r="V92" s="359">
        <f>'Berekening trap 1'!I92*$T92</f>
        <v>5.6880626412454658E-8</v>
      </c>
      <c r="Y92" s="43">
        <f t="shared" si="15"/>
        <v>16</v>
      </c>
      <c r="Z92" s="6" t="str">
        <f>IF(INVOER!A51=0,"x",INVOER!A51)</f>
        <v>x</v>
      </c>
      <c r="AA92" s="6">
        <f>IF(INVOER!B$36&gt;INVOER!B$37,INVOER!B51,100-INVOER!B51)</f>
        <v>0</v>
      </c>
      <c r="AB92" s="6">
        <f t="shared" si="16"/>
        <v>16</v>
      </c>
      <c r="AC92" s="6">
        <f t="shared" si="12"/>
        <v>0</v>
      </c>
      <c r="AD92" s="44">
        <f>IF(INVOER!A51=0,10000,INVOER!A51)</f>
        <v>10000</v>
      </c>
    </row>
    <row r="93" spans="1:30" x14ac:dyDescent="0.2">
      <c r="A93" s="43">
        <f>A92*'Berekening trap 1'!H$58</f>
        <v>1.4150504748760875</v>
      </c>
      <c r="B93" s="6">
        <f t="shared" si="21"/>
        <v>1.3830836560330542</v>
      </c>
      <c r="C93" s="168">
        <f t="shared" si="17"/>
        <v>1.1051036480479601</v>
      </c>
      <c r="D93" s="200">
        <f t="shared" si="24"/>
        <v>0.66161964270532825</v>
      </c>
      <c r="E93" s="197">
        <f t="shared" si="18"/>
        <v>0.4984104858926004</v>
      </c>
      <c r="F93" s="43">
        <f t="shared" si="3"/>
        <v>0.61981604843229043</v>
      </c>
      <c r="G93" s="155">
        <f t="shared" si="13"/>
        <v>0.44648109974275718</v>
      </c>
      <c r="H93" s="170">
        <f t="shared" si="23"/>
        <v>0.66161964270532825</v>
      </c>
      <c r="I93" s="179">
        <f t="shared" si="19"/>
        <v>0.61981604843229043</v>
      </c>
      <c r="J93" s="145">
        <f>IF(INVOER!$S$36=1,100-H93*100,100-I93*100)</f>
        <v>38.018395156770957</v>
      </c>
      <c r="K93" s="43">
        <f t="shared" si="4"/>
        <v>0</v>
      </c>
      <c r="L93" s="6">
        <f t="shared" si="5"/>
        <v>10</v>
      </c>
      <c r="M93" s="6">
        <f t="shared" si="6"/>
        <v>15</v>
      </c>
      <c r="N93" s="6">
        <f t="shared" si="7"/>
        <v>0.99199999999999999</v>
      </c>
      <c r="O93" s="6">
        <f t="shared" si="8"/>
        <v>0.85199999999999998</v>
      </c>
      <c r="P93" s="366">
        <f t="shared" si="9"/>
        <v>7.3810864638246141</v>
      </c>
      <c r="Q93" s="6">
        <f t="shared" si="10"/>
        <v>19.224549927406461</v>
      </c>
      <c r="R93" s="6">
        <f t="shared" si="11"/>
        <v>0.99999999566881059</v>
      </c>
      <c r="S93" s="6">
        <f t="shared" si="20"/>
        <v>99.999999566881058</v>
      </c>
      <c r="T93" s="357">
        <f t="shared" si="14"/>
        <v>1.2522427539352066E-7</v>
      </c>
      <c r="U93" s="358">
        <f>'Berekening trap 1'!H93*$T93</f>
        <v>8.2850840343894762E-8</v>
      </c>
      <c r="V93" s="359">
        <f>'Berekening trap 1'!I93*$T93</f>
        <v>7.7616015542208871E-8</v>
      </c>
      <c r="Y93" s="43">
        <f t="shared" si="15"/>
        <v>17</v>
      </c>
      <c r="Z93" s="6" t="str">
        <f>IF(INVOER!A52=0,"x",INVOER!A52)</f>
        <v>x</v>
      </c>
      <c r="AA93" s="6">
        <f>IF(INVOER!B$36&gt;INVOER!B$37,INVOER!B52,100-INVOER!B52)</f>
        <v>0</v>
      </c>
      <c r="AB93" s="6">
        <f t="shared" si="16"/>
        <v>17</v>
      </c>
      <c r="AC93" s="6">
        <f t="shared" si="12"/>
        <v>0</v>
      </c>
      <c r="AD93" s="44">
        <f>IF(INVOER!A52=0,10000,INVOER!A52)</f>
        <v>10000</v>
      </c>
    </row>
    <row r="94" spans="1:30" x14ac:dyDescent="0.2">
      <c r="A94" s="43">
        <f>A93*'Berekening trap 1'!H$58</f>
        <v>1.4820093949916695</v>
      </c>
      <c r="B94" s="6">
        <f t="shared" si="21"/>
        <v>1.4485299349338785</v>
      </c>
      <c r="C94" s="168">
        <f t="shared" si="17"/>
        <v>1.157396162133411</v>
      </c>
      <c r="D94" s="200">
        <f t="shared" si="24"/>
        <v>0.6440584880504221</v>
      </c>
      <c r="E94" s="197">
        <f t="shared" si="18"/>
        <v>0.48798184726116889</v>
      </c>
      <c r="F94" s="43">
        <f t="shared" si="3"/>
        <v>0.60080521957008726</v>
      </c>
      <c r="G94" s="155">
        <f t="shared" si="13"/>
        <v>0.43568087338713896</v>
      </c>
      <c r="H94" s="170">
        <f t="shared" si="23"/>
        <v>0.6440584880504221</v>
      </c>
      <c r="I94" s="179">
        <f t="shared" si="19"/>
        <v>0.60080521957008726</v>
      </c>
      <c r="J94" s="145">
        <f>IF(INVOER!$S$36=1,100-H94*100,100-I94*100)</f>
        <v>39.919478042991273</v>
      </c>
      <c r="K94" s="43">
        <f t="shared" si="4"/>
        <v>0</v>
      </c>
      <c r="L94" s="6">
        <f t="shared" si="5"/>
        <v>10</v>
      </c>
      <c r="M94" s="6">
        <f t="shared" si="6"/>
        <v>15</v>
      </c>
      <c r="N94" s="6">
        <f t="shared" si="7"/>
        <v>0.99199999999999999</v>
      </c>
      <c r="O94" s="6">
        <f t="shared" si="8"/>
        <v>0.85199999999999998</v>
      </c>
      <c r="P94" s="366">
        <f t="shared" si="9"/>
        <v>7.3810864638246141</v>
      </c>
      <c r="Q94" s="6">
        <f t="shared" si="10"/>
        <v>19.224549927406461</v>
      </c>
      <c r="R94" s="6">
        <f t="shared" si="11"/>
        <v>0.99999999390726624</v>
      </c>
      <c r="S94" s="6">
        <f t="shared" si="20"/>
        <v>99.999999390726629</v>
      </c>
      <c r="T94" s="357">
        <f t="shared" si="14"/>
        <v>1.7615443548280041E-7</v>
      </c>
      <c r="U94" s="358">
        <f>'Berekening trap 1'!H94*$T94</f>
        <v>1.1345375938042806E-7</v>
      </c>
      <c r="V94" s="359">
        <f>'Berekening trap 1'!I94*$T94</f>
        <v>1.0583450428848867E-7</v>
      </c>
      <c r="Y94" s="43">
        <f t="shared" si="15"/>
        <v>18</v>
      </c>
      <c r="Z94" s="6" t="str">
        <f>IF(INVOER!A53=0,"x",INVOER!A53)</f>
        <v>x</v>
      </c>
      <c r="AA94" s="6">
        <f>IF(INVOER!B$36&gt;INVOER!B$37,INVOER!B53,100-INVOER!B53)</f>
        <v>0</v>
      </c>
      <c r="AB94" s="6">
        <f t="shared" si="16"/>
        <v>18</v>
      </c>
      <c r="AC94" s="6">
        <f t="shared" si="12"/>
        <v>0</v>
      </c>
      <c r="AD94" s="44">
        <f>IF(INVOER!A53=0,10000,INVOER!A53)</f>
        <v>10000</v>
      </c>
    </row>
    <row r="95" spans="1:30" x14ac:dyDescent="0.2">
      <c r="A95" s="43">
        <f>A94*'Berekening trap 1'!H$58</f>
        <v>1.5521367511896729</v>
      </c>
      <c r="B95" s="6">
        <f t="shared" si="21"/>
        <v>1.5170730730906712</v>
      </c>
      <c r="C95" s="168">
        <f t="shared" si="17"/>
        <v>1.212163111113912</v>
      </c>
      <c r="D95" s="200">
        <f t="shared" si="24"/>
        <v>0.62655128414349825</v>
      </c>
      <c r="E95" s="197">
        <f t="shared" si="18"/>
        <v>0.47742367045235301</v>
      </c>
      <c r="F95" s="43">
        <f t="shared" si="3"/>
        <v>0.58193415528123249</v>
      </c>
      <c r="G95" s="155">
        <f t="shared" si="13"/>
        <v>0.42478358863021881</v>
      </c>
      <c r="H95" s="170">
        <f t="shared" si="23"/>
        <v>0.62655128414349825</v>
      </c>
      <c r="I95" s="179">
        <f t="shared" si="19"/>
        <v>0.58193415528123249</v>
      </c>
      <c r="J95" s="145">
        <f>IF(INVOER!$S$36=1,100-H95*100,100-I95*100)</f>
        <v>41.806584471876754</v>
      </c>
      <c r="K95" s="43">
        <f t="shared" si="4"/>
        <v>0</v>
      </c>
      <c r="L95" s="6">
        <f t="shared" si="5"/>
        <v>10</v>
      </c>
      <c r="M95" s="6">
        <f t="shared" si="6"/>
        <v>15</v>
      </c>
      <c r="N95" s="6">
        <f t="shared" si="7"/>
        <v>0.99199999999999999</v>
      </c>
      <c r="O95" s="6">
        <f t="shared" si="8"/>
        <v>0.85199999999999998</v>
      </c>
      <c r="P95" s="366">
        <f t="shared" si="9"/>
        <v>7.3810864638246141</v>
      </c>
      <c r="Q95" s="6">
        <f t="shared" si="10"/>
        <v>19.224549927406461</v>
      </c>
      <c r="R95" s="6">
        <f t="shared" si="11"/>
        <v>0.99999999142928164</v>
      </c>
      <c r="S95" s="6">
        <f t="shared" si="20"/>
        <v>99.999999142928161</v>
      </c>
      <c r="T95" s="357">
        <f t="shared" si="14"/>
        <v>2.4779845952949131E-7</v>
      </c>
      <c r="U95" s="358">
        <f>'Berekening trap 1'!H95*$T95</f>
        <v>1.5525844302698347E-7</v>
      </c>
      <c r="V95" s="359">
        <f>'Berekening trap 1'!I95*$T95</f>
        <v>1.4420238722628521E-7</v>
      </c>
      <c r="Y95" s="43">
        <f t="shared" si="15"/>
        <v>19</v>
      </c>
      <c r="Z95" s="6" t="str">
        <f>IF(INVOER!A54=0,"x",INVOER!A54)</f>
        <v>x</v>
      </c>
      <c r="AA95" s="6">
        <f>IF(INVOER!B$36&gt;INVOER!B$37,INVOER!B54,100-INVOER!B54)</f>
        <v>0</v>
      </c>
      <c r="AB95" s="6">
        <f t="shared" si="16"/>
        <v>19</v>
      </c>
      <c r="AC95" s="6">
        <f t="shared" si="12"/>
        <v>0</v>
      </c>
      <c r="AD95" s="44">
        <f>IF(INVOER!A54=0,10000,INVOER!A54)</f>
        <v>10000</v>
      </c>
    </row>
    <row r="96" spans="1:30" x14ac:dyDescent="0.2">
      <c r="A96" s="45">
        <f>A95*'Berekening trap 1'!H$58</f>
        <v>1.625582471025546</v>
      </c>
      <c r="B96" s="46">
        <f t="shared" si="21"/>
        <v>1.5888596111076094</v>
      </c>
      <c r="C96" s="182">
        <f t="shared" si="17"/>
        <v>1.2695215830307807</v>
      </c>
      <c r="D96" s="201">
        <f t="shared" si="24"/>
        <v>0.60909595746363832</v>
      </c>
      <c r="E96" s="167">
        <f t="shared" si="18"/>
        <v>0.46674275704345597</v>
      </c>
      <c r="F96" s="45">
        <f t="shared" si="3"/>
        <v>0.56320178290451006</v>
      </c>
      <c r="G96" s="183">
        <f t="shared" si="13"/>
        <v>0.41379830895775699</v>
      </c>
      <c r="H96" s="171">
        <f t="shared" si="23"/>
        <v>0.60909595746363832</v>
      </c>
      <c r="I96" s="235">
        <f t="shared" si="19"/>
        <v>0.56320178290451006</v>
      </c>
      <c r="J96" s="145">
        <f>IF(INVOER!$S$36=1,100-H96*100,100-I96*100)</f>
        <v>43.679821709548996</v>
      </c>
      <c r="K96" s="45">
        <f t="shared" si="4"/>
        <v>0</v>
      </c>
      <c r="L96" s="46">
        <f t="shared" si="5"/>
        <v>10</v>
      </c>
      <c r="M96" s="46">
        <f t="shared" si="6"/>
        <v>15</v>
      </c>
      <c r="N96" s="46">
        <f t="shared" si="7"/>
        <v>0.99199999999999999</v>
      </c>
      <c r="O96" s="46">
        <f t="shared" si="8"/>
        <v>0.85199999999999998</v>
      </c>
      <c r="P96" s="367">
        <f t="shared" si="9"/>
        <v>7.3810864638246141</v>
      </c>
      <c r="Q96" s="46">
        <f t="shared" si="10"/>
        <v>19.224549927406461</v>
      </c>
      <c r="R96" s="46">
        <f t="shared" si="11"/>
        <v>0.99999998794347233</v>
      </c>
      <c r="S96" s="46">
        <f t="shared" si="20"/>
        <v>99.999998794347235</v>
      </c>
      <c r="T96" s="360">
        <f t="shared" si="14"/>
        <v>3.4858093078682373E-7</v>
      </c>
      <c r="U96" s="361">
        <f>'Berekening trap 1'!H96*$T96</f>
        <v>2.1231923579116664E-7</v>
      </c>
      <c r="V96" s="362">
        <f>'Berekening trap 1'!I96*$T96</f>
        <v>1.9632140170565275E-7</v>
      </c>
      <c r="Y96" s="43">
        <f t="shared" si="15"/>
        <v>20</v>
      </c>
      <c r="Z96" s="6" t="str">
        <f>IF(INVOER!A55=0,"x",INVOER!A55)</f>
        <v>x</v>
      </c>
      <c r="AA96" s="6">
        <f>IF(INVOER!B$36&gt;INVOER!B$37,INVOER!B55,100-INVOER!B55)</f>
        <v>0</v>
      </c>
      <c r="AB96" s="6">
        <f t="shared" si="16"/>
        <v>20</v>
      </c>
      <c r="AC96" s="6">
        <f t="shared" si="12"/>
        <v>0</v>
      </c>
      <c r="AD96" s="44">
        <f>IF(INVOER!A55=0,10000,INVOER!A55)</f>
        <v>10000</v>
      </c>
    </row>
    <row r="97" spans="1:30" x14ac:dyDescent="0.2">
      <c r="A97" s="43">
        <f>A96*'Berekening trap 1'!H$58</f>
        <v>1.702503576492276</v>
      </c>
      <c r="B97" s="6">
        <f t="shared" si="21"/>
        <v>1.664043023758911</v>
      </c>
      <c r="C97" s="168">
        <f t="shared" si="17"/>
        <v>1.3295942064265001</v>
      </c>
      <c r="D97" s="200">
        <f t="shared" si="24"/>
        <v>0.59169261220792735</v>
      </c>
      <c r="E97" s="197">
        <f t="shared" si="18"/>
        <v>0.45594642599162338</v>
      </c>
      <c r="F97" s="43">
        <f t="shared" si="3"/>
        <v>0.54460945796377436</v>
      </c>
      <c r="G97" s="155">
        <f t="shared" si="13"/>
        <v>0.40273462344401401</v>
      </c>
      <c r="H97" s="170">
        <f t="shared" si="23"/>
        <v>0.59169261220792735</v>
      </c>
      <c r="I97" s="179">
        <f t="shared" si="19"/>
        <v>0.54460945796377436</v>
      </c>
      <c r="J97" s="147">
        <f>IF(INVOER!$S$36=1,100-H97*100,100-I97*100)</f>
        <v>45.539054203622563</v>
      </c>
      <c r="K97" s="41">
        <f t="shared" si="4"/>
        <v>0</v>
      </c>
      <c r="L97" s="5">
        <f t="shared" si="5"/>
        <v>10</v>
      </c>
      <c r="M97" s="5">
        <f t="shared" si="6"/>
        <v>15</v>
      </c>
      <c r="N97" s="5">
        <f t="shared" si="7"/>
        <v>0.99199999999999999</v>
      </c>
      <c r="O97" s="5">
        <f t="shared" si="8"/>
        <v>0.85199999999999998</v>
      </c>
      <c r="P97" s="365">
        <f t="shared" si="9"/>
        <v>7.3810864638246141</v>
      </c>
      <c r="Q97" s="5">
        <f t="shared" si="10"/>
        <v>19.224549927406461</v>
      </c>
      <c r="R97" s="5">
        <f t="shared" si="11"/>
        <v>0.99999998303994453</v>
      </c>
      <c r="S97" s="5">
        <f t="shared" si="20"/>
        <v>99.99999830399446</v>
      </c>
      <c r="T97" s="363">
        <f t="shared" si="14"/>
        <v>4.9035278060216569E-7</v>
      </c>
      <c r="U97" s="358">
        <f>'Berekening trap 1'!H97*$T97</f>
        <v>2.9013811765791609E-7</v>
      </c>
      <c r="V97" s="359">
        <f>'Berekening trap 1'!I97*$T97</f>
        <v>2.6705076205477504E-7</v>
      </c>
      <c r="Y97" s="43">
        <f t="shared" si="15"/>
        <v>21</v>
      </c>
      <c r="Z97" s="6" t="str">
        <f>IF(INVOER!A56=0,"x",INVOER!A56)</f>
        <v>x</v>
      </c>
      <c r="AA97" s="6">
        <f>IF(INVOER!B$36&gt;INVOER!B$37,INVOER!B56,100-INVOER!B56)</f>
        <v>0</v>
      </c>
      <c r="AB97" s="6">
        <f t="shared" si="16"/>
        <v>21</v>
      </c>
      <c r="AC97" s="6">
        <f t="shared" si="12"/>
        <v>0</v>
      </c>
      <c r="AD97" s="44">
        <f>IF(INVOER!A56=0,10000,INVOER!A56)</f>
        <v>10000</v>
      </c>
    </row>
    <row r="98" spans="1:30" x14ac:dyDescent="0.2">
      <c r="A98" s="43">
        <f>A97*'Berekening trap 1'!H$58</f>
        <v>1.7830645197228145</v>
      </c>
      <c r="B98" s="6">
        <f t="shared" ref="B98:B138" si="25">(A97+A98)/2</f>
        <v>1.7427840481075454</v>
      </c>
      <c r="C98" s="168">
        <f t="shared" si="17"/>
        <v>1.3925094125162678</v>
      </c>
      <c r="D98" s="200">
        <f t="shared" si="24"/>
        <v>0.57434327762409954</v>
      </c>
      <c r="E98" s="197">
        <f t="shared" ref="E98:E138" si="26">IF(C98-$K$36&gt;0,EXP(-(((C98-$K$36)/$K$38)^$K$40)),1)</f>
        <v>0.44504251907963061</v>
      </c>
      <c r="F98" s="43">
        <f t="shared" ref="F98:F138" si="27">D98^($B$54*$B$63)</f>
        <v>0.52616064930967876</v>
      </c>
      <c r="G98" s="155">
        <f t="shared" ref="G98:G138" si="28">E98^($B$54*$B$63)</f>
        <v>0.39160264153285079</v>
      </c>
      <c r="H98" s="170">
        <f t="shared" ref="H98:H138" si="29">IF(C98&lt;$K$41,D98,E98)</f>
        <v>0.57434327762409954</v>
      </c>
      <c r="I98" s="179">
        <f t="shared" ref="I98:I138" si="30">IF(C98&lt;$K$41,F98,G98)</f>
        <v>0.52616064930967876</v>
      </c>
      <c r="J98" s="145">
        <f>IF(INVOER!$S$36=1,100-H98*100,100-I98*100)</f>
        <v>47.383935069032127</v>
      </c>
      <c r="K98" s="43">
        <f t="shared" si="4"/>
        <v>0</v>
      </c>
      <c r="L98" s="6">
        <f t="shared" si="5"/>
        <v>10</v>
      </c>
      <c r="M98" s="6">
        <f t="shared" si="6"/>
        <v>15</v>
      </c>
      <c r="N98" s="6">
        <f t="shared" si="7"/>
        <v>0.99199999999999999</v>
      </c>
      <c r="O98" s="6">
        <f t="shared" si="8"/>
        <v>0.85199999999999998</v>
      </c>
      <c r="P98" s="366">
        <f t="shared" ref="P98:P138" si="31">(LN(LN(N98)/LN(O98)))/LN(L98/M98)</f>
        <v>7.3810864638246141</v>
      </c>
      <c r="Q98" s="6">
        <f t="shared" ref="Q98:Q138" si="32">L98/((-LN(N98))^(1/P98))</f>
        <v>19.224549927406461</v>
      </c>
      <c r="R98" s="6">
        <f t="shared" si="11"/>
        <v>0.9999999761420959</v>
      </c>
      <c r="S98" s="6">
        <f t="shared" si="20"/>
        <v>99.99999761420959</v>
      </c>
      <c r="T98" s="357">
        <f t="shared" si="14"/>
        <v>6.897848625619929E-7</v>
      </c>
      <c r="U98" s="358">
        <f>'Berekening trap 1'!H98*$T98</f>
        <v>3.96173298819344E-7</v>
      </c>
      <c r="V98" s="359">
        <f>'Berekening trap 1'!I98*$T98</f>
        <v>3.6293765116960569E-7</v>
      </c>
      <c r="Y98" s="43">
        <f t="shared" si="15"/>
        <v>22</v>
      </c>
      <c r="Z98" s="6" t="str">
        <f>IF(INVOER!A57=0,"x",INVOER!A57)</f>
        <v>x</v>
      </c>
      <c r="AA98" s="6">
        <f>IF(INVOER!B$36&gt;INVOER!B$37,INVOER!B57,100-INVOER!B57)</f>
        <v>0</v>
      </c>
      <c r="AB98" s="6">
        <f t="shared" si="16"/>
        <v>22</v>
      </c>
      <c r="AC98" s="6">
        <f t="shared" si="12"/>
        <v>0</v>
      </c>
      <c r="AD98" s="44">
        <f>IF(INVOER!A57=0,10000,INVOER!A57)</f>
        <v>10000</v>
      </c>
    </row>
    <row r="99" spans="1:30" x14ac:dyDescent="0.2">
      <c r="A99" s="43">
        <f>A98*'Berekening trap 1'!H$58</f>
        <v>1.8674375345776404</v>
      </c>
      <c r="B99" s="6">
        <f t="shared" si="25"/>
        <v>1.8252510271502276</v>
      </c>
      <c r="C99" s="168">
        <f t="shared" si="17"/>
        <v>1.4584017097652673</v>
      </c>
      <c r="D99" s="200">
        <f t="shared" si="24"/>
        <v>0.55705170336680898</v>
      </c>
      <c r="E99" s="197">
        <f t="shared" si="26"/>
        <v>0.4340394043137133</v>
      </c>
      <c r="F99" s="43">
        <f t="shared" si="27"/>
        <v>0.50786067986506345</v>
      </c>
      <c r="G99" s="155">
        <f t="shared" si="28"/>
        <v>0.38041298484016672</v>
      </c>
      <c r="H99" s="170">
        <f t="shared" si="29"/>
        <v>0.55705170336680898</v>
      </c>
      <c r="I99" s="179">
        <f t="shared" si="30"/>
        <v>0.50786067986506345</v>
      </c>
      <c r="J99" s="145">
        <f>IF(INVOER!$S$36=1,100-H99*100,100-I99*100)</f>
        <v>49.213932013493654</v>
      </c>
      <c r="K99" s="43">
        <f t="shared" si="4"/>
        <v>0</v>
      </c>
      <c r="L99" s="6">
        <f t="shared" si="5"/>
        <v>10</v>
      </c>
      <c r="M99" s="6">
        <f t="shared" si="6"/>
        <v>15</v>
      </c>
      <c r="N99" s="6">
        <f t="shared" si="7"/>
        <v>0.99199999999999999</v>
      </c>
      <c r="O99" s="6">
        <f t="shared" si="8"/>
        <v>0.85199999999999998</v>
      </c>
      <c r="P99" s="366">
        <f t="shared" si="31"/>
        <v>7.3810864638246141</v>
      </c>
      <c r="Q99" s="6">
        <f t="shared" si="32"/>
        <v>19.224549927406461</v>
      </c>
      <c r="R99" s="6">
        <f t="shared" si="11"/>
        <v>0.99999996643881328</v>
      </c>
      <c r="S99" s="6">
        <f t="shared" si="20"/>
        <v>99.999996643881332</v>
      </c>
      <c r="T99" s="357">
        <f t="shared" si="14"/>
        <v>9.7032826218423907E-7</v>
      </c>
      <c r="U99" s="358">
        <f>'Berekening trap 1'!H99*$T99</f>
        <v>5.40523011274686E-7</v>
      </c>
      <c r="V99" s="359">
        <f>'Berekening trap 1'!I99*$T99</f>
        <v>4.927915709251732E-7</v>
      </c>
      <c r="Y99" s="43">
        <f t="shared" si="15"/>
        <v>23</v>
      </c>
      <c r="Z99" s="6" t="str">
        <f>IF(INVOER!A58=0,"x",INVOER!A58)</f>
        <v>x</v>
      </c>
      <c r="AA99" s="6">
        <f>IF(INVOER!B$36&gt;INVOER!B$37,INVOER!B58,100-INVOER!B58)</f>
        <v>0</v>
      </c>
      <c r="AB99" s="6">
        <f t="shared" si="16"/>
        <v>23</v>
      </c>
      <c r="AC99" s="6">
        <f t="shared" si="12"/>
        <v>0</v>
      </c>
      <c r="AD99" s="44">
        <f>IF(INVOER!A58=0,10000,INVOER!A58)</f>
        <v>10000</v>
      </c>
    </row>
    <row r="100" spans="1:30" x14ac:dyDescent="0.2">
      <c r="A100" s="43">
        <f>A99*'Berekening trap 1'!H$58</f>
        <v>1.9558030048691317</v>
      </c>
      <c r="B100" s="6">
        <f t="shared" si="25"/>
        <v>1.9116202697233859</v>
      </c>
      <c r="C100" s="168">
        <f t="shared" si="17"/>
        <v>1.5274119714586896</v>
      </c>
      <c r="D100" s="200">
        <f t="shared" si="24"/>
        <v>0.5398231904003532</v>
      </c>
      <c r="E100" s="197">
        <f t="shared" si="26"/>
        <v>0.42294597706563336</v>
      </c>
      <c r="F100" s="43">
        <f t="shared" si="27"/>
        <v>0.48971650842515607</v>
      </c>
      <c r="G100" s="155">
        <f t="shared" si="28"/>
        <v>0.36917677577102359</v>
      </c>
      <c r="H100" s="170">
        <f t="shared" si="29"/>
        <v>0.5398231904003532</v>
      </c>
      <c r="I100" s="179">
        <f t="shared" si="30"/>
        <v>0.48971650842515607</v>
      </c>
      <c r="J100" s="145">
        <f>IF(INVOER!$S$36=1,100-H100*100,100-I100*100)</f>
        <v>51.028349157484392</v>
      </c>
      <c r="K100" s="43">
        <f t="shared" si="4"/>
        <v>0</v>
      </c>
      <c r="L100" s="6">
        <f t="shared" si="5"/>
        <v>10</v>
      </c>
      <c r="M100" s="6">
        <f t="shared" si="6"/>
        <v>15</v>
      </c>
      <c r="N100" s="6">
        <f t="shared" si="7"/>
        <v>0.99199999999999999</v>
      </c>
      <c r="O100" s="6">
        <f t="shared" si="8"/>
        <v>0.85199999999999998</v>
      </c>
      <c r="P100" s="366">
        <f t="shared" si="31"/>
        <v>7.3810864638246141</v>
      </c>
      <c r="Q100" s="6">
        <f t="shared" si="32"/>
        <v>19.224549927406461</v>
      </c>
      <c r="R100" s="6">
        <f t="shared" si="11"/>
        <v>0.9999999527890947</v>
      </c>
      <c r="S100" s="6">
        <f t="shared" si="20"/>
        <v>99.999995278909466</v>
      </c>
      <c r="T100" s="357">
        <f t="shared" si="14"/>
        <v>1.3649718577646297E-6</v>
      </c>
      <c r="U100" s="358">
        <f>'Berekening trap 1'!H100*$T100</f>
        <v>7.368434630651995E-7</v>
      </c>
      <c r="V100" s="359">
        <f>'Berekening trap 1'!I100*$T100</f>
        <v>6.684492522830932E-7</v>
      </c>
      <c r="Y100" s="43">
        <f t="shared" si="15"/>
        <v>24</v>
      </c>
      <c r="Z100" s="6" t="str">
        <f>IF(INVOER!A59=0,"x",INVOER!A59)</f>
        <v>x</v>
      </c>
      <c r="AA100" s="6">
        <f>IF(INVOER!B$36&gt;INVOER!B$37,INVOER!B59,100-INVOER!B59)</f>
        <v>0</v>
      </c>
      <c r="AB100" s="6">
        <f t="shared" si="16"/>
        <v>24</v>
      </c>
      <c r="AC100" s="6">
        <f t="shared" si="12"/>
        <v>0</v>
      </c>
      <c r="AD100" s="44">
        <f>IF(INVOER!A59=0,10000,INVOER!A59)</f>
        <v>10000</v>
      </c>
    </row>
    <row r="101" spans="1:30" x14ac:dyDescent="0.2">
      <c r="A101" s="45">
        <f>A100*'Berekening trap 1'!H$58</f>
        <v>2.0483498500099846</v>
      </c>
      <c r="B101" s="46">
        <f t="shared" si="25"/>
        <v>2.0020764274395582</v>
      </c>
      <c r="C101" s="182">
        <f t="shared" si="17"/>
        <v>1.5996877368793132</v>
      </c>
      <c r="D101" s="201">
        <f t="shared" si="24"/>
        <v>0.52266444825743519</v>
      </c>
      <c r="E101" s="167">
        <f t="shared" si="26"/>
        <v>0.41177165874787031</v>
      </c>
      <c r="F101" s="45">
        <f t="shared" si="27"/>
        <v>0.47173654183218988</v>
      </c>
      <c r="G101" s="183">
        <f t="shared" si="28"/>
        <v>0.35790562275168097</v>
      </c>
      <c r="H101" s="171">
        <f t="shared" si="29"/>
        <v>0.52266444825743519</v>
      </c>
      <c r="I101" s="235">
        <f t="shared" si="30"/>
        <v>0.47173654183218988</v>
      </c>
      <c r="J101" s="238">
        <f>IF(INVOER!$S$36=1,100-H101*100,100-I101*100)</f>
        <v>52.826345816781014</v>
      </c>
      <c r="K101" s="45">
        <f t="shared" si="4"/>
        <v>0</v>
      </c>
      <c r="L101" s="46">
        <f t="shared" si="5"/>
        <v>10</v>
      </c>
      <c r="M101" s="46">
        <f t="shared" si="6"/>
        <v>15</v>
      </c>
      <c r="N101" s="46">
        <f t="shared" si="7"/>
        <v>0.99199999999999999</v>
      </c>
      <c r="O101" s="46">
        <f t="shared" si="8"/>
        <v>0.85199999999999998</v>
      </c>
      <c r="P101" s="367">
        <f t="shared" si="31"/>
        <v>7.3810864638246141</v>
      </c>
      <c r="Q101" s="46">
        <f t="shared" si="32"/>
        <v>19.224549927406461</v>
      </c>
      <c r="R101" s="46">
        <f t="shared" si="11"/>
        <v>0.99999993358787964</v>
      </c>
      <c r="S101" s="46">
        <f t="shared" si="20"/>
        <v>99.999993358787961</v>
      </c>
      <c r="T101" s="360">
        <f t="shared" si="14"/>
        <v>1.9201215062381038E-6</v>
      </c>
      <c r="U101" s="361">
        <f>'Berekening trap 1'!H101*$T101</f>
        <v>1.003579247645174E-6</v>
      </c>
      <c r="V101" s="362">
        <f>'Berekening trap 1'!I101*$T101</f>
        <v>9.0579147925037868E-7</v>
      </c>
      <c r="Y101" s="43">
        <f t="shared" si="15"/>
        <v>25</v>
      </c>
      <c r="Z101" s="6" t="str">
        <f>IF(INVOER!A60=0,"x",INVOER!A60)</f>
        <v>x</v>
      </c>
      <c r="AA101" s="6">
        <f>IF(INVOER!B$36&gt;INVOER!B$37,INVOER!B60,100-INVOER!B60)</f>
        <v>0</v>
      </c>
      <c r="AB101" s="6">
        <f t="shared" si="16"/>
        <v>25</v>
      </c>
      <c r="AC101" s="6">
        <f t="shared" si="12"/>
        <v>0</v>
      </c>
      <c r="AD101" s="44">
        <f>IF(INVOER!A60=0,10000,INVOER!A60)</f>
        <v>10000</v>
      </c>
    </row>
    <row r="102" spans="1:30" x14ac:dyDescent="0.2">
      <c r="A102" s="43">
        <f>A101*'Berekening trap 1'!H$58</f>
        <v>2.145275928910169</v>
      </c>
      <c r="B102" s="6">
        <f t="shared" si="25"/>
        <v>2.096812889460077</v>
      </c>
      <c r="C102" s="168">
        <f t="shared" si="17"/>
        <v>1.6753835267365325</v>
      </c>
      <c r="D102" s="200">
        <f t="shared" si="24"/>
        <v>0.50558347176984597</v>
      </c>
      <c r="E102" s="197">
        <f t="shared" si="26"/>
        <v>0.40052639280934577</v>
      </c>
      <c r="F102" s="43">
        <f t="shared" si="27"/>
        <v>0.45393046956639482</v>
      </c>
      <c r="G102" s="155">
        <f t="shared" si="28"/>
        <v>0.34661160188673279</v>
      </c>
      <c r="H102" s="170">
        <f t="shared" si="29"/>
        <v>0.50558347176984597</v>
      </c>
      <c r="I102" s="179">
        <f t="shared" si="30"/>
        <v>0.45393046956639482</v>
      </c>
      <c r="J102" s="145">
        <f>IF(INVOER!$S$36=1,100-H102*100,100-I102*100)</f>
        <v>54.606953043360519</v>
      </c>
      <c r="K102" s="41">
        <f t="shared" si="4"/>
        <v>0</v>
      </c>
      <c r="L102" s="5">
        <f t="shared" si="5"/>
        <v>10</v>
      </c>
      <c r="M102" s="5">
        <f t="shared" si="6"/>
        <v>15</v>
      </c>
      <c r="N102" s="5">
        <f t="shared" si="7"/>
        <v>0.99199999999999999</v>
      </c>
      <c r="O102" s="5">
        <f t="shared" si="8"/>
        <v>0.85199999999999998</v>
      </c>
      <c r="P102" s="365">
        <f t="shared" si="31"/>
        <v>7.3810864638246141</v>
      </c>
      <c r="Q102" s="5">
        <f t="shared" si="32"/>
        <v>19.224549927406461</v>
      </c>
      <c r="R102" s="5">
        <f t="shared" si="11"/>
        <v>0.99999990657731108</v>
      </c>
      <c r="S102" s="5">
        <f t="shared" si="20"/>
        <v>99.999990657731104</v>
      </c>
      <c r="T102" s="363">
        <f t="shared" si="14"/>
        <v>2.7010568559582282E-6</v>
      </c>
      <c r="U102" s="358">
        <f>'Berekening trap 1'!H102*$T102</f>
        <v>1.3656097026831057E-6</v>
      </c>
      <c r="V102" s="359">
        <f>'Berekening trap 1'!I102*$T102</f>
        <v>1.2260920069506486E-6</v>
      </c>
      <c r="Y102" s="43">
        <f t="shared" si="15"/>
        <v>26</v>
      </c>
      <c r="Z102" s="6" t="str">
        <f>IF(INVOER!A61=0,"x",INVOER!A61)</f>
        <v>x</v>
      </c>
      <c r="AA102" s="6">
        <f>IF(INVOER!B$36&gt;INVOER!B$37,INVOER!B61,100-INVOER!B61)</f>
        <v>0</v>
      </c>
      <c r="AB102" s="6">
        <f t="shared" si="16"/>
        <v>26</v>
      </c>
      <c r="AC102" s="6">
        <f t="shared" si="12"/>
        <v>0</v>
      </c>
      <c r="AD102" s="44">
        <f>IF(INVOER!A61=0,10000,INVOER!A61)</f>
        <v>10000</v>
      </c>
    </row>
    <row r="103" spans="1:30" x14ac:dyDescent="0.2">
      <c r="A103" s="43">
        <f>A102*'Berekening trap 1'!H$58</f>
        <v>2.2467884629859274</v>
      </c>
      <c r="B103" s="6">
        <f t="shared" si="25"/>
        <v>2.1960321959480482</v>
      </c>
      <c r="C103" s="168">
        <f t="shared" si="17"/>
        <v>1.7546611735212077</v>
      </c>
      <c r="D103" s="200">
        <f t="shared" si="24"/>
        <v>0.4885894320347231</v>
      </c>
      <c r="E103" s="197">
        <f t="shared" si="26"/>
        <v>0.38922063783969368</v>
      </c>
      <c r="F103" s="43">
        <f t="shared" si="27"/>
        <v>0.43630911474800138</v>
      </c>
      <c r="G103" s="155">
        <f t="shared" si="28"/>
        <v>0.33530723486487013</v>
      </c>
      <c r="H103" s="170">
        <f t="shared" si="29"/>
        <v>0.4885894320347231</v>
      </c>
      <c r="I103" s="179">
        <f t="shared" si="30"/>
        <v>0.43630911474800138</v>
      </c>
      <c r="J103" s="145">
        <f>IF(INVOER!$S$36=1,100-H103*100,100-I103*100)</f>
        <v>56.369088525199864</v>
      </c>
      <c r="K103" s="43">
        <f t="shared" si="4"/>
        <v>0</v>
      </c>
      <c r="L103" s="6">
        <f t="shared" si="5"/>
        <v>10</v>
      </c>
      <c r="M103" s="6">
        <f t="shared" si="6"/>
        <v>15</v>
      </c>
      <c r="N103" s="6">
        <f t="shared" si="7"/>
        <v>0.99199999999999999</v>
      </c>
      <c r="O103" s="6">
        <f t="shared" si="8"/>
        <v>0.85199999999999998</v>
      </c>
      <c r="P103" s="366">
        <f t="shared" si="31"/>
        <v>7.3810864638246141</v>
      </c>
      <c r="Q103" s="6">
        <f t="shared" si="32"/>
        <v>19.224549927406461</v>
      </c>
      <c r="R103" s="6">
        <f t="shared" si="11"/>
        <v>0.99999986858123635</v>
      </c>
      <c r="S103" s="6">
        <f t="shared" si="20"/>
        <v>99.999986858123634</v>
      </c>
      <c r="T103" s="357">
        <f t="shared" si="14"/>
        <v>3.7996074730983764E-6</v>
      </c>
      <c r="U103" s="358">
        <f>'Berekening trap 1'!H103*$T103</f>
        <v>1.8564480572360252E-6</v>
      </c>
      <c r="V103" s="359">
        <f>'Berekening trap 1'!I103*$T103</f>
        <v>1.6578033729774432E-6</v>
      </c>
      <c r="Y103" s="43">
        <f t="shared" si="15"/>
        <v>27</v>
      </c>
      <c r="Z103" s="6" t="str">
        <f>IF(INVOER!A62=0,"x",INVOER!A62)</f>
        <v>x</v>
      </c>
      <c r="AA103" s="6">
        <f>IF(INVOER!B$36&gt;INVOER!B$37,INVOER!B62,100-INVOER!B62)</f>
        <v>0</v>
      </c>
      <c r="AB103" s="6">
        <f t="shared" si="16"/>
        <v>27</v>
      </c>
      <c r="AC103" s="6">
        <f t="shared" si="12"/>
        <v>0</v>
      </c>
      <c r="AD103" s="44">
        <f>IF(INVOER!A62=0,10000,INVOER!A62)</f>
        <v>10000</v>
      </c>
    </row>
    <row r="104" spans="1:30" x14ac:dyDescent="0.2">
      <c r="A104" s="43">
        <f>A103*'Berekening trap 1'!H$58</f>
        <v>2.3531044791851801</v>
      </c>
      <c r="B104" s="6">
        <f t="shared" si="25"/>
        <v>2.2999464710855539</v>
      </c>
      <c r="C104" s="168">
        <f t="shared" si="17"/>
        <v>1.8376901674926125</v>
      </c>
      <c r="D104" s="200">
        <f t="shared" si="24"/>
        <v>0.47169257757797356</v>
      </c>
      <c r="E104" s="197">
        <f t="shared" si="26"/>
        <v>0.37786535757306666</v>
      </c>
      <c r="F104" s="43">
        <f t="shared" si="27"/>
        <v>0.41888429697195467</v>
      </c>
      <c r="G104" s="155">
        <f t="shared" si="28"/>
        <v>0.32400546295378829</v>
      </c>
      <c r="H104" s="170">
        <f t="shared" si="29"/>
        <v>0.47169257757797356</v>
      </c>
      <c r="I104" s="179">
        <f t="shared" si="30"/>
        <v>0.41888429697195467</v>
      </c>
      <c r="J104" s="145">
        <f>IF(INVOER!$S$36=1,100-H104*100,100-I104*100)</f>
        <v>58.11157030280453</v>
      </c>
      <c r="K104" s="43">
        <f t="shared" si="4"/>
        <v>0</v>
      </c>
      <c r="L104" s="6">
        <f t="shared" si="5"/>
        <v>10</v>
      </c>
      <c r="M104" s="6">
        <f t="shared" si="6"/>
        <v>15</v>
      </c>
      <c r="N104" s="6">
        <f t="shared" si="7"/>
        <v>0.99199999999999999</v>
      </c>
      <c r="O104" s="6">
        <f t="shared" si="8"/>
        <v>0.85199999999999998</v>
      </c>
      <c r="P104" s="366">
        <f t="shared" si="31"/>
        <v>7.3810864638246141</v>
      </c>
      <c r="Q104" s="6">
        <f t="shared" si="32"/>
        <v>19.224549927406461</v>
      </c>
      <c r="R104" s="6">
        <f t="shared" si="11"/>
        <v>0.99999981513172542</v>
      </c>
      <c r="S104" s="6">
        <f t="shared" si="20"/>
        <v>99.999981513172543</v>
      </c>
      <c r="T104" s="357">
        <f t="shared" si="14"/>
        <v>5.3449510928338384E-6</v>
      </c>
      <c r="U104" s="358">
        <f>'Berekening trap 1'!H104*$T104</f>
        <v>2.5211737580069999E-6</v>
      </c>
      <c r="V104" s="359">
        <f>'Berekening trap 1'!I104*$T104</f>
        <v>2.2389160808711833E-6</v>
      </c>
      <c r="Y104" s="43">
        <f t="shared" si="15"/>
        <v>28</v>
      </c>
      <c r="Z104" s="6" t="str">
        <f>IF(INVOER!A63=0,"x",INVOER!A63)</f>
        <v>x</v>
      </c>
      <c r="AA104" s="6">
        <f>IF(INVOER!B$36&gt;INVOER!B$37,INVOER!B63,100-INVOER!B63)</f>
        <v>0</v>
      </c>
      <c r="AB104" s="6">
        <f t="shared" si="16"/>
        <v>28</v>
      </c>
      <c r="AC104" s="6">
        <f t="shared" si="12"/>
        <v>0</v>
      </c>
      <c r="AD104" s="44">
        <f>IF(INVOER!A63=0,10000,INVOER!A63)</f>
        <v>10000</v>
      </c>
    </row>
    <row r="105" spans="1:30" x14ac:dyDescent="0.2">
      <c r="A105" s="43">
        <f>A104*'Berekening trap 1'!H$58</f>
        <v>2.4644512739764939</v>
      </c>
      <c r="B105" s="6">
        <f t="shared" si="25"/>
        <v>2.408777876580837</v>
      </c>
      <c r="C105" s="168">
        <f t="shared" si="17"/>
        <v>1.9246480190371684</v>
      </c>
      <c r="D105" s="200">
        <f t="shared" si="24"/>
        <v>0.45490414256259426</v>
      </c>
      <c r="E105" s="197">
        <f t="shared" si="26"/>
        <v>0.36647200758811305</v>
      </c>
      <c r="F105" s="43">
        <f t="shared" si="27"/>
        <v>0.40166870345981648</v>
      </c>
      <c r="G105" s="155">
        <f t="shared" si="28"/>
        <v>0.31271961694565564</v>
      </c>
      <c r="H105" s="170">
        <f t="shared" si="29"/>
        <v>0.45490414256259426</v>
      </c>
      <c r="I105" s="179">
        <f t="shared" si="30"/>
        <v>0.40166870345981648</v>
      </c>
      <c r="J105" s="145">
        <f>IF(INVOER!$S$36=1,100-H105*100,100-I105*100)</f>
        <v>59.83312965401835</v>
      </c>
      <c r="K105" s="43">
        <f t="shared" si="4"/>
        <v>0</v>
      </c>
      <c r="L105" s="6">
        <f t="shared" si="5"/>
        <v>10</v>
      </c>
      <c r="M105" s="6">
        <f t="shared" si="6"/>
        <v>15</v>
      </c>
      <c r="N105" s="6">
        <f t="shared" si="7"/>
        <v>0.99199999999999999</v>
      </c>
      <c r="O105" s="6">
        <f t="shared" si="8"/>
        <v>0.85199999999999998</v>
      </c>
      <c r="P105" s="366">
        <f t="shared" si="31"/>
        <v>7.3810864638246141</v>
      </c>
      <c r="Q105" s="6">
        <f t="shared" si="32"/>
        <v>19.224549927406461</v>
      </c>
      <c r="R105" s="6">
        <f t="shared" si="11"/>
        <v>0.99999973994369118</v>
      </c>
      <c r="S105" s="6">
        <f t="shared" si="20"/>
        <v>99.999973994369114</v>
      </c>
      <c r="T105" s="357">
        <f t="shared" si="14"/>
        <v>7.5188034243112156E-6</v>
      </c>
      <c r="U105" s="358">
        <f>'Berekening trap 1'!H105*$T105</f>
        <v>3.4203348248329911E-6</v>
      </c>
      <c r="V105" s="359">
        <f>'Berekening trap 1'!I105*$T105</f>
        <v>3.0200680230123144E-6</v>
      </c>
      <c r="Y105" s="43">
        <f t="shared" si="15"/>
        <v>29</v>
      </c>
      <c r="Z105" s="6" t="str">
        <f>IF(INVOER!A64=0,"x",INVOER!A64)</f>
        <v>x</v>
      </c>
      <c r="AA105" s="6">
        <f>IF(INVOER!B$36&gt;INVOER!B$37,INVOER!B64,100-INVOER!B64)</f>
        <v>0</v>
      </c>
      <c r="AB105" s="6">
        <f t="shared" si="16"/>
        <v>29</v>
      </c>
      <c r="AC105" s="6">
        <f t="shared" si="12"/>
        <v>0</v>
      </c>
      <c r="AD105" s="44">
        <f>IF(INVOER!A64=0,10000,INVOER!A64)</f>
        <v>10000</v>
      </c>
    </row>
    <row r="106" spans="1:30" x14ac:dyDescent="0.2">
      <c r="A106" s="45">
        <f>A105*'Berekening trap 1'!H$58</f>
        <v>2.5810668992935955</v>
      </c>
      <c r="B106" s="46">
        <f t="shared" si="25"/>
        <v>2.5227590866350447</v>
      </c>
      <c r="C106" s="182">
        <f t="shared" si="17"/>
        <v>2.0157206381736752</v>
      </c>
      <c r="D106" s="201">
        <f t="shared" si="24"/>
        <v>0.43823625955692125</v>
      </c>
      <c r="E106" s="167">
        <f t="shared" si="26"/>
        <v>0.35505251850935232</v>
      </c>
      <c r="F106" s="45">
        <f t="shared" si="27"/>
        <v>0.38467576582039853</v>
      </c>
      <c r="G106" s="183">
        <f t="shared" si="28"/>
        <v>0.30146338293961544</v>
      </c>
      <c r="H106" s="171">
        <f t="shared" si="29"/>
        <v>0.43823625955692125</v>
      </c>
      <c r="I106" s="235">
        <f t="shared" si="30"/>
        <v>0.38467576582039853</v>
      </c>
      <c r="J106" s="145">
        <f>IF(INVOER!$S$36=1,100-H106*100,100-I106*100)</f>
        <v>61.532423417960146</v>
      </c>
      <c r="K106" s="45">
        <f t="shared" si="4"/>
        <v>0</v>
      </c>
      <c r="L106" s="46">
        <f t="shared" si="5"/>
        <v>10</v>
      </c>
      <c r="M106" s="46">
        <f t="shared" si="6"/>
        <v>15</v>
      </c>
      <c r="N106" s="46">
        <f t="shared" si="7"/>
        <v>0.99199999999999999</v>
      </c>
      <c r="O106" s="46">
        <f t="shared" si="8"/>
        <v>0.85199999999999998</v>
      </c>
      <c r="P106" s="367">
        <f t="shared" si="31"/>
        <v>7.3810864638246141</v>
      </c>
      <c r="Q106" s="46">
        <f t="shared" si="32"/>
        <v>19.224549927406461</v>
      </c>
      <c r="R106" s="46">
        <f t="shared" si="11"/>
        <v>0.99999963417583215</v>
      </c>
      <c r="S106" s="46">
        <f t="shared" si="20"/>
        <v>99.999963417583217</v>
      </c>
      <c r="T106" s="360">
        <f t="shared" si="14"/>
        <v>1.0576785902660646E-5</v>
      </c>
      <c r="U106" s="361">
        <f>'Berekening trap 1'!H106*$T106</f>
        <v>4.635131092116376E-6</v>
      </c>
      <c r="V106" s="362">
        <f>'Berekening trap 1'!I106*$T106</f>
        <v>4.0686332170243793E-6</v>
      </c>
      <c r="Y106" s="43">
        <f t="shared" si="15"/>
        <v>30</v>
      </c>
      <c r="Z106" s="6" t="str">
        <f>IF(INVOER!A65=0,"x",INVOER!A65)</f>
        <v>x</v>
      </c>
      <c r="AA106" s="6">
        <f>IF(INVOER!B$36&gt;INVOER!B$37,INVOER!B65,100-INVOER!B65)</f>
        <v>0</v>
      </c>
      <c r="AB106" s="6">
        <f t="shared" si="16"/>
        <v>30</v>
      </c>
      <c r="AC106" s="6">
        <f t="shared" si="12"/>
        <v>0</v>
      </c>
      <c r="AD106" s="44">
        <f>IF(INVOER!A65=0,10000,INVOER!A65)</f>
        <v>10000</v>
      </c>
    </row>
    <row r="107" spans="1:30" x14ac:dyDescent="0.2">
      <c r="A107" s="43">
        <f>A106*'Berekening trap 1'!H$58</f>
        <v>2.7032006714743417</v>
      </c>
      <c r="B107" s="6">
        <f t="shared" si="25"/>
        <v>2.6421337853839688</v>
      </c>
      <c r="C107" s="168">
        <f t="shared" si="17"/>
        <v>2.1111027320163847</v>
      </c>
      <c r="D107" s="200">
        <f t="shared" si="24"/>
        <v>0.42170187489000177</v>
      </c>
      <c r="E107" s="197">
        <f t="shared" si="26"/>
        <v>0.34361927552702154</v>
      </c>
      <c r="F107" s="43">
        <f t="shared" si="27"/>
        <v>0.36791954033628693</v>
      </c>
      <c r="G107" s="155">
        <f t="shared" si="28"/>
        <v>0.29025076387718474</v>
      </c>
      <c r="H107" s="170">
        <f t="shared" si="29"/>
        <v>0.42170187489000177</v>
      </c>
      <c r="I107" s="179">
        <f t="shared" si="30"/>
        <v>0.36791954033628693</v>
      </c>
      <c r="J107" s="147">
        <f>IF(INVOER!$S$36=1,100-H107*100,100-I107*100)</f>
        <v>63.208045966371309</v>
      </c>
      <c r="K107" s="41">
        <f t="shared" si="4"/>
        <v>0</v>
      </c>
      <c r="L107" s="5">
        <f t="shared" si="5"/>
        <v>10</v>
      </c>
      <c r="M107" s="5">
        <f t="shared" si="6"/>
        <v>15</v>
      </c>
      <c r="N107" s="5">
        <f t="shared" si="7"/>
        <v>0.99199999999999999</v>
      </c>
      <c r="O107" s="5">
        <f t="shared" si="8"/>
        <v>0.85199999999999998</v>
      </c>
      <c r="P107" s="365">
        <f t="shared" si="31"/>
        <v>7.3810864638246141</v>
      </c>
      <c r="Q107" s="5">
        <f t="shared" si="32"/>
        <v>19.224549927406461</v>
      </c>
      <c r="R107" s="5">
        <f t="shared" si="11"/>
        <v>0.9999994853909927</v>
      </c>
      <c r="S107" s="5">
        <f t="shared" si="20"/>
        <v>99.999948539099265</v>
      </c>
      <c r="T107" s="363">
        <f t="shared" si="14"/>
        <v>1.4878483944880116E-5</v>
      </c>
      <c r="U107" s="358">
        <f>'Berekening trap 1'!H107*$T107</f>
        <v>6.2742845750767351E-6</v>
      </c>
      <c r="V107" s="359">
        <f>'Berekening trap 1'!I107*$T107</f>
        <v>5.474084973901118E-6</v>
      </c>
      <c r="Y107" s="43">
        <f t="shared" si="15"/>
        <v>31</v>
      </c>
      <c r="Z107" s="6" t="str">
        <f>IF(INVOER!A66=0,"x",INVOER!A66)</f>
        <v>x</v>
      </c>
      <c r="AA107" s="6">
        <f>IF(INVOER!B$36&gt;INVOER!B$37,INVOER!B66,100-INVOER!B66)</f>
        <v>0</v>
      </c>
      <c r="AB107" s="6">
        <f t="shared" si="16"/>
        <v>31</v>
      </c>
      <c r="AC107" s="6">
        <f t="shared" si="12"/>
        <v>0</v>
      </c>
      <c r="AD107" s="44">
        <f>IF(INVOER!A66=0,10000,INVOER!A66)</f>
        <v>10000</v>
      </c>
    </row>
    <row r="108" spans="1:30" x14ac:dyDescent="0.2">
      <c r="A108" s="43">
        <f>A107*'Berekening trap 1'!H$58</f>
        <v>2.8311137042822265</v>
      </c>
      <c r="B108" s="6">
        <f t="shared" si="25"/>
        <v>2.7671571878782841</v>
      </c>
      <c r="C108" s="168">
        <f t="shared" si="17"/>
        <v>2.210998221045672</v>
      </c>
      <c r="D108" s="200">
        <f t="shared" si="24"/>
        <v>0.40531466502258262</v>
      </c>
      <c r="E108" s="197">
        <f t="shared" si="26"/>
        <v>0.3321850940678398</v>
      </c>
      <c r="F108" s="43">
        <f t="shared" si="27"/>
        <v>0.35141459018905846</v>
      </c>
      <c r="G108" s="155">
        <f t="shared" si="28"/>
        <v>0.27909603678031375</v>
      </c>
      <c r="H108" s="170">
        <f t="shared" si="29"/>
        <v>0.40531466502258262</v>
      </c>
      <c r="I108" s="179">
        <f t="shared" si="30"/>
        <v>0.35141459018905846</v>
      </c>
      <c r="J108" s="145">
        <f>IF(INVOER!$S$36=1,100-H108*100,100-I108*100)</f>
        <v>64.858540981094151</v>
      </c>
      <c r="K108" s="43">
        <f t="shared" ref="K108:K139" si="33">VLOOKUP(A108,Z$76:AB$146,3)</f>
        <v>0</v>
      </c>
      <c r="L108" s="6">
        <f t="shared" ref="L108:L139" si="34">IF(K108=0,VLOOKUP(1,Y$77:AA$146,2),VLOOKUP(K108,Y$76:Z$145,2))</f>
        <v>10</v>
      </c>
      <c r="M108" s="6">
        <f t="shared" ref="M108:M139" si="35">IF(K108=0,VLOOKUP(2,Y$77:AA$145,2),VLOOKUP(K108+1,Y$77:Z$145,2))</f>
        <v>15</v>
      </c>
      <c r="N108" s="6">
        <f t="shared" ref="N108:N139" si="36">(VLOOKUP(L108,Z$76:AA$146,2))/100</f>
        <v>0.99199999999999999</v>
      </c>
      <c r="O108" s="6">
        <f t="shared" ref="O108:O139" si="37">(VLOOKUP(M108,Z$76:AA$145,2))/100</f>
        <v>0.85199999999999998</v>
      </c>
      <c r="P108" s="366">
        <f t="shared" si="31"/>
        <v>7.3810864638246141</v>
      </c>
      <c r="Q108" s="6">
        <f t="shared" si="32"/>
        <v>19.224549927406461</v>
      </c>
      <c r="R108" s="6">
        <f t="shared" si="11"/>
        <v>0.99999927609369299</v>
      </c>
      <c r="S108" s="6">
        <f t="shared" si="20"/>
        <v>99.999927609369294</v>
      </c>
      <c r="T108" s="357">
        <f t="shared" si="14"/>
        <v>2.0929729971363997E-5</v>
      </c>
      <c r="U108" s="358">
        <f>'Berekening trap 1'!H108*$T108</f>
        <v>8.4831264923565061E-6</v>
      </c>
      <c r="V108" s="359">
        <f>'Berekening trap 1'!I108*$T108</f>
        <v>7.3550124806545331E-6</v>
      </c>
      <c r="Y108" s="43">
        <f t="shared" si="15"/>
        <v>32</v>
      </c>
      <c r="Z108" s="6" t="str">
        <f>IF(INVOER!A67=0,"x",INVOER!A67)</f>
        <v>x</v>
      </c>
      <c r="AA108" s="6">
        <f>IF(INVOER!B$36&gt;INVOER!B$37,INVOER!B67,100-INVOER!B67)</f>
        <v>0</v>
      </c>
      <c r="AB108" s="6">
        <f t="shared" si="16"/>
        <v>32</v>
      </c>
      <c r="AC108" s="6">
        <f t="shared" si="12"/>
        <v>0</v>
      </c>
      <c r="AD108" s="44">
        <f>IF(INVOER!A67=0,10000,INVOER!A67)</f>
        <v>10000</v>
      </c>
    </row>
    <row r="109" spans="1:30" x14ac:dyDescent="0.2">
      <c r="A109" s="43">
        <f>A108*'Berekening trap 1'!H$58</f>
        <v>2.9650794671499878</v>
      </c>
      <c r="B109" s="6">
        <f t="shared" si="25"/>
        <v>2.8980965857161074</v>
      </c>
      <c r="C109" s="168">
        <f t="shared" si="17"/>
        <v>2.3156206750762642</v>
      </c>
      <c r="D109" s="200">
        <f t="shared" si="24"/>
        <v>0.3890889526839072</v>
      </c>
      <c r="E109" s="197">
        <f t="shared" si="26"/>
        <v>0.32076319146830917</v>
      </c>
      <c r="F109" s="43">
        <f t="shared" si="27"/>
        <v>0.33517586843781388</v>
      </c>
      <c r="G109" s="155">
        <f t="shared" si="28"/>
        <v>0.26801370568036265</v>
      </c>
      <c r="H109" s="170">
        <f t="shared" si="29"/>
        <v>0.3890889526839072</v>
      </c>
      <c r="I109" s="179">
        <f t="shared" si="30"/>
        <v>0.33517586843781388</v>
      </c>
      <c r="J109" s="145">
        <f>IF(INVOER!$S$36=1,100-H109*100,100-I109*100)</f>
        <v>66.482413156218612</v>
      </c>
      <c r="K109" s="43">
        <f t="shared" si="33"/>
        <v>0</v>
      </c>
      <c r="L109" s="6">
        <f t="shared" si="34"/>
        <v>10</v>
      </c>
      <c r="M109" s="6">
        <f t="shared" si="35"/>
        <v>15</v>
      </c>
      <c r="N109" s="6">
        <f t="shared" si="36"/>
        <v>0.99199999999999999</v>
      </c>
      <c r="O109" s="6">
        <f t="shared" si="37"/>
        <v>0.85199999999999998</v>
      </c>
      <c r="P109" s="366">
        <f t="shared" si="31"/>
        <v>7.3810864638246141</v>
      </c>
      <c r="Q109" s="6">
        <f t="shared" si="32"/>
        <v>19.224549927406461</v>
      </c>
      <c r="R109" s="6">
        <f t="shared" si="11"/>
        <v>0.99999898167285928</v>
      </c>
      <c r="S109" s="6">
        <f t="shared" si="20"/>
        <v>99.999898167285934</v>
      </c>
      <c r="T109" s="357">
        <f t="shared" si="14"/>
        <v>2.9442083371300498E-5</v>
      </c>
      <c r="U109" s="358">
        <f>'Berekening trap 1'!H109*$T109</f>
        <v>1.145558938377159E-5</v>
      </c>
      <c r="V109" s="359">
        <f>'Berekening trap 1'!I109*$T109</f>
        <v>9.8682758625941639E-6</v>
      </c>
      <c r="Y109" s="43">
        <f t="shared" si="15"/>
        <v>33</v>
      </c>
      <c r="Z109" s="6" t="str">
        <f>IF(INVOER!A68=0,"x",INVOER!A68)</f>
        <v>x</v>
      </c>
      <c r="AA109" s="6">
        <f>IF(INVOER!B$36&gt;INVOER!B$37,INVOER!B68,100-INVOER!B68)</f>
        <v>0</v>
      </c>
      <c r="AB109" s="6">
        <f t="shared" si="16"/>
        <v>33</v>
      </c>
      <c r="AC109" s="6">
        <f t="shared" si="12"/>
        <v>0</v>
      </c>
      <c r="AD109" s="44">
        <f>IF(INVOER!A68=0,10000,INVOER!A68)</f>
        <v>10000</v>
      </c>
    </row>
    <row r="110" spans="1:30" x14ac:dyDescent="0.2">
      <c r="A110" s="43">
        <f>A109*'Berekening trap 1'!H$58</f>
        <v>3.1053843698388013</v>
      </c>
      <c r="B110" s="6">
        <f t="shared" si="25"/>
        <v>3.0352319184943948</v>
      </c>
      <c r="C110" s="168">
        <f t="shared" si="17"/>
        <v>2.4251937698550909</v>
      </c>
      <c r="D110" s="200">
        <f t="shared" si="24"/>
        <v>0.37303962178891192</v>
      </c>
      <c r="E110" s="197">
        <f t="shared" si="26"/>
        <v>0.30936715452539176</v>
      </c>
      <c r="F110" s="43">
        <f t="shared" si="27"/>
        <v>0.31921860089925658</v>
      </c>
      <c r="G110" s="155">
        <f t="shared" si="28"/>
        <v>0.25701845026937836</v>
      </c>
      <c r="H110" s="170">
        <f t="shared" si="29"/>
        <v>0.37303962178891192</v>
      </c>
      <c r="I110" s="179">
        <f t="shared" si="30"/>
        <v>0.31921860089925658</v>
      </c>
      <c r="J110" s="145">
        <f>IF(INVOER!$S$36=1,100-H110*100,100-I110*100)</f>
        <v>68.078139910074341</v>
      </c>
      <c r="K110" s="43">
        <f t="shared" si="33"/>
        <v>0</v>
      </c>
      <c r="L110" s="6">
        <f t="shared" si="34"/>
        <v>10</v>
      </c>
      <c r="M110" s="6">
        <f t="shared" si="35"/>
        <v>15</v>
      </c>
      <c r="N110" s="6">
        <f t="shared" si="36"/>
        <v>0.99199999999999999</v>
      </c>
      <c r="O110" s="6">
        <f t="shared" si="37"/>
        <v>0.85199999999999998</v>
      </c>
      <c r="P110" s="366">
        <f t="shared" si="31"/>
        <v>7.3810864638246141</v>
      </c>
      <c r="Q110" s="6">
        <f t="shared" si="32"/>
        <v>19.224549927406461</v>
      </c>
      <c r="R110" s="6">
        <f t="shared" si="11"/>
        <v>0.9999985675078481</v>
      </c>
      <c r="S110" s="6">
        <f t="shared" si="20"/>
        <v>99.999856750784815</v>
      </c>
      <c r="T110" s="357">
        <f t="shared" si="14"/>
        <v>4.1416501117552684E-5</v>
      </c>
      <c r="U110" s="358">
        <f>'Berekening trap 1'!H110*$T110</f>
        <v>1.5449995912711901E-5</v>
      </c>
      <c r="V110" s="359">
        <f>'Berekening trap 1'!I110*$T110</f>
        <v>1.3220917540887665E-5</v>
      </c>
      <c r="Y110" s="43">
        <f t="shared" si="15"/>
        <v>34</v>
      </c>
      <c r="Z110" s="6" t="str">
        <f>IF(INVOER!A69=0,"x",INVOER!A69)</f>
        <v>x</v>
      </c>
      <c r="AA110" s="6">
        <f>IF(INVOER!B$36&gt;INVOER!B$37,INVOER!B69,100-INVOER!B69)</f>
        <v>0</v>
      </c>
      <c r="AB110" s="6">
        <f t="shared" si="16"/>
        <v>34</v>
      </c>
      <c r="AC110" s="6">
        <f t="shared" si="12"/>
        <v>0</v>
      </c>
      <c r="AD110" s="44">
        <f>IF(INVOER!A69=0,10000,INVOER!A69)</f>
        <v>10000</v>
      </c>
    </row>
    <row r="111" spans="1:30" x14ac:dyDescent="0.2">
      <c r="A111" s="45">
        <f>A110*'Berekening trap 1'!H$58</f>
        <v>3.2523283747630227</v>
      </c>
      <c r="B111" s="46">
        <f t="shared" si="25"/>
        <v>3.178856372300912</v>
      </c>
      <c r="C111" s="182">
        <f t="shared" si="17"/>
        <v>2.5399517652649397</v>
      </c>
      <c r="D111" s="201">
        <f t="shared" si="24"/>
        <v>0.35718203037361818</v>
      </c>
      <c r="E111" s="167">
        <f t="shared" si="26"/>
        <v>0.29801090282688636</v>
      </c>
      <c r="F111" s="45">
        <f t="shared" si="27"/>
        <v>0.30355816836119082</v>
      </c>
      <c r="G111" s="183">
        <f t="shared" si="28"/>
        <v>0.2461250703527573</v>
      </c>
      <c r="H111" s="171">
        <f t="shared" si="29"/>
        <v>0.35718203037361818</v>
      </c>
      <c r="I111" s="235">
        <f t="shared" si="30"/>
        <v>0.30355816836119082</v>
      </c>
      <c r="J111" s="238">
        <f>IF(INVOER!$S$36=1,100-H111*100,100-I111*100)</f>
        <v>69.644183163880911</v>
      </c>
      <c r="K111" s="45">
        <f t="shared" si="33"/>
        <v>0</v>
      </c>
      <c r="L111" s="46">
        <f t="shared" si="34"/>
        <v>10</v>
      </c>
      <c r="M111" s="46">
        <f t="shared" si="35"/>
        <v>15</v>
      </c>
      <c r="N111" s="46">
        <f t="shared" si="36"/>
        <v>0.99199999999999999</v>
      </c>
      <c r="O111" s="46">
        <f t="shared" si="37"/>
        <v>0.85199999999999998</v>
      </c>
      <c r="P111" s="367">
        <f t="shared" si="31"/>
        <v>7.3810864638246141</v>
      </c>
      <c r="Q111" s="46">
        <f t="shared" si="32"/>
        <v>19.224549927406461</v>
      </c>
      <c r="R111" s="46">
        <f t="shared" si="11"/>
        <v>0.99999798489747516</v>
      </c>
      <c r="S111" s="46">
        <f t="shared" si="20"/>
        <v>99.999798489747519</v>
      </c>
      <c r="T111" s="360">
        <f t="shared" si="14"/>
        <v>5.8261037294560225E-5</v>
      </c>
      <c r="U111" s="361">
        <f>'Berekening trap 1'!H111*$T111</f>
        <v>2.0809795592544112E-5</v>
      </c>
      <c r="V111" s="362">
        <f>'Berekening trap 1'!I111*$T111</f>
        <v>1.7685613767959729E-5</v>
      </c>
      <c r="Y111" s="43">
        <f t="shared" si="15"/>
        <v>35</v>
      </c>
      <c r="Z111" s="6" t="str">
        <f>IF(INVOER!A70=0,"x",INVOER!A70)</f>
        <v>x</v>
      </c>
      <c r="AA111" s="6">
        <f>IF(INVOER!B$36&gt;INVOER!B$37,INVOER!B70,100-INVOER!B70)</f>
        <v>0</v>
      </c>
      <c r="AB111" s="6">
        <f t="shared" si="16"/>
        <v>35</v>
      </c>
      <c r="AC111" s="6">
        <f t="shared" si="12"/>
        <v>0</v>
      </c>
      <c r="AD111" s="44">
        <f>IF(INVOER!A70=0,10000,INVOER!A70)</f>
        <v>10000</v>
      </c>
    </row>
    <row r="112" spans="1:30" x14ac:dyDescent="0.2">
      <c r="A112" s="43">
        <f>A111*'Berekening trap 1'!H$58</f>
        <v>3.4062256382895892</v>
      </c>
      <c r="B112" s="6">
        <f t="shared" si="25"/>
        <v>3.329277006526306</v>
      </c>
      <c r="C112" s="168">
        <f t="shared" si="17"/>
        <v>2.6601400061562761</v>
      </c>
      <c r="D112" s="200">
        <f t="shared" si="24"/>
        <v>0.34153192098023238</v>
      </c>
      <c r="E112" s="197">
        <f t="shared" si="26"/>
        <v>0.2867086477957474</v>
      </c>
      <c r="F112" s="43">
        <f t="shared" si="27"/>
        <v>0.28820998780803853</v>
      </c>
      <c r="G112" s="155">
        <f t="shared" si="28"/>
        <v>0.23534842623452396</v>
      </c>
      <c r="H112" s="170">
        <f t="shared" si="29"/>
        <v>0.34153192098023238</v>
      </c>
      <c r="I112" s="179">
        <f t="shared" si="30"/>
        <v>0.28820998780803853</v>
      </c>
      <c r="J112" s="145">
        <f>IF(INVOER!$S$36=1,100-H112*100,100-I112*100)</f>
        <v>71.179001219196152</v>
      </c>
      <c r="K112" s="41">
        <f t="shared" si="33"/>
        <v>0</v>
      </c>
      <c r="L112" s="5">
        <f t="shared" si="34"/>
        <v>10</v>
      </c>
      <c r="M112" s="5">
        <f t="shared" si="35"/>
        <v>15</v>
      </c>
      <c r="N112" s="5">
        <f t="shared" si="36"/>
        <v>0.99199999999999999</v>
      </c>
      <c r="O112" s="5">
        <f t="shared" si="37"/>
        <v>0.85199999999999998</v>
      </c>
      <c r="P112" s="365">
        <f t="shared" si="31"/>
        <v>7.3810864638246141</v>
      </c>
      <c r="Q112" s="5">
        <f t="shared" si="32"/>
        <v>19.224549927406461</v>
      </c>
      <c r="R112" s="5">
        <f t="shared" si="11"/>
        <v>0.99999716533336724</v>
      </c>
      <c r="S112" s="5">
        <f t="shared" si="20"/>
        <v>99.999716533336724</v>
      </c>
      <c r="T112" s="363">
        <f t="shared" si="14"/>
        <v>8.1956410791228507E-5</v>
      </c>
      <c r="U112" s="358">
        <f>'Berekening trap 1'!H112*$T112</f>
        <v>2.7990730414173319E-5</v>
      </c>
      <c r="V112" s="359">
        <f>'Berekening trap 1'!I112*$T112</f>
        <v>2.3620656154930565E-5</v>
      </c>
      <c r="Y112" s="43">
        <f t="shared" si="15"/>
        <v>36</v>
      </c>
      <c r="Z112" s="6" t="str">
        <f>IF(INVOER!A71=0,"x",INVOER!A71)</f>
        <v>x</v>
      </c>
      <c r="AA112" s="6">
        <f>IF(INVOER!B$36&gt;INVOER!B$37,INVOER!B71,100-INVOER!B71)</f>
        <v>0</v>
      </c>
      <c r="AB112" s="6">
        <f t="shared" si="16"/>
        <v>36</v>
      </c>
      <c r="AC112" s="6">
        <f t="shared" si="12"/>
        <v>0</v>
      </c>
      <c r="AD112" s="44">
        <f>IF(INVOER!A71=0,10000,INVOER!A71)</f>
        <v>10000</v>
      </c>
    </row>
    <row r="113" spans="1:30" x14ac:dyDescent="0.2">
      <c r="A113" s="43">
        <f>A112*'Berekening trap 1'!H$58</f>
        <v>3.567405182383133</v>
      </c>
      <c r="B113" s="6">
        <f t="shared" si="25"/>
        <v>3.4868154103363613</v>
      </c>
      <c r="C113" s="168">
        <f t="shared" si="17"/>
        <v>2.786015446877979</v>
      </c>
      <c r="D113" s="200">
        <f t="shared" si="24"/>
        <v>0.32610532809623721</v>
      </c>
      <c r="E113" s="197">
        <f t="shared" si="26"/>
        <v>0.27547484741907624</v>
      </c>
      <c r="F113" s="43">
        <f t="shared" si="27"/>
        <v>0.2731893925560297</v>
      </c>
      <c r="G113" s="155">
        <f t="shared" si="28"/>
        <v>0.22470337522279088</v>
      </c>
      <c r="H113" s="170">
        <f t="shared" si="29"/>
        <v>0.32610532809623721</v>
      </c>
      <c r="I113" s="179">
        <f t="shared" si="30"/>
        <v>0.2731893925560297</v>
      </c>
      <c r="J113" s="145">
        <f>IF(INVOER!$S$36=1,100-H113*100,100-I113*100)</f>
        <v>72.68106074439703</v>
      </c>
      <c r="K113" s="43">
        <f t="shared" si="33"/>
        <v>0</v>
      </c>
      <c r="L113" s="6">
        <f t="shared" si="34"/>
        <v>10</v>
      </c>
      <c r="M113" s="6">
        <f t="shared" si="35"/>
        <v>15</v>
      </c>
      <c r="N113" s="6">
        <f t="shared" si="36"/>
        <v>0.99199999999999999</v>
      </c>
      <c r="O113" s="6">
        <f t="shared" si="37"/>
        <v>0.85199999999999998</v>
      </c>
      <c r="P113" s="366">
        <f t="shared" si="31"/>
        <v>7.3810864638246141</v>
      </c>
      <c r="Q113" s="6">
        <f t="shared" si="32"/>
        <v>19.224549927406461</v>
      </c>
      <c r="R113" s="6">
        <f t="shared" si="11"/>
        <v>0.99999601244428982</v>
      </c>
      <c r="S113" s="6">
        <f t="shared" si="20"/>
        <v>99.999601244428987</v>
      </c>
      <c r="T113" s="357">
        <f t="shared" si="14"/>
        <v>1.152889077427055E-4</v>
      </c>
      <c r="U113" s="358">
        <f>'Berekening trap 1'!H113*$T113</f>
        <v>3.7596327085291798E-5</v>
      </c>
      <c r="V113" s="359">
        <f>'Berekening trap 1'!I113*$T113</f>
        <v>3.1495706674677864E-5</v>
      </c>
      <c r="Y113" s="43">
        <f t="shared" si="15"/>
        <v>37</v>
      </c>
      <c r="Z113" s="6" t="str">
        <f>IF(INVOER!A72=0,"x",INVOER!A72)</f>
        <v>x</v>
      </c>
      <c r="AA113" s="6">
        <f>IF(INVOER!B$36&gt;INVOER!B$37,INVOER!B72,100-INVOER!B72)</f>
        <v>0</v>
      </c>
      <c r="AB113" s="6">
        <f t="shared" si="16"/>
        <v>37</v>
      </c>
      <c r="AC113" s="6">
        <f t="shared" si="12"/>
        <v>0</v>
      </c>
      <c r="AD113" s="44">
        <f>IF(INVOER!A72=0,10000,INVOER!A72)</f>
        <v>10000</v>
      </c>
    </row>
    <row r="114" spans="1:30" x14ac:dyDescent="0.2">
      <c r="A114" s="43">
        <f>A113*'Berekening trap 1'!H$58</f>
        <v>3.7362115980327393</v>
      </c>
      <c r="B114" s="6">
        <f t="shared" si="25"/>
        <v>3.6518083902079361</v>
      </c>
      <c r="C114" s="168">
        <f t="shared" si="17"/>
        <v>2.9178472006283993</v>
      </c>
      <c r="D114" s="200">
        <f t="shared" si="24"/>
        <v>0.31091848240981113</v>
      </c>
      <c r="E114" s="197">
        <f t="shared" si="26"/>
        <v>0.26432415667362402</v>
      </c>
      <c r="F114" s="43">
        <f t="shared" si="27"/>
        <v>0.25851151139360096</v>
      </c>
      <c r="G114" s="155">
        <f t="shared" si="28"/>
        <v>0.21420470450313323</v>
      </c>
      <c r="H114" s="170">
        <f t="shared" si="29"/>
        <v>0.31091848240981113</v>
      </c>
      <c r="I114" s="179">
        <f t="shared" si="30"/>
        <v>0.25851151139360096</v>
      </c>
      <c r="J114" s="145">
        <f>IF(INVOER!$S$36=1,100-H114*100,100-I114*100)</f>
        <v>74.148848860639902</v>
      </c>
      <c r="K114" s="43">
        <f t="shared" si="33"/>
        <v>0</v>
      </c>
      <c r="L114" s="6">
        <f t="shared" si="34"/>
        <v>10</v>
      </c>
      <c r="M114" s="6">
        <f t="shared" si="35"/>
        <v>15</v>
      </c>
      <c r="N114" s="6">
        <f t="shared" si="36"/>
        <v>0.99199999999999999</v>
      </c>
      <c r="O114" s="6">
        <f t="shared" si="37"/>
        <v>0.85199999999999998</v>
      </c>
      <c r="P114" s="366">
        <f t="shared" si="31"/>
        <v>7.3810864638246141</v>
      </c>
      <c r="Q114" s="6">
        <f t="shared" si="32"/>
        <v>19.224549927406461</v>
      </c>
      <c r="R114" s="6">
        <f t="shared" si="11"/>
        <v>0.9999943906642742</v>
      </c>
      <c r="S114" s="6">
        <f t="shared" si="20"/>
        <v>99.999439066427414</v>
      </c>
      <c r="T114" s="357">
        <f t="shared" si="14"/>
        <v>1.6217800156148598E-4</v>
      </c>
      <c r="U114" s="358">
        <f>'Berekening trap 1'!H114*$T114</f>
        <v>5.0424138125753203E-5</v>
      </c>
      <c r="V114" s="359">
        <f>'Berekening trap 1'!I114*$T114</f>
        <v>4.1924880298453517E-5</v>
      </c>
      <c r="Y114" s="43">
        <f t="shared" si="15"/>
        <v>38</v>
      </c>
      <c r="Z114" s="6" t="str">
        <f>IF(INVOER!A73=0,"x",INVOER!A73)</f>
        <v>x</v>
      </c>
      <c r="AA114" s="6">
        <f>IF(INVOER!B$36&gt;INVOER!B$37,INVOER!B73,100-INVOER!B73)</f>
        <v>0</v>
      </c>
      <c r="AB114" s="6">
        <f t="shared" si="16"/>
        <v>38</v>
      </c>
      <c r="AC114" s="6">
        <f t="shared" si="12"/>
        <v>0</v>
      </c>
      <c r="AD114" s="44">
        <f>IF(INVOER!A73=0,10000,INVOER!A73)</f>
        <v>10000</v>
      </c>
    </row>
    <row r="115" spans="1:30" x14ac:dyDescent="0.2">
      <c r="A115" s="43">
        <f>A114*'Berekening trap 1'!H$58</f>
        <v>3.9130057819642294</v>
      </c>
      <c r="B115" s="6">
        <f t="shared" si="25"/>
        <v>3.8246086899984846</v>
      </c>
      <c r="C115" s="168">
        <f t="shared" si="17"/>
        <v>3.055917114801221</v>
      </c>
      <c r="D115" s="200">
        <f t="shared" si="24"/>
        <v>0.29598771179173045</v>
      </c>
      <c r="E115" s="197">
        <f t="shared" si="26"/>
        <v>0.253271373705372</v>
      </c>
      <c r="F115" s="43">
        <f t="shared" si="27"/>
        <v>0.24419114700359915</v>
      </c>
      <c r="G115" s="155">
        <f t="shared" si="28"/>
        <v>0.20386706069111929</v>
      </c>
      <c r="H115" s="170">
        <f t="shared" si="29"/>
        <v>0.29598771179173045</v>
      </c>
      <c r="I115" s="179">
        <f t="shared" si="30"/>
        <v>0.24419114700359915</v>
      </c>
      <c r="J115" s="145">
        <f>IF(INVOER!$S$36=1,100-H115*100,100-I115*100)</f>
        <v>75.580885299640087</v>
      </c>
      <c r="K115" s="43">
        <f t="shared" si="33"/>
        <v>0</v>
      </c>
      <c r="L115" s="6">
        <f t="shared" si="34"/>
        <v>10</v>
      </c>
      <c r="M115" s="6">
        <f t="shared" si="35"/>
        <v>15</v>
      </c>
      <c r="N115" s="6">
        <f t="shared" si="36"/>
        <v>0.99199999999999999</v>
      </c>
      <c r="O115" s="6">
        <f t="shared" si="37"/>
        <v>0.85199999999999998</v>
      </c>
      <c r="P115" s="366">
        <f t="shared" si="31"/>
        <v>7.3810864638246141</v>
      </c>
      <c r="Q115" s="6">
        <f t="shared" si="32"/>
        <v>19.224549927406461</v>
      </c>
      <c r="R115" s="6">
        <f t="shared" si="11"/>
        <v>0.9999921092922095</v>
      </c>
      <c r="S115" s="6">
        <f t="shared" si="20"/>
        <v>99.999210929220951</v>
      </c>
      <c r="T115" s="357">
        <f t="shared" si="14"/>
        <v>2.2813720647052449E-4</v>
      </c>
      <c r="U115" s="358">
        <f>'Berekening trap 1'!H115*$T115</f>
        <v>6.7525809717768111E-5</v>
      </c>
      <c r="V115" s="359">
        <f>'Berekening trap 1'!I115*$T115</f>
        <v>5.5709086122234295E-5</v>
      </c>
      <c r="Y115" s="43">
        <f t="shared" si="15"/>
        <v>39</v>
      </c>
      <c r="Z115" s="6" t="str">
        <f>IF(INVOER!A74=0,"x",INVOER!A74)</f>
        <v>x</v>
      </c>
      <c r="AA115" s="6">
        <f>IF(INVOER!B$36&gt;INVOER!B$37,INVOER!B74,100-INVOER!B74)</f>
        <v>0</v>
      </c>
      <c r="AB115" s="6">
        <f t="shared" si="16"/>
        <v>39</v>
      </c>
      <c r="AC115" s="6">
        <f t="shared" si="12"/>
        <v>0</v>
      </c>
      <c r="AD115" s="44">
        <f>IF(INVOER!A74=0,10000,INVOER!A74)</f>
        <v>10000</v>
      </c>
    </row>
    <row r="116" spans="1:30" x14ac:dyDescent="0.2">
      <c r="A116" s="45">
        <f>A115*'Berekening trap 1'!H$58</f>
        <v>4.0981657082130063</v>
      </c>
      <c r="B116" s="46">
        <f t="shared" si="25"/>
        <v>4.0055857450886183</v>
      </c>
      <c r="C116" s="182">
        <f t="shared" si="17"/>
        <v>3.2005203735561665</v>
      </c>
      <c r="D116" s="201">
        <f t="shared" si="24"/>
        <v>0.2813293390546529</v>
      </c>
      <c r="E116" s="167">
        <f t="shared" si="26"/>
        <v>0.24233138187099632</v>
      </c>
      <c r="F116" s="45">
        <f t="shared" si="27"/>
        <v>0.23024265411094297</v>
      </c>
      <c r="G116" s="183">
        <f t="shared" si="28"/>
        <v>0.19370487644146053</v>
      </c>
      <c r="H116" s="171">
        <f t="shared" si="29"/>
        <v>0.2813293390546529</v>
      </c>
      <c r="I116" s="235">
        <f t="shared" si="30"/>
        <v>0.23024265411094297</v>
      </c>
      <c r="J116" s="145">
        <f>IF(INVOER!$S$36=1,100-H116*100,100-I116*100)</f>
        <v>76.975734588905709</v>
      </c>
      <c r="K116" s="45">
        <f t="shared" si="33"/>
        <v>0</v>
      </c>
      <c r="L116" s="46">
        <f t="shared" si="34"/>
        <v>10</v>
      </c>
      <c r="M116" s="46">
        <f t="shared" si="35"/>
        <v>15</v>
      </c>
      <c r="N116" s="46">
        <f t="shared" si="36"/>
        <v>0.99199999999999999</v>
      </c>
      <c r="O116" s="46">
        <f t="shared" si="37"/>
        <v>0.85199999999999998</v>
      </c>
      <c r="P116" s="367">
        <f t="shared" si="31"/>
        <v>7.3810864638246141</v>
      </c>
      <c r="Q116" s="46">
        <f t="shared" si="32"/>
        <v>19.224549927406461</v>
      </c>
      <c r="R116" s="46">
        <f t="shared" si="11"/>
        <v>0.99998890006881491</v>
      </c>
      <c r="S116" s="46">
        <f t="shared" si="20"/>
        <v>99.998890006881496</v>
      </c>
      <c r="T116" s="360">
        <f t="shared" si="14"/>
        <v>3.209223394584626E-4</v>
      </c>
      <c r="U116" s="361">
        <f>'Berekening trap 1'!H116*$T116</f>
        <v>9.0284869647722234E-5</v>
      </c>
      <c r="V116" s="362">
        <f>'Berekening trap 1'!I116*$T116</f>
        <v>7.3890011200409428E-5</v>
      </c>
      <c r="Y116" s="43">
        <f t="shared" si="15"/>
        <v>40</v>
      </c>
      <c r="Z116" s="6" t="str">
        <f>IF(INVOER!A75=0,"x",INVOER!A75)</f>
        <v>x</v>
      </c>
      <c r="AA116" s="6">
        <f>IF(INVOER!B$36&gt;INVOER!B$37,INVOER!B75,100-INVOER!B75)</f>
        <v>0</v>
      </c>
      <c r="AB116" s="6">
        <f t="shared" si="16"/>
        <v>40</v>
      </c>
      <c r="AC116" s="6">
        <f t="shared" si="12"/>
        <v>0</v>
      </c>
      <c r="AD116" s="44">
        <f>IF(INVOER!A75=0,10000,INVOER!A75)</f>
        <v>10000</v>
      </c>
    </row>
    <row r="117" spans="1:30" x14ac:dyDescent="0.2">
      <c r="A117" s="43">
        <f>A116*'Berekening trap 1'!H$58</f>
        <v>4.2920872362070392</v>
      </c>
      <c r="B117" s="6">
        <f t="shared" si="25"/>
        <v>4.1951264722100223</v>
      </c>
      <c r="C117" s="168">
        <f t="shared" si="17"/>
        <v>3.3519661289028124</v>
      </c>
      <c r="D117" s="200">
        <f t="shared" si="24"/>
        <v>0.26695957667644166</v>
      </c>
      <c r="E117" s="197">
        <f t="shared" si="26"/>
        <v>0.23151908780358554</v>
      </c>
      <c r="F117" s="43">
        <f t="shared" si="27"/>
        <v>0.21667981795393981</v>
      </c>
      <c r="G117" s="155">
        <f t="shared" si="28"/>
        <v>0.18373229455940529</v>
      </c>
      <c r="H117" s="170">
        <f t="shared" si="29"/>
        <v>0.26695957667644166</v>
      </c>
      <c r="I117" s="179">
        <f t="shared" si="30"/>
        <v>0.21667981795393981</v>
      </c>
      <c r="J117" s="147">
        <f>IF(INVOER!$S$36=1,100-H117*100,100-I117*100)</f>
        <v>78.332018204606015</v>
      </c>
      <c r="K117" s="41">
        <f t="shared" si="33"/>
        <v>0</v>
      </c>
      <c r="L117" s="5">
        <f t="shared" si="34"/>
        <v>10</v>
      </c>
      <c r="M117" s="5">
        <f t="shared" si="35"/>
        <v>15</v>
      </c>
      <c r="N117" s="5">
        <f t="shared" si="36"/>
        <v>0.99199999999999999</v>
      </c>
      <c r="O117" s="5">
        <f t="shared" si="37"/>
        <v>0.85199999999999998</v>
      </c>
      <c r="P117" s="365">
        <f t="shared" si="31"/>
        <v>7.3810864638246141</v>
      </c>
      <c r="Q117" s="5">
        <f t="shared" si="32"/>
        <v>19.224549927406461</v>
      </c>
      <c r="R117" s="5">
        <f t="shared" si="11"/>
        <v>0.99998438563495506</v>
      </c>
      <c r="S117" s="5">
        <f t="shared" si="20"/>
        <v>99.998438563495512</v>
      </c>
      <c r="T117" s="363">
        <f t="shared" si="14"/>
        <v>4.514433859847955E-4</v>
      </c>
      <c r="U117" s="358">
        <f>'Berekening trap 1'!H117*$T117</f>
        <v>1.2051713521588046E-4</v>
      </c>
      <c r="V117" s="359">
        <f>'Berekening trap 1'!I117*$T117</f>
        <v>9.7818670691695667E-5</v>
      </c>
      <c r="Y117" s="43">
        <f t="shared" si="15"/>
        <v>41</v>
      </c>
      <c r="Z117" s="6" t="str">
        <f>IF(INVOER!A76=0,"x",INVOER!A76)</f>
        <v>x</v>
      </c>
      <c r="AA117" s="6">
        <f>IF(INVOER!B$36&gt;INVOER!B$37,INVOER!B76,100-INVOER!B76)</f>
        <v>0</v>
      </c>
      <c r="AB117" s="6">
        <f t="shared" si="16"/>
        <v>41</v>
      </c>
      <c r="AC117" s="6">
        <f t="shared" si="12"/>
        <v>0</v>
      </c>
      <c r="AD117" s="44">
        <f>IF(INVOER!A76=0,10000,INVOER!A76)</f>
        <v>10000</v>
      </c>
    </row>
    <row r="118" spans="1:30" x14ac:dyDescent="0.2">
      <c r="A118" s="43">
        <f>A117*'Berekening trap 1'!H$58</f>
        <v>4.4951849570876057</v>
      </c>
      <c r="B118" s="6">
        <f t="shared" si="25"/>
        <v>4.393636096647322</v>
      </c>
      <c r="C118" s="168">
        <f t="shared" si="17"/>
        <v>3.5105781616467286</v>
      </c>
      <c r="D118" s="200">
        <f t="shared" si="24"/>
        <v>0.25289441880622593</v>
      </c>
      <c r="E118" s="197">
        <f t="shared" si="26"/>
        <v>0.22084935572355113</v>
      </c>
      <c r="F118" s="43">
        <f t="shared" si="27"/>
        <v>0.20351573382003099</v>
      </c>
      <c r="G118" s="155">
        <f t="shared" si="28"/>
        <v>0.17396309012917405</v>
      </c>
      <c r="H118" s="170">
        <f t="shared" si="29"/>
        <v>0.25289441880622593</v>
      </c>
      <c r="I118" s="179">
        <f t="shared" si="30"/>
        <v>0.20351573382003099</v>
      </c>
      <c r="J118" s="145">
        <f>IF(INVOER!$S$36=1,100-H118*100,100-I118*100)</f>
        <v>79.648426617996904</v>
      </c>
      <c r="K118" s="43">
        <f t="shared" si="33"/>
        <v>0</v>
      </c>
      <c r="L118" s="6">
        <f t="shared" si="34"/>
        <v>10</v>
      </c>
      <c r="M118" s="6">
        <f t="shared" si="35"/>
        <v>15</v>
      </c>
      <c r="N118" s="6">
        <f t="shared" si="36"/>
        <v>0.99199999999999999</v>
      </c>
      <c r="O118" s="6">
        <f t="shared" si="37"/>
        <v>0.85199999999999998</v>
      </c>
      <c r="P118" s="366">
        <f t="shared" si="31"/>
        <v>7.3810864638246141</v>
      </c>
      <c r="Q118" s="6">
        <f t="shared" si="32"/>
        <v>19.224549927406461</v>
      </c>
      <c r="R118" s="6">
        <f t="shared" si="11"/>
        <v>0.99997803516365402</v>
      </c>
      <c r="S118" s="6">
        <f t="shared" si="20"/>
        <v>99.997803516365408</v>
      </c>
      <c r="T118" s="357">
        <f t="shared" si="14"/>
        <v>6.3504713010420488E-4</v>
      </c>
      <c r="U118" s="358">
        <f>'Berekening trap 1'!H118*$T118</f>
        <v>1.6059987488226463E-4</v>
      </c>
      <c r="V118" s="359">
        <f>'Berekening trap 1'!I118*$T118</f>
        <v>1.2924208269346195E-4</v>
      </c>
      <c r="Y118" s="43">
        <f t="shared" si="15"/>
        <v>42</v>
      </c>
      <c r="Z118" s="6" t="str">
        <f>IF(INVOER!A77=0,"x",INVOER!A77)</f>
        <v>x</v>
      </c>
      <c r="AA118" s="6">
        <f>IF(INVOER!B$36&gt;INVOER!B$37,INVOER!B77,100-INVOER!B77)</f>
        <v>0</v>
      </c>
      <c r="AB118" s="6">
        <f t="shared" si="16"/>
        <v>42</v>
      </c>
      <c r="AC118" s="6">
        <f t="shared" si="12"/>
        <v>0</v>
      </c>
      <c r="AD118" s="44">
        <f>IF(INVOER!A77=0,10000,INVOER!A77)</f>
        <v>10000</v>
      </c>
    </row>
    <row r="119" spans="1:30" x14ac:dyDescent="0.2">
      <c r="A119" s="43">
        <f>A118*'Berekening trap 1'!H$58</f>
        <v>4.7078930800771781</v>
      </c>
      <c r="B119" s="6">
        <f t="shared" si="25"/>
        <v>4.6015390185823914</v>
      </c>
      <c r="C119" s="168">
        <f t="shared" si="17"/>
        <v>3.6766955736109872</v>
      </c>
      <c r="D119" s="200">
        <f t="shared" si="24"/>
        <v>0.23914953100075489</v>
      </c>
      <c r="E119" s="197">
        <f t="shared" si="26"/>
        <v>0.21033693827782543</v>
      </c>
      <c r="F119" s="43">
        <f t="shared" si="27"/>
        <v>0.19076268851707331</v>
      </c>
      <c r="G119" s="155">
        <f t="shared" si="28"/>
        <v>0.16441059124334387</v>
      </c>
      <c r="H119" s="170">
        <f t="shared" si="29"/>
        <v>0.23914953100075489</v>
      </c>
      <c r="I119" s="179">
        <f t="shared" si="30"/>
        <v>0.19076268851707331</v>
      </c>
      <c r="J119" s="145">
        <f>IF(INVOER!$S$36=1,100-H119*100,100-I119*100)</f>
        <v>80.92373114829266</v>
      </c>
      <c r="K119" s="43">
        <f t="shared" si="33"/>
        <v>0</v>
      </c>
      <c r="L119" s="6">
        <f t="shared" si="34"/>
        <v>10</v>
      </c>
      <c r="M119" s="6">
        <f t="shared" si="35"/>
        <v>15</v>
      </c>
      <c r="N119" s="6">
        <f t="shared" si="36"/>
        <v>0.99199999999999999</v>
      </c>
      <c r="O119" s="6">
        <f t="shared" si="37"/>
        <v>0.85199999999999998</v>
      </c>
      <c r="P119" s="366">
        <f t="shared" si="31"/>
        <v>7.3810864638246141</v>
      </c>
      <c r="Q119" s="6">
        <f t="shared" si="32"/>
        <v>19.224549927406461</v>
      </c>
      <c r="R119" s="6">
        <f t="shared" si="11"/>
        <v>0.99996910195123112</v>
      </c>
      <c r="S119" s="6">
        <f t="shared" si="20"/>
        <v>99.996910195123107</v>
      </c>
      <c r="T119" s="357">
        <f t="shared" si="14"/>
        <v>8.9332124229013488E-4</v>
      </c>
      <c r="U119" s="358">
        <f>'Berekening trap 1'!H119*$T119</f>
        <v>2.136373561266975E-4</v>
      </c>
      <c r="V119" s="359">
        <f>'Berekening trap 1'!I119*$T119</f>
        <v>1.7041236188867798E-4</v>
      </c>
      <c r="Y119" s="43">
        <f t="shared" si="15"/>
        <v>43</v>
      </c>
      <c r="Z119" s="6" t="str">
        <f>IF(INVOER!A78=0,"x",INVOER!A78)</f>
        <v>x</v>
      </c>
      <c r="AA119" s="6">
        <f>IF(INVOER!B$36&gt;INVOER!B$37,INVOER!B78,100-INVOER!B78)</f>
        <v>0</v>
      </c>
      <c r="AB119" s="6">
        <f t="shared" si="16"/>
        <v>43</v>
      </c>
      <c r="AC119" s="6">
        <f t="shared" si="12"/>
        <v>0</v>
      </c>
      <c r="AD119" s="44">
        <f>IF(INVOER!A78=0,10000,INVOER!A78)</f>
        <v>10000</v>
      </c>
    </row>
    <row r="120" spans="1:30" x14ac:dyDescent="0.2">
      <c r="A120" s="43">
        <f>A119*'Berekening trap 1'!H$58</f>
        <v>4.9306663607894397</v>
      </c>
      <c r="B120" s="6">
        <f t="shared" si="25"/>
        <v>4.8192797204333093</v>
      </c>
      <c r="C120" s="168">
        <f t="shared" si="17"/>
        <v>3.8506735126129805</v>
      </c>
      <c r="D120" s="200">
        <f t="shared" si="24"/>
        <v>0.22574013826420897</v>
      </c>
      <c r="E120" s="197">
        <f t="shared" si="26"/>
        <v>0.19999640425560897</v>
      </c>
      <c r="F120" s="43">
        <f t="shared" si="27"/>
        <v>0.17843204476840993</v>
      </c>
      <c r="G120" s="155">
        <f t="shared" si="28"/>
        <v>0.15508759898489344</v>
      </c>
      <c r="H120" s="170">
        <f t="shared" si="29"/>
        <v>0.22574013826420897</v>
      </c>
      <c r="I120" s="179">
        <f t="shared" si="30"/>
        <v>0.17843204476840993</v>
      </c>
      <c r="J120" s="145">
        <f>IF(INVOER!$S$36=1,100-H120*100,100-I120*100)</f>
        <v>82.156795523159005</v>
      </c>
      <c r="K120" s="43">
        <f t="shared" si="33"/>
        <v>0</v>
      </c>
      <c r="L120" s="6">
        <f t="shared" si="34"/>
        <v>10</v>
      </c>
      <c r="M120" s="6">
        <f t="shared" si="35"/>
        <v>15</v>
      </c>
      <c r="N120" s="6">
        <f t="shared" si="36"/>
        <v>0.99199999999999999</v>
      </c>
      <c r="O120" s="6">
        <f t="shared" si="37"/>
        <v>0.85199999999999998</v>
      </c>
      <c r="P120" s="366">
        <f t="shared" si="31"/>
        <v>7.3810864638246141</v>
      </c>
      <c r="Q120" s="6">
        <f t="shared" si="32"/>
        <v>19.224549927406461</v>
      </c>
      <c r="R120" s="6">
        <f t="shared" si="11"/>
        <v>0.99995653563412212</v>
      </c>
      <c r="S120" s="6">
        <f t="shared" si="20"/>
        <v>99.995653563412219</v>
      </c>
      <c r="T120" s="357">
        <f t="shared" si="14"/>
        <v>1.256631710899736E-3</v>
      </c>
      <c r="U120" s="358">
        <f>'Berekening trap 1'!H120*$T120</f>
        <v>2.8367221616569586E-4</v>
      </c>
      <c r="V120" s="359">
        <f>'Berekening trap 1'!I120*$T120</f>
        <v>2.2422336569666526E-4</v>
      </c>
      <c r="Y120" s="43">
        <f t="shared" si="15"/>
        <v>44</v>
      </c>
      <c r="Z120" s="6" t="str">
        <f>IF(INVOER!A79=0,"x",INVOER!A79)</f>
        <v>x</v>
      </c>
      <c r="AA120" s="6">
        <f>IF(INVOER!B$36&gt;INVOER!B$37,INVOER!B79,100-INVOER!B79)</f>
        <v>0</v>
      </c>
      <c r="AB120" s="6">
        <f t="shared" si="16"/>
        <v>44</v>
      </c>
      <c r="AC120" s="6">
        <f t="shared" si="12"/>
        <v>0</v>
      </c>
      <c r="AD120" s="44">
        <f>IF(INVOER!A79=0,10000,INVOER!A79)</f>
        <v>10000</v>
      </c>
    </row>
    <row r="121" spans="1:30" x14ac:dyDescent="0.2">
      <c r="A121" s="45">
        <f>A120*'Berekening trap 1'!H$58</f>
        <v>5.1639810734661014</v>
      </c>
      <c r="B121" s="46">
        <f t="shared" si="25"/>
        <v>5.0473237171277709</v>
      </c>
      <c r="C121" s="182">
        <f t="shared" si="17"/>
        <v>4.032883931746488</v>
      </c>
      <c r="D121" s="201">
        <f t="shared" si="24"/>
        <v>0.21268091208642476</v>
      </c>
      <c r="E121" s="167">
        <f t="shared" si="26"/>
        <v>0.18984206359640829</v>
      </c>
      <c r="F121" s="45">
        <f t="shared" si="27"/>
        <v>0.16653412962252956</v>
      </c>
      <c r="G121" s="183">
        <f t="shared" si="28"/>
        <v>0.14600630737874781</v>
      </c>
      <c r="H121" s="171">
        <f t="shared" si="29"/>
        <v>0.21268091208642476</v>
      </c>
      <c r="I121" s="235">
        <f t="shared" si="30"/>
        <v>0.16653412962252956</v>
      </c>
      <c r="J121" s="238">
        <f>IF(INVOER!$S$36=1,100-H121*100,100-I121*100)</f>
        <v>83.346587037747042</v>
      </c>
      <c r="K121" s="43">
        <f t="shared" si="33"/>
        <v>0</v>
      </c>
      <c r="L121" s="6">
        <f t="shared" si="34"/>
        <v>10</v>
      </c>
      <c r="M121" s="6">
        <f t="shared" si="35"/>
        <v>15</v>
      </c>
      <c r="N121" s="6">
        <f t="shared" si="36"/>
        <v>0.99199999999999999</v>
      </c>
      <c r="O121" s="6">
        <f t="shared" si="37"/>
        <v>0.85199999999999998</v>
      </c>
      <c r="P121" s="366">
        <f t="shared" si="31"/>
        <v>7.3810864638246141</v>
      </c>
      <c r="Q121" s="6">
        <f t="shared" si="32"/>
        <v>19.224549927406461</v>
      </c>
      <c r="R121" s="6">
        <f t="shared" si="11"/>
        <v>0.99993885871928012</v>
      </c>
      <c r="S121" s="6">
        <f t="shared" si="20"/>
        <v>99.993885871928015</v>
      </c>
      <c r="T121" s="357">
        <f t="shared" si="14"/>
        <v>1.7676914842001956E-3</v>
      </c>
      <c r="U121" s="361">
        <f>'Berekening trap 1'!H121*$T121</f>
        <v>3.7595423714710351E-4</v>
      </c>
      <c r="V121" s="362">
        <f>'Berekening trap 1'!I121*$T121</f>
        <v>2.9438096276243706E-4</v>
      </c>
      <c r="Y121" s="43">
        <f t="shared" si="15"/>
        <v>45</v>
      </c>
      <c r="Z121" s="6" t="str">
        <f>IF(INVOER!A80=0,"x",INVOER!A80)</f>
        <v>x</v>
      </c>
      <c r="AA121" s="6">
        <f>IF(INVOER!B$36&gt;INVOER!B$37,INVOER!B80,100-INVOER!B80)</f>
        <v>0</v>
      </c>
      <c r="AB121" s="6">
        <f t="shared" si="16"/>
        <v>45</v>
      </c>
      <c r="AC121" s="6">
        <f t="shared" si="12"/>
        <v>0</v>
      </c>
      <c r="AD121" s="44">
        <f>IF(INVOER!A80=0,10000,INVOER!A80)</f>
        <v>10000</v>
      </c>
    </row>
    <row r="122" spans="1:30" x14ac:dyDescent="0.2">
      <c r="A122" s="43">
        <f>A121*'Berekening trap 1'!H$58</f>
        <v>5.4083360292190914</v>
      </c>
      <c r="B122" s="6">
        <f t="shared" si="25"/>
        <v>5.2861585513425968</v>
      </c>
      <c r="C122" s="168">
        <f t="shared" si="17"/>
        <v>4.2237163845922945</v>
      </c>
      <c r="D122" s="200">
        <f t="shared" si="24"/>
        <v>0.19998585729140048</v>
      </c>
      <c r="E122" s="197">
        <f t="shared" si="26"/>
        <v>0.17988789017503354</v>
      </c>
      <c r="F122" s="43">
        <f t="shared" si="27"/>
        <v>0.1550781280541812</v>
      </c>
      <c r="G122" s="155">
        <f t="shared" si="28"/>
        <v>0.13717822409058106</v>
      </c>
      <c r="H122" s="170">
        <f t="shared" si="29"/>
        <v>0.19998585729140048</v>
      </c>
      <c r="I122" s="179">
        <f t="shared" si="30"/>
        <v>0.1550781280541812</v>
      </c>
      <c r="J122" s="145">
        <f>IF(INVOER!$S$36=1,100-H122*100,100-I122*100)</f>
        <v>84.492187194581874</v>
      </c>
      <c r="K122" s="41">
        <f t="shared" si="33"/>
        <v>0</v>
      </c>
      <c r="L122" s="5">
        <f t="shared" si="34"/>
        <v>10</v>
      </c>
      <c r="M122" s="5">
        <f t="shared" si="35"/>
        <v>15</v>
      </c>
      <c r="N122" s="5">
        <f t="shared" si="36"/>
        <v>0.99199999999999999</v>
      </c>
      <c r="O122" s="5">
        <f t="shared" si="37"/>
        <v>0.85199999999999998</v>
      </c>
      <c r="P122" s="365">
        <f t="shared" si="31"/>
        <v>7.3810864638246141</v>
      </c>
      <c r="Q122" s="5">
        <f t="shared" si="32"/>
        <v>19.224549927406461</v>
      </c>
      <c r="R122" s="5">
        <f t="shared" si="11"/>
        <v>0.99991399292974281</v>
      </c>
      <c r="S122" s="5">
        <f t="shared" si="20"/>
        <v>99.991399292974279</v>
      </c>
      <c r="T122" s="363">
        <f t="shared" si="14"/>
        <v>2.4865789537309446E-3</v>
      </c>
      <c r="U122" s="358">
        <f>'Berekening trap 1'!H122*$T122</f>
        <v>4.9728062378463658E-4</v>
      </c>
      <c r="V122" s="359">
        <f>'Berekening trap 1'!I122*$T122</f>
        <v>3.8561400940351936E-4</v>
      </c>
      <c r="Y122" s="43">
        <f t="shared" si="15"/>
        <v>46</v>
      </c>
      <c r="Z122" s="6" t="str">
        <f>IF(INVOER!A81=0,"x",INVOER!A81)</f>
        <v>x</v>
      </c>
      <c r="AA122" s="6">
        <f>IF(INVOER!B$36&gt;INVOER!B$37,INVOER!B81,100-INVOER!B81)</f>
        <v>0</v>
      </c>
      <c r="AB122" s="6">
        <f t="shared" si="16"/>
        <v>46</v>
      </c>
      <c r="AC122" s="6">
        <f t="shared" si="12"/>
        <v>0</v>
      </c>
      <c r="AD122" s="44">
        <f>IF(INVOER!A81=0,10000,INVOER!A81)</f>
        <v>10000</v>
      </c>
    </row>
    <row r="123" spans="1:30" x14ac:dyDescent="0.2">
      <c r="A123" s="43">
        <f>A122*'Berekening trap 1'!H$58</f>
        <v>5.6642536424550549</v>
      </c>
      <c r="B123" s="6">
        <f t="shared" si="25"/>
        <v>5.5362948358370732</v>
      </c>
      <c r="C123" s="168">
        <f t="shared" si="17"/>
        <v>4.4235788580574589</v>
      </c>
      <c r="D123" s="200">
        <f t="shared" si="24"/>
        <v>0.18766819961853445</v>
      </c>
      <c r="E123" s="197">
        <f t="shared" si="26"/>
        <v>0.17014744291759931</v>
      </c>
      <c r="F123" s="43">
        <f t="shared" si="27"/>
        <v>0.14407198300128582</v>
      </c>
      <c r="G123" s="155">
        <f t="shared" si="28"/>
        <v>0.12861409270572208</v>
      </c>
      <c r="H123" s="170">
        <f t="shared" si="29"/>
        <v>0.18766819961853445</v>
      </c>
      <c r="I123" s="179">
        <f t="shared" si="30"/>
        <v>0.14407198300128582</v>
      </c>
      <c r="J123" s="145">
        <f>IF(INVOER!$S$36=1,100-H123*100,100-I123*100)</f>
        <v>85.592801699871416</v>
      </c>
      <c r="K123" s="43">
        <f t="shared" si="33"/>
        <v>0</v>
      </c>
      <c r="L123" s="6">
        <f t="shared" si="34"/>
        <v>10</v>
      </c>
      <c r="M123" s="6">
        <f t="shared" si="35"/>
        <v>15</v>
      </c>
      <c r="N123" s="6">
        <f t="shared" si="36"/>
        <v>0.99199999999999999</v>
      </c>
      <c r="O123" s="6">
        <f t="shared" si="37"/>
        <v>0.85199999999999998</v>
      </c>
      <c r="P123" s="366">
        <f t="shared" si="31"/>
        <v>7.3810864638246141</v>
      </c>
      <c r="Q123" s="6">
        <f t="shared" si="32"/>
        <v>19.224549927406461</v>
      </c>
      <c r="R123" s="6">
        <f t="shared" si="11"/>
        <v>0.99987901498560683</v>
      </c>
      <c r="S123" s="6">
        <f t="shared" si="20"/>
        <v>99.987901498560689</v>
      </c>
      <c r="T123" s="357">
        <f t="shared" si="14"/>
        <v>3.4977944135983208E-3</v>
      </c>
      <c r="U123" s="358">
        <f>'Berekening trap 1'!H123*$T123</f>
        <v>6.5642478023576431E-4</v>
      </c>
      <c r="V123" s="359">
        <f>'Berekening trap 1'!I123*$T123</f>
        <v>5.0393417729792975E-4</v>
      </c>
      <c r="Y123" s="43">
        <f t="shared" si="15"/>
        <v>47</v>
      </c>
      <c r="Z123" s="6" t="str">
        <f>IF(INVOER!A82=0,"x",INVOER!A82)</f>
        <v>x</v>
      </c>
      <c r="AA123" s="6">
        <f>IF(INVOER!B$36&gt;INVOER!B$37,INVOER!B82,100-INVOER!B82)</f>
        <v>0</v>
      </c>
      <c r="AB123" s="6">
        <f t="shared" si="16"/>
        <v>47</v>
      </c>
      <c r="AC123" s="6">
        <f t="shared" si="12"/>
        <v>0</v>
      </c>
      <c r="AD123" s="44">
        <f>IF(INVOER!A82=0,10000,INVOER!A82)</f>
        <v>10000</v>
      </c>
    </row>
    <row r="124" spans="1:30" x14ac:dyDescent="0.2">
      <c r="A124" s="43">
        <f>A123*'Berekening trap 1'!H$58</f>
        <v>5.9322810477621024</v>
      </c>
      <c r="B124" s="6">
        <f t="shared" si="25"/>
        <v>5.7982673451085791</v>
      </c>
      <c r="C124" s="168">
        <f t="shared" si="17"/>
        <v>4.632898644623789</v>
      </c>
      <c r="D124" s="200">
        <f t="shared" si="24"/>
        <v>0.1757402750614879</v>
      </c>
      <c r="E124" s="197">
        <f t="shared" si="26"/>
        <v>0.16063378587121643</v>
      </c>
      <c r="F124" s="43">
        <f t="shared" si="27"/>
        <v>0.1335223031285197</v>
      </c>
      <c r="G124" s="155">
        <f t="shared" si="28"/>
        <v>0.12032381746851015</v>
      </c>
      <c r="H124" s="170">
        <f t="shared" si="29"/>
        <v>0.1757402750614879</v>
      </c>
      <c r="I124" s="179">
        <f t="shared" si="30"/>
        <v>0.1335223031285197</v>
      </c>
      <c r="J124" s="145">
        <f>IF(INVOER!$S$36=1,100-H124*100,100-I124*100)</f>
        <v>86.647769687148028</v>
      </c>
      <c r="K124" s="43">
        <f t="shared" si="33"/>
        <v>0</v>
      </c>
      <c r="L124" s="6">
        <f t="shared" si="34"/>
        <v>10</v>
      </c>
      <c r="M124" s="6">
        <f t="shared" si="35"/>
        <v>15</v>
      </c>
      <c r="N124" s="6">
        <f t="shared" si="36"/>
        <v>0.99199999999999999</v>
      </c>
      <c r="O124" s="6">
        <f t="shared" si="37"/>
        <v>0.85199999999999998</v>
      </c>
      <c r="P124" s="366">
        <f t="shared" si="31"/>
        <v>7.3810864638246141</v>
      </c>
      <c r="Q124" s="6">
        <f t="shared" si="32"/>
        <v>19.224549927406461</v>
      </c>
      <c r="R124" s="6">
        <f t="shared" si="11"/>
        <v>0.99982981318230313</v>
      </c>
      <c r="S124" s="6">
        <f t="shared" si="20"/>
        <v>99.982981318230316</v>
      </c>
      <c r="T124" s="357">
        <f t="shared" si="14"/>
        <v>4.9201803303700054E-3</v>
      </c>
      <c r="U124" s="358">
        <f>'Berekening trap 1'!H124*$T124</f>
        <v>8.6467384461134716E-4</v>
      </c>
      <c r="V124" s="359">
        <f>'Berekening trap 1'!I124*$T124</f>
        <v>6.5695380951864412E-4</v>
      </c>
      <c r="Y124" s="43">
        <f t="shared" si="15"/>
        <v>48</v>
      </c>
      <c r="Z124" s="6" t="str">
        <f>IF(INVOER!A83=0,"x",INVOER!A83)</f>
        <v>x</v>
      </c>
      <c r="AA124" s="6">
        <f>IF(INVOER!B$36&gt;INVOER!B$37,INVOER!B83,100-INVOER!B83)</f>
        <v>0</v>
      </c>
      <c r="AB124" s="6">
        <f t="shared" si="16"/>
        <v>48</v>
      </c>
      <c r="AC124" s="6">
        <f t="shared" si="12"/>
        <v>0</v>
      </c>
      <c r="AD124" s="44">
        <f>IF(INVOER!A83=0,10000,INVOER!A83)</f>
        <v>10000</v>
      </c>
    </row>
    <row r="125" spans="1:30" x14ac:dyDescent="0.2">
      <c r="A125" s="43">
        <f>A124*'Berekening trap 1'!H$58</f>
        <v>6.2129912696466381</v>
      </c>
      <c r="B125" s="6">
        <f t="shared" si="25"/>
        <v>6.0726361587043698</v>
      </c>
      <c r="C125" s="168">
        <f t="shared" si="17"/>
        <v>4.8521232558703362</v>
      </c>
      <c r="D125" s="200">
        <f t="shared" si="24"/>
        <v>0.16421342208174122</v>
      </c>
      <c r="E125" s="197">
        <f t="shared" si="26"/>
        <v>0.1513594079166711</v>
      </c>
      <c r="F125" s="43">
        <f t="shared" si="27"/>
        <v>0.12343427963164909</v>
      </c>
      <c r="G125" s="155">
        <f t="shared" si="28"/>
        <v>0.11231639140057628</v>
      </c>
      <c r="H125" s="170">
        <f t="shared" si="29"/>
        <v>0.16421342208174122</v>
      </c>
      <c r="I125" s="179">
        <f t="shared" si="30"/>
        <v>0.12343427963164909</v>
      </c>
      <c r="J125" s="145">
        <f>IF(INVOER!$S$36=1,100-H125*100,100-I125*100)</f>
        <v>87.656572036835087</v>
      </c>
      <c r="K125" s="43">
        <f t="shared" si="33"/>
        <v>0</v>
      </c>
      <c r="L125" s="6">
        <f t="shared" si="34"/>
        <v>10</v>
      </c>
      <c r="M125" s="6">
        <f t="shared" si="35"/>
        <v>15</v>
      </c>
      <c r="N125" s="6">
        <f t="shared" si="36"/>
        <v>0.99199999999999999</v>
      </c>
      <c r="O125" s="6">
        <f t="shared" si="37"/>
        <v>0.85199999999999998</v>
      </c>
      <c r="P125" s="366">
        <f t="shared" si="31"/>
        <v>7.3810864638246141</v>
      </c>
      <c r="Q125" s="6">
        <f t="shared" si="32"/>
        <v>19.224549927406461</v>
      </c>
      <c r="R125" s="6">
        <f t="shared" si="11"/>
        <v>0.99976060454060922</v>
      </c>
      <c r="S125" s="6">
        <f t="shared" si="20"/>
        <v>99.976060454060928</v>
      </c>
      <c r="T125" s="357">
        <f t="shared" si="14"/>
        <v>6.9208641693907502E-3</v>
      </c>
      <c r="U125" s="358">
        <f>'Berekening trap 1'!H125*$T125</f>
        <v>1.1364987890185626E-3</v>
      </c>
      <c r="V125" s="359">
        <f>'Berekening trap 1'!I125*$T125</f>
        <v>8.5427188317723868E-4</v>
      </c>
      <c r="Y125" s="43">
        <f t="shared" si="15"/>
        <v>49</v>
      </c>
      <c r="Z125" s="6" t="str">
        <f>IF(INVOER!A84=0,"x",INVOER!A84)</f>
        <v>x</v>
      </c>
      <c r="AA125" s="6">
        <f>IF(INVOER!B$36&gt;INVOER!B$37,INVOER!B84,100-INVOER!B84)</f>
        <v>0</v>
      </c>
      <c r="AB125" s="6">
        <f t="shared" si="16"/>
        <v>49</v>
      </c>
      <c r="AC125" s="6">
        <f t="shared" si="12"/>
        <v>0</v>
      </c>
      <c r="AD125" s="44">
        <f>IF(INVOER!A84=0,10000,INVOER!A84)</f>
        <v>10000</v>
      </c>
    </row>
    <row r="126" spans="1:30" x14ac:dyDescent="0.2">
      <c r="A126" s="45">
        <f>A125*'Berekening trap 1'!H$58</f>
        <v>6.5069844476210896</v>
      </c>
      <c r="B126" s="46">
        <f t="shared" si="25"/>
        <v>6.3599878586338638</v>
      </c>
      <c r="C126" s="182">
        <f t="shared" si="17"/>
        <v>5.0817213792229534</v>
      </c>
      <c r="D126" s="201">
        <f t="shared" si="24"/>
        <v>0.1530978778934575</v>
      </c>
      <c r="E126" s="167">
        <f t="shared" si="26"/>
        <v>0.14233614287649399</v>
      </c>
      <c r="F126" s="45">
        <f t="shared" si="27"/>
        <v>0.113811613394198</v>
      </c>
      <c r="G126" s="183">
        <f t="shared" si="28"/>
        <v>0.10459982874343814</v>
      </c>
      <c r="H126" s="171">
        <f t="shared" si="29"/>
        <v>0.1530978778934575</v>
      </c>
      <c r="I126" s="235">
        <f t="shared" si="30"/>
        <v>0.113811613394198</v>
      </c>
      <c r="J126" s="145">
        <f>IF(INVOER!$S$36=1,100-H126*100,100-I126*100)</f>
        <v>88.618838660580195</v>
      </c>
      <c r="K126" s="43">
        <f t="shared" si="33"/>
        <v>0</v>
      </c>
      <c r="L126" s="6">
        <f t="shared" si="34"/>
        <v>10</v>
      </c>
      <c r="M126" s="6">
        <f t="shared" si="35"/>
        <v>15</v>
      </c>
      <c r="N126" s="6">
        <f t="shared" si="36"/>
        <v>0.99199999999999999</v>
      </c>
      <c r="O126" s="6">
        <f t="shared" si="37"/>
        <v>0.85199999999999998</v>
      </c>
      <c r="P126" s="366">
        <f t="shared" si="31"/>
        <v>7.3810864638246141</v>
      </c>
      <c r="Q126" s="6">
        <f t="shared" si="32"/>
        <v>19.224549927406461</v>
      </c>
      <c r="R126" s="6">
        <f t="shared" si="11"/>
        <v>0.99966325606132611</v>
      </c>
      <c r="S126" s="6">
        <f t="shared" si="20"/>
        <v>99.966325606132614</v>
      </c>
      <c r="T126" s="357">
        <f t="shared" si="14"/>
        <v>9.7348479283110301E-3</v>
      </c>
      <c r="U126" s="361">
        <f>'Berekening trap 1'!H126*$T126</f>
        <v>1.4903845594399397E-3</v>
      </c>
      <c r="V126" s="362">
        <f>'Berekening trap 1'!I126*$T126</f>
        <v>1.1079387488682443E-3</v>
      </c>
      <c r="Y126" s="43">
        <f t="shared" si="15"/>
        <v>50</v>
      </c>
      <c r="Z126" s="6" t="str">
        <f>IF(INVOER!A85=0,"x",INVOER!A85)</f>
        <v>x</v>
      </c>
      <c r="AA126" s="6">
        <f>IF(INVOER!B$36&gt;INVOER!B$37,INVOER!B85,100-INVOER!B85)</f>
        <v>0</v>
      </c>
      <c r="AB126" s="6">
        <f t="shared" si="16"/>
        <v>50</v>
      </c>
      <c r="AC126" s="6">
        <f t="shared" si="12"/>
        <v>0</v>
      </c>
      <c r="AD126" s="44">
        <f>IF(INVOER!A85=0,10000,INVOER!A85)</f>
        <v>10000</v>
      </c>
    </row>
    <row r="127" spans="1:30" x14ac:dyDescent="0.2">
      <c r="A127" s="43">
        <f>A126*'Berekening trap 1'!H$58</f>
        <v>6.8148891192616885</v>
      </c>
      <c r="B127" s="6">
        <f t="shared" si="25"/>
        <v>6.6609367834413895</v>
      </c>
      <c r="C127" s="168">
        <f t="shared" si="17"/>
        <v>5.3221838799763859</v>
      </c>
      <c r="D127" s="200">
        <f t="shared" si="24"/>
        <v>0.14240268008062087</v>
      </c>
      <c r="E127" s="197">
        <f t="shared" si="26"/>
        <v>0.1335750908288422</v>
      </c>
      <c r="F127" s="43">
        <f t="shared" si="27"/>
        <v>0.10465645377764045</v>
      </c>
      <c r="G127" s="155">
        <f t="shared" si="28"/>
        <v>9.7181102684683579E-2</v>
      </c>
      <c r="H127" s="170">
        <f t="shared" si="29"/>
        <v>0.14240268008062087</v>
      </c>
      <c r="I127" s="179">
        <f t="shared" si="30"/>
        <v>0.10465645377764045</v>
      </c>
      <c r="J127" s="147">
        <f>IF(INVOER!$S$36=1,100-H127*100,100-I127*100)</f>
        <v>89.534354622235952</v>
      </c>
      <c r="K127" s="41">
        <f t="shared" si="33"/>
        <v>0</v>
      </c>
      <c r="L127" s="5">
        <f t="shared" si="34"/>
        <v>10</v>
      </c>
      <c r="M127" s="5">
        <f t="shared" si="35"/>
        <v>15</v>
      </c>
      <c r="N127" s="5">
        <f t="shared" si="36"/>
        <v>0.99199999999999999</v>
      </c>
      <c r="O127" s="5">
        <f t="shared" si="37"/>
        <v>0.85199999999999998</v>
      </c>
      <c r="P127" s="365">
        <f t="shared" si="31"/>
        <v>7.3810864638246141</v>
      </c>
      <c r="Q127" s="5">
        <f t="shared" si="32"/>
        <v>19.224549927406461</v>
      </c>
      <c r="R127" s="5">
        <f t="shared" si="11"/>
        <v>0.99952633088648257</v>
      </c>
      <c r="S127" s="5">
        <f t="shared" si="20"/>
        <v>99.952633088648255</v>
      </c>
      <c r="T127" s="363">
        <f t="shared" si="14"/>
        <v>1.369251748435385E-2</v>
      </c>
      <c r="U127" s="358">
        <f>'Berekening trap 1'!H127*$T127</f>
        <v>1.949851186822749E-3</v>
      </c>
      <c r="V127" s="359">
        <f>'Berekening trap 1'!I127*$T127</f>
        <v>1.4330103232008124E-3</v>
      </c>
      <c r="Y127" s="43">
        <f t="shared" si="15"/>
        <v>51</v>
      </c>
      <c r="Z127" s="6" t="str">
        <f>IF(INVOER!A86=0,"x",INVOER!A86)</f>
        <v>x</v>
      </c>
      <c r="AA127" s="6">
        <f>IF(INVOER!B$36&gt;INVOER!B$37,INVOER!B86,100-INVOER!B86)</f>
        <v>0</v>
      </c>
      <c r="AB127" s="6">
        <f t="shared" si="16"/>
        <v>51</v>
      </c>
      <c r="AC127" s="6">
        <f t="shared" si="12"/>
        <v>0</v>
      </c>
      <c r="AD127" s="44">
        <f>IF(INVOER!A86=0,10000,INVOER!A86)</f>
        <v>10000</v>
      </c>
    </row>
    <row r="128" spans="1:30" x14ac:dyDescent="0.2">
      <c r="A128" s="43">
        <f>A127*'Berekening trap 1'!H$58</f>
        <v>7.1373635639793944</v>
      </c>
      <c r="B128" s="6">
        <f t="shared" si="25"/>
        <v>6.9761263416205415</v>
      </c>
      <c r="C128" s="168">
        <f t="shared" si="17"/>
        <v>5.5740248507311447</v>
      </c>
      <c r="D128" s="200">
        <f t="shared" si="24"/>
        <v>0.1321355748539132</v>
      </c>
      <c r="E128" s="197">
        <f t="shared" si="26"/>
        <v>0.12508654148884985</v>
      </c>
      <c r="F128" s="43">
        <f t="shared" si="27"/>
        <v>9.5969350266104661E-2</v>
      </c>
      <c r="G128" s="155">
        <f t="shared" si="28"/>
        <v>9.0066089326123838E-2</v>
      </c>
      <c r="H128" s="170">
        <f t="shared" si="29"/>
        <v>0.1321355748539132</v>
      </c>
      <c r="I128" s="179">
        <f t="shared" si="30"/>
        <v>9.5969350266104661E-2</v>
      </c>
      <c r="J128" s="145">
        <f>IF(INVOER!$S$36=1,100-H128*100,100-I128*100)</f>
        <v>90.403064973389533</v>
      </c>
      <c r="K128" s="43">
        <f t="shared" si="33"/>
        <v>0</v>
      </c>
      <c r="L128" s="6">
        <f t="shared" si="34"/>
        <v>10</v>
      </c>
      <c r="M128" s="6">
        <f t="shared" si="35"/>
        <v>15</v>
      </c>
      <c r="N128" s="6">
        <f t="shared" si="36"/>
        <v>0.99199999999999999</v>
      </c>
      <c r="O128" s="6">
        <f t="shared" si="37"/>
        <v>0.85199999999999998</v>
      </c>
      <c r="P128" s="366">
        <f t="shared" si="31"/>
        <v>7.3810864638246141</v>
      </c>
      <c r="Q128" s="6">
        <f t="shared" si="32"/>
        <v>19.224549927406461</v>
      </c>
      <c r="R128" s="6">
        <f t="shared" si="11"/>
        <v>0.9993337484223449</v>
      </c>
      <c r="S128" s="6">
        <f t="shared" si="20"/>
        <v>99.933374842234485</v>
      </c>
      <c r="T128" s="357">
        <f t="shared" si="14"/>
        <v>1.9258246413766944E-2</v>
      </c>
      <c r="U128" s="358">
        <f>'Berekening trap 1'!H128*$T128</f>
        <v>2.5446994605614072E-3</v>
      </c>
      <c r="V128" s="359">
        <f>'Berekening trap 1'!I128*$T128</f>
        <v>1.8482013955937538E-3</v>
      </c>
      <c r="Y128" s="43">
        <f t="shared" si="15"/>
        <v>52</v>
      </c>
      <c r="Z128" s="6" t="str">
        <f>IF(INVOER!A87=0,"x",INVOER!A87)</f>
        <v>x</v>
      </c>
      <c r="AA128" s="6">
        <f>IF(INVOER!B$36&gt;INVOER!B$37,INVOER!B87,100-INVOER!B87)</f>
        <v>0</v>
      </c>
      <c r="AB128" s="6">
        <f t="shared" si="16"/>
        <v>52</v>
      </c>
      <c r="AC128" s="6">
        <f t="shared" si="12"/>
        <v>0</v>
      </c>
      <c r="AD128" s="44">
        <f>IF(INVOER!A87=0,10000,INVOER!A87)</f>
        <v>10000</v>
      </c>
    </row>
    <row r="129" spans="1:30" x14ac:dyDescent="0.2">
      <c r="A129" s="43">
        <f>A128*'Berekening trap 1'!H$58</f>
        <v>7.4750972103768571</v>
      </c>
      <c r="B129" s="6">
        <f t="shared" si="25"/>
        <v>7.3062303871781253</v>
      </c>
      <c r="C129" s="168">
        <f t="shared" si="17"/>
        <v>5.8377827104888036</v>
      </c>
      <c r="D129" s="200">
        <f t="shared" si="24"/>
        <v>0.12230293328072178</v>
      </c>
      <c r="E129" s="197">
        <f t="shared" si="26"/>
        <v>0.11687990056177361</v>
      </c>
      <c r="F129" s="43">
        <f t="shared" si="27"/>
        <v>8.7749218095084194E-2</v>
      </c>
      <c r="G129" s="155">
        <f t="shared" si="28"/>
        <v>8.3259518835001711E-2</v>
      </c>
      <c r="H129" s="170">
        <f t="shared" si="29"/>
        <v>0.12230293328072178</v>
      </c>
      <c r="I129" s="179">
        <f t="shared" si="30"/>
        <v>8.7749218095084194E-2</v>
      </c>
      <c r="J129" s="145">
        <f>IF(INVOER!$S$36=1,100-H129*100,100-I129*100)</f>
        <v>91.225078190491587</v>
      </c>
      <c r="K129" s="43">
        <f t="shared" si="33"/>
        <v>0</v>
      </c>
      <c r="L129" s="6">
        <f t="shared" si="34"/>
        <v>10</v>
      </c>
      <c r="M129" s="6">
        <f t="shared" si="35"/>
        <v>15</v>
      </c>
      <c r="N129" s="6">
        <f t="shared" si="36"/>
        <v>0.99199999999999999</v>
      </c>
      <c r="O129" s="6">
        <f t="shared" si="37"/>
        <v>0.85199999999999998</v>
      </c>
      <c r="P129" s="366">
        <f>(LN(LN(N129)/LN(O129)))/LN(L129/M129)</f>
        <v>7.3810864638246141</v>
      </c>
      <c r="Q129" s="6">
        <f>L129/((-LN(N129))^(1/P129))</f>
        <v>19.224549927406461</v>
      </c>
      <c r="R129" s="6">
        <f t="shared" si="11"/>
        <v>0.99906290327473746</v>
      </c>
      <c r="S129" s="6">
        <f t="shared" si="20"/>
        <v>99.906290327473741</v>
      </c>
      <c r="T129" s="357">
        <f t="shared" si="14"/>
        <v>2.7084514760744582E-2</v>
      </c>
      <c r="U129" s="358">
        <f>'Berekening trap 1'!H129*$T129</f>
        <v>3.3125156017240688E-3</v>
      </c>
      <c r="V129" s="359">
        <f>'Berekening trap 1'!I129*$T129</f>
        <v>2.3766449927401035E-3</v>
      </c>
      <c r="Y129" s="43">
        <f t="shared" si="15"/>
        <v>53</v>
      </c>
      <c r="Z129" s="6" t="str">
        <f>IF(INVOER!A88=0,"x",INVOER!A88)</f>
        <v>x</v>
      </c>
      <c r="AA129" s="6">
        <f>IF(INVOER!B$36&gt;INVOER!B$37,INVOER!B88,100-INVOER!B88)</f>
        <v>0</v>
      </c>
      <c r="AB129" s="6">
        <f t="shared" si="16"/>
        <v>53</v>
      </c>
      <c r="AC129" s="6">
        <f t="shared" si="12"/>
        <v>0</v>
      </c>
      <c r="AD129" s="44">
        <f>IF(INVOER!A88=0,10000,INVOER!A88)</f>
        <v>10000</v>
      </c>
    </row>
    <row r="130" spans="1:30" x14ac:dyDescent="0.2">
      <c r="A130" s="43">
        <f>A129*'Berekening trap 1'!H$58</f>
        <v>7.8288121102002464</v>
      </c>
      <c r="B130" s="6">
        <f t="shared" si="25"/>
        <v>7.6519546602885518</v>
      </c>
      <c r="C130" s="168">
        <f t="shared" si="17"/>
        <v>6.1140213557554866</v>
      </c>
      <c r="D130" s="200">
        <f t="shared" si="24"/>
        <v>0.11290967682440133</v>
      </c>
      <c r="E130" s="197">
        <f t="shared" si="26"/>
        <v>0.1089636200045415</v>
      </c>
      <c r="F130" s="43">
        <f t="shared" si="27"/>
        <v>7.9993318869928873E-2</v>
      </c>
      <c r="G130" s="155">
        <f t="shared" si="28"/>
        <v>7.6764934684214886E-2</v>
      </c>
      <c r="H130" s="170">
        <f t="shared" si="29"/>
        <v>0.11290967682440133</v>
      </c>
      <c r="I130" s="179">
        <f t="shared" si="30"/>
        <v>7.9993318869928873E-2</v>
      </c>
      <c r="J130" s="145">
        <f>IF(INVOER!$S$36=1,100-H130*100,100-I130*100)</f>
        <v>92.000668113007109</v>
      </c>
      <c r="K130" s="43">
        <f>VLOOKUP(A130,Z$76:AB$146,3)</f>
        <v>0</v>
      </c>
      <c r="L130" s="6">
        <f>IF(K130=0,VLOOKUP(1,Y$77:AA$146,2),VLOOKUP(K130,Y$76:Z$145,2))</f>
        <v>10</v>
      </c>
      <c r="M130" s="6">
        <f t="shared" si="35"/>
        <v>15</v>
      </c>
      <c r="N130" s="6">
        <f t="shared" si="36"/>
        <v>0.99199999999999999</v>
      </c>
      <c r="O130" s="6">
        <f t="shared" si="37"/>
        <v>0.85199999999999998</v>
      </c>
      <c r="P130" s="366">
        <f>(LN(LN(N130)/LN(O130)))/LN(L130/M130)</f>
        <v>7.3810864638246141</v>
      </c>
      <c r="Q130" s="6">
        <f t="shared" si="32"/>
        <v>19.224549927406461</v>
      </c>
      <c r="R130" s="6">
        <f t="shared" si="11"/>
        <v>0.99868202655968941</v>
      </c>
      <c r="S130" s="6">
        <f t="shared" si="20"/>
        <v>99.868202655968943</v>
      </c>
      <c r="T130" s="357">
        <f t="shared" si="14"/>
        <v>3.8087671504805076E-2</v>
      </c>
      <c r="U130" s="358">
        <f>'Berekening trap 1'!H130*$T130</f>
        <v>4.3004666806015007E-3</v>
      </c>
      <c r="V130" s="359">
        <f>'Berekening trap 1'!I130*$T130</f>
        <v>3.0467592516969762E-3</v>
      </c>
      <c r="Y130" s="43">
        <f t="shared" si="15"/>
        <v>54</v>
      </c>
      <c r="Z130" s="6" t="str">
        <f>IF(INVOER!A89=0,"x",INVOER!A89)</f>
        <v>x</v>
      </c>
      <c r="AA130" s="6">
        <f>IF(INVOER!B$36&gt;INVOER!B$37,INVOER!B89,100-INVOER!B89)</f>
        <v>0</v>
      </c>
      <c r="AB130" s="6">
        <f t="shared" si="16"/>
        <v>54</v>
      </c>
      <c r="AC130" s="6">
        <f t="shared" si="12"/>
        <v>0</v>
      </c>
      <c r="AD130" s="44">
        <f>IF(INVOER!A89=0,10000,INVOER!A89)</f>
        <v>10000</v>
      </c>
    </row>
    <row r="131" spans="1:30" x14ac:dyDescent="0.2">
      <c r="A131" s="45">
        <f>A130*'Berekening trap 1'!H$58</f>
        <v>8.1992644820371616</v>
      </c>
      <c r="B131" s="46">
        <f t="shared" si="25"/>
        <v>8.014038296118704</v>
      </c>
      <c r="C131" s="182">
        <f t="shared" si="17"/>
        <v>6.4033313661145472</v>
      </c>
      <c r="D131" s="201">
        <f t="shared" si="24"/>
        <v>0.10395921350595198</v>
      </c>
      <c r="E131" s="167">
        <f t="shared" si="26"/>
        <v>0.10134513315237174</v>
      </c>
      <c r="F131" s="45">
        <f t="shared" si="27"/>
        <v>7.269725702369112E-2</v>
      </c>
      <c r="G131" s="183">
        <f t="shared" si="28"/>
        <v>7.0584661833379803E-2</v>
      </c>
      <c r="H131" s="171">
        <f t="shared" si="29"/>
        <v>0.10395921350595198</v>
      </c>
      <c r="I131" s="235">
        <f t="shared" si="30"/>
        <v>7.269725702369112E-2</v>
      </c>
      <c r="J131" s="238">
        <f>IF(INVOER!$S$36=1,100-H131*100,100-I131*100)</f>
        <v>92.730274297630885</v>
      </c>
      <c r="K131" s="43">
        <f t="shared" si="33"/>
        <v>0</v>
      </c>
      <c r="L131" s="6">
        <f t="shared" si="34"/>
        <v>10</v>
      </c>
      <c r="M131" s="6">
        <f t="shared" si="35"/>
        <v>15</v>
      </c>
      <c r="N131" s="6">
        <f t="shared" si="36"/>
        <v>0.99199999999999999</v>
      </c>
      <c r="O131" s="6">
        <f t="shared" si="37"/>
        <v>0.85199999999999998</v>
      </c>
      <c r="P131" s="366">
        <f t="shared" si="31"/>
        <v>7.3810864638246141</v>
      </c>
      <c r="Q131" s="6">
        <f t="shared" si="32"/>
        <v>19.224549927406461</v>
      </c>
      <c r="R131" s="6">
        <f t="shared" si="11"/>
        <v>0.99814648870709333</v>
      </c>
      <c r="S131" s="6">
        <f t="shared" si="20"/>
        <v>99.814648870709334</v>
      </c>
      <c r="T131" s="357">
        <f t="shared" si="14"/>
        <v>5.3553785259607967E-2</v>
      </c>
      <c r="U131" s="361">
        <f>'Berekening trap 1'!H131*$T131</f>
        <v>5.5674093958554887E-3</v>
      </c>
      <c r="V131" s="362">
        <f>'Berekening trap 1'!I131*$T131</f>
        <v>3.8932132916092814E-3</v>
      </c>
      <c r="Y131" s="43">
        <f t="shared" si="15"/>
        <v>55</v>
      </c>
      <c r="Z131" s="6" t="str">
        <f>IF(INVOER!A90=0,"x",INVOER!A90)</f>
        <v>x</v>
      </c>
      <c r="AA131" s="6">
        <f>IF(INVOER!B$36&gt;INVOER!B$37,INVOER!B90,100-INVOER!B90)</f>
        <v>0</v>
      </c>
      <c r="AB131" s="6">
        <f t="shared" si="16"/>
        <v>55</v>
      </c>
      <c r="AC131" s="6">
        <f t="shared" si="12"/>
        <v>0</v>
      </c>
      <c r="AD131" s="44">
        <f>IF(INVOER!A90=0,10000,INVOER!A90)</f>
        <v>10000</v>
      </c>
    </row>
    <row r="132" spans="1:30" x14ac:dyDescent="0.2">
      <c r="A132" s="43">
        <f>A131*'Berekening trap 1'!H$58</f>
        <v>8.5872463280609441</v>
      </c>
      <c r="B132" s="6">
        <f t="shared" si="25"/>
        <v>8.3932554050490538</v>
      </c>
      <c r="C132" s="168">
        <f t="shared" si="17"/>
        <v>6.7063312668458694</v>
      </c>
      <c r="D132" s="200">
        <f t="shared" si="24"/>
        <v>9.5453385950442546E-2</v>
      </c>
      <c r="E132" s="197">
        <f t="shared" si="26"/>
        <v>9.4030795673173781E-2</v>
      </c>
      <c r="F132" s="43">
        <f t="shared" si="27"/>
        <v>6.5854992775803964E-2</v>
      </c>
      <c r="G132" s="155">
        <f t="shared" si="28"/>
        <v>6.4719784628579288E-2</v>
      </c>
      <c r="H132" s="170">
        <f t="shared" si="29"/>
        <v>9.5453385950442546E-2</v>
      </c>
      <c r="I132" s="179">
        <f t="shared" si="30"/>
        <v>6.5854992775803964E-2</v>
      </c>
      <c r="J132" s="145">
        <f>IF(INVOER!$S$36=1,100-H132*100,100-I132*100)</f>
        <v>93.414500722419604</v>
      </c>
      <c r="K132" s="41">
        <f t="shared" si="33"/>
        <v>0</v>
      </c>
      <c r="L132" s="5">
        <f t="shared" si="34"/>
        <v>10</v>
      </c>
      <c r="M132" s="5">
        <f t="shared" si="35"/>
        <v>15</v>
      </c>
      <c r="N132" s="5">
        <f t="shared" si="36"/>
        <v>0.99199999999999999</v>
      </c>
      <c r="O132" s="5">
        <f t="shared" si="37"/>
        <v>0.85199999999999998</v>
      </c>
      <c r="P132" s="365">
        <f t="shared" si="31"/>
        <v>7.3810864638246141</v>
      </c>
      <c r="Q132" s="5">
        <f t="shared" si="32"/>
        <v>19.224549927406461</v>
      </c>
      <c r="R132" s="5">
        <f t="shared" si="11"/>
        <v>0.99739362757238992</v>
      </c>
      <c r="S132" s="5">
        <f t="shared" si="20"/>
        <v>99.739362757238993</v>
      </c>
      <c r="T132" s="363">
        <f>IF(M132="x",0,(R131-R132)*100)</f>
        <v>7.5286113470340865E-2</v>
      </c>
      <c r="U132" s="358">
        <f>'Berekening trap 1'!H132*$T132</f>
        <v>7.1863144457932583E-3</v>
      </c>
      <c r="V132" s="359">
        <f>'Berekening trap 1'!I132*$T132</f>
        <v>4.9579664587076555E-3</v>
      </c>
      <c r="Y132" s="43">
        <f t="shared" si="15"/>
        <v>56</v>
      </c>
      <c r="Z132" s="6" t="str">
        <f>IF(INVOER!A91=0,"x",INVOER!A91)</f>
        <v>x</v>
      </c>
      <c r="AA132" s="6">
        <f>IF(INVOER!B$36&gt;INVOER!B$37,INVOER!B91,100-INVOER!B91)</f>
        <v>0</v>
      </c>
      <c r="AB132" s="6">
        <f t="shared" si="16"/>
        <v>56</v>
      </c>
      <c r="AC132" s="6">
        <f t="shared" si="12"/>
        <v>0</v>
      </c>
      <c r="AD132" s="44">
        <f>IF(INVOER!A91=0,10000,INVOER!A91)</f>
        <v>10000</v>
      </c>
    </row>
    <row r="133" spans="1:30" x14ac:dyDescent="0.2">
      <c r="A133" s="43">
        <f>A132*'Berekening trap 1'!H$58</f>
        <v>8.9935871272778822</v>
      </c>
      <c r="B133" s="6">
        <f t="shared" si="25"/>
        <v>8.7904167276694132</v>
      </c>
      <c r="C133" s="168">
        <f t="shared" si="17"/>
        <v>7.023668851291176</v>
      </c>
      <c r="D133" s="200">
        <f t="shared" si="24"/>
        <v>8.7392432499984657E-2</v>
      </c>
      <c r="E133" s="197">
        <f t="shared" si="26"/>
        <v>8.7025833302791525E-2</v>
      </c>
      <c r="F133" s="43">
        <f t="shared" si="27"/>
        <v>5.9458872034540228E-2</v>
      </c>
      <c r="G133" s="155">
        <f t="shared" si="28"/>
        <v>5.9170135104375042E-2</v>
      </c>
      <c r="H133" s="170">
        <f t="shared" si="29"/>
        <v>8.7392432499984657E-2</v>
      </c>
      <c r="I133" s="179">
        <f t="shared" si="30"/>
        <v>5.9458872034540228E-2</v>
      </c>
      <c r="J133" s="145">
        <f>IF(INVOER!$S$36=1,100-H133*100,100-I133*100)</f>
        <v>94.054112796545979</v>
      </c>
      <c r="K133" s="43">
        <f t="shared" si="33"/>
        <v>0</v>
      </c>
      <c r="L133" s="6">
        <f t="shared" si="34"/>
        <v>10</v>
      </c>
      <c r="M133" s="6">
        <f t="shared" si="35"/>
        <v>15</v>
      </c>
      <c r="N133" s="6">
        <f t="shared" si="36"/>
        <v>0.99199999999999999</v>
      </c>
      <c r="O133" s="6">
        <f t="shared" si="37"/>
        <v>0.85199999999999998</v>
      </c>
      <c r="P133" s="366">
        <f t="shared" si="31"/>
        <v>7.3810864638246141</v>
      </c>
      <c r="Q133" s="6">
        <f t="shared" si="32"/>
        <v>19.224549927406461</v>
      </c>
      <c r="R133" s="6">
        <f t="shared" si="11"/>
        <v>0.99633553034171296</v>
      </c>
      <c r="S133" s="6">
        <f t="shared" si="20"/>
        <v>99.6335530341713</v>
      </c>
      <c r="T133" s="357">
        <f t="shared" si="14"/>
        <v>0.10580972306769576</v>
      </c>
      <c r="U133" s="358">
        <f>'Berekening trap 1'!H133*$T133</f>
        <v>9.2469690810356719E-3</v>
      </c>
      <c r="V133" s="359">
        <f>'Berekening trap 1'!I133*$T133</f>
        <v>6.2913267838922617E-3</v>
      </c>
      <c r="Y133" s="43">
        <f t="shared" si="15"/>
        <v>57</v>
      </c>
      <c r="Z133" s="6" t="str">
        <f>IF(INVOER!A92=0,"x",INVOER!A92)</f>
        <v>x</v>
      </c>
      <c r="AA133" s="6">
        <f>IF(INVOER!B$36&gt;INVOER!B$37,INVOER!B92,100-INVOER!B92)</f>
        <v>0</v>
      </c>
      <c r="AB133" s="6">
        <f t="shared" si="16"/>
        <v>57</v>
      </c>
      <c r="AC133" s="6">
        <f t="shared" si="12"/>
        <v>0</v>
      </c>
      <c r="AD133" s="44">
        <f>IF(INVOER!A92=0,10000,INVOER!A92)</f>
        <v>10000</v>
      </c>
    </row>
    <row r="134" spans="1:30" x14ac:dyDescent="0.2">
      <c r="A134" s="43">
        <f>A133*'Berekening trap 1'!H$58</f>
        <v>9.419155608897352</v>
      </c>
      <c r="B134" s="6">
        <f t="shared" si="25"/>
        <v>9.2063713680876162</v>
      </c>
      <c r="C134" s="168">
        <f t="shared" si="17"/>
        <v>7.3560225657924825</v>
      </c>
      <c r="D134" s="200">
        <f t="shared" si="24"/>
        <v>7.9774962463579194E-2</v>
      </c>
      <c r="E134" s="197">
        <f t="shared" si="26"/>
        <v>8.0334297287257286E-2</v>
      </c>
      <c r="F134" s="43">
        <f t="shared" si="27"/>
        <v>5.3499673439756576E-2</v>
      </c>
      <c r="G134" s="155">
        <f t="shared" si="28"/>
        <v>5.393429225714972E-2</v>
      </c>
      <c r="H134" s="170">
        <f t="shared" si="29"/>
        <v>7.9774962463579194E-2</v>
      </c>
      <c r="I134" s="179">
        <f t="shared" si="30"/>
        <v>5.3499673439756576E-2</v>
      </c>
      <c r="J134" s="145">
        <f>IF(INVOER!$S$36=1,100-H134*100,100-I134*100)</f>
        <v>94.650032656024337</v>
      </c>
      <c r="K134" s="43">
        <f t="shared" si="33"/>
        <v>0</v>
      </c>
      <c r="L134" s="6">
        <f t="shared" si="34"/>
        <v>10</v>
      </c>
      <c r="M134" s="6">
        <f t="shared" si="35"/>
        <v>15</v>
      </c>
      <c r="N134" s="6">
        <f t="shared" si="36"/>
        <v>0.99199999999999999</v>
      </c>
      <c r="O134" s="6">
        <f t="shared" si="37"/>
        <v>0.85199999999999998</v>
      </c>
      <c r="P134" s="366">
        <f t="shared" si="31"/>
        <v>7.3810864638246141</v>
      </c>
      <c r="Q134" s="6">
        <f t="shared" si="32"/>
        <v>19.224549927406461</v>
      </c>
      <c r="R134" s="6">
        <f t="shared" si="11"/>
        <v>0.99484899271027871</v>
      </c>
      <c r="S134" s="6">
        <f t="shared" si="20"/>
        <v>99.484899271027871</v>
      </c>
      <c r="T134" s="357">
        <f t="shared" si="14"/>
        <v>0.14865376314342482</v>
      </c>
      <c r="U134" s="358">
        <f>'Berekening trap 1'!H134*$T134</f>
        <v>1.1858848374836507E-2</v>
      </c>
      <c r="V134" s="359">
        <f>'Berekening trap 1'!I134*$T134</f>
        <v>7.9529277837641493E-3</v>
      </c>
      <c r="Y134" s="43">
        <f t="shared" si="15"/>
        <v>58</v>
      </c>
      <c r="Z134" s="6" t="str">
        <f>IF(INVOER!A93=0,"x",INVOER!A93)</f>
        <v>x</v>
      </c>
      <c r="AA134" s="6">
        <f>IF(INVOER!B$36&gt;INVOER!B$37,INVOER!B93,100-INVOER!B93)</f>
        <v>0</v>
      </c>
      <c r="AB134" s="6">
        <f t="shared" si="16"/>
        <v>58</v>
      </c>
      <c r="AC134" s="6">
        <f t="shared" si="12"/>
        <v>0</v>
      </c>
      <c r="AD134" s="44">
        <f>IF(INVOER!A93=0,10000,INVOER!A93)</f>
        <v>10000</v>
      </c>
    </row>
    <row r="135" spans="1:30" x14ac:dyDescent="0.2">
      <c r="A135" s="43">
        <f>A134*'Berekening trap 1'!H$58</f>
        <v>9.8648616096162467</v>
      </c>
      <c r="B135" s="6">
        <f t="shared" si="25"/>
        <v>9.6420086092567985</v>
      </c>
      <c r="C135" s="168">
        <f t="shared" si="17"/>
        <v>7.7041029601645983</v>
      </c>
      <c r="D135" s="200">
        <f t="shared" si="24"/>
        <v>7.2597946431080196E-2</v>
      </c>
      <c r="E135" s="197">
        <f t="shared" si="26"/>
        <v>7.3959028412802136E-2</v>
      </c>
      <c r="F135" s="43">
        <f t="shared" si="27"/>
        <v>4.7966672471633935E-2</v>
      </c>
      <c r="G135" s="155">
        <f t="shared" si="28"/>
        <v>4.9009592724656444E-2</v>
      </c>
      <c r="H135" s="170">
        <f t="shared" si="29"/>
        <v>7.2597946431080196E-2</v>
      </c>
      <c r="I135" s="179">
        <f t="shared" si="30"/>
        <v>4.7966672471633935E-2</v>
      </c>
      <c r="J135" s="145">
        <f>IF(INVOER!$S$36=1,100-H135*100,100-I135*100)</f>
        <v>95.203332752836602</v>
      </c>
      <c r="K135" s="43">
        <f t="shared" si="33"/>
        <v>0</v>
      </c>
      <c r="L135" s="6">
        <f t="shared" si="34"/>
        <v>10</v>
      </c>
      <c r="M135" s="6">
        <f t="shared" si="35"/>
        <v>15</v>
      </c>
      <c r="N135" s="6">
        <f t="shared" si="36"/>
        <v>0.99199999999999999</v>
      </c>
      <c r="O135" s="6">
        <f t="shared" si="37"/>
        <v>0.85199999999999998</v>
      </c>
      <c r="P135" s="366">
        <f t="shared" si="31"/>
        <v>7.3810864638246141</v>
      </c>
      <c r="Q135" s="6">
        <f t="shared" si="32"/>
        <v>19.224549927406461</v>
      </c>
      <c r="R135" s="6">
        <f t="shared" si="11"/>
        <v>0.99276161688463405</v>
      </c>
      <c r="S135" s="6">
        <f t="shared" si="20"/>
        <v>99.276161688463404</v>
      </c>
      <c r="T135" s="357">
        <f t="shared" si="14"/>
        <v>0.20873758256446662</v>
      </c>
      <c r="U135" s="358">
        <f>'Berekening trap 1'!H135*$T135</f>
        <v>1.5153919837168328E-2</v>
      </c>
      <c r="V135" s="359">
        <f>'Berekening trap 1'!I135*$T135</f>
        <v>1.0012447255390416E-2</v>
      </c>
      <c r="Y135" s="43">
        <f t="shared" si="15"/>
        <v>59</v>
      </c>
      <c r="Z135" s="6" t="str">
        <f>IF(INVOER!A94=0,"x",INVOER!A94)</f>
        <v>x</v>
      </c>
      <c r="AA135" s="6">
        <f>IF(INVOER!B$36&gt;INVOER!B$37,INVOER!B94,100-INVOER!B94)</f>
        <v>0</v>
      </c>
      <c r="AB135" s="6">
        <f t="shared" si="16"/>
        <v>59</v>
      </c>
      <c r="AC135" s="6">
        <f t="shared" si="12"/>
        <v>0</v>
      </c>
      <c r="AD135" s="44">
        <f>IF(INVOER!A94=0,10000,INVOER!A94)</f>
        <v>10000</v>
      </c>
    </row>
    <row r="136" spans="1:30" x14ac:dyDescent="0.2">
      <c r="A136" s="45">
        <f>A135*'Berekening trap 1'!H$58</f>
        <v>10.331658018788442</v>
      </c>
      <c r="B136" s="46">
        <f t="shared" si="25"/>
        <v>10.098259814202343</v>
      </c>
      <c r="C136" s="182">
        <f t="shared" si="17"/>
        <v>8.068654206802675</v>
      </c>
      <c r="D136" s="201">
        <f t="shared" si="24"/>
        <v>6.5856722403992096E-2</v>
      </c>
      <c r="E136" s="167">
        <f t="shared" si="26"/>
        <v>6.7901630439402838E-2</v>
      </c>
      <c r="F136" s="45">
        <f t="shared" si="27"/>
        <v>4.2847722260679885E-2</v>
      </c>
      <c r="G136" s="183">
        <f t="shared" si="28"/>
        <v>4.4392153153955505E-2</v>
      </c>
      <c r="H136" s="171">
        <f t="shared" si="29"/>
        <v>6.7901630439402838E-2</v>
      </c>
      <c r="I136" s="235">
        <f t="shared" si="30"/>
        <v>4.4392153153955505E-2</v>
      </c>
      <c r="J136" s="145">
        <f>IF(INVOER!$S$36=1,100-H136*100,100-I136*100)</f>
        <v>95.560784684604442</v>
      </c>
      <c r="K136" s="43">
        <f t="shared" si="33"/>
        <v>1</v>
      </c>
      <c r="L136" s="6">
        <f t="shared" si="34"/>
        <v>10</v>
      </c>
      <c r="M136" s="6">
        <f t="shared" si="35"/>
        <v>15</v>
      </c>
      <c r="N136" s="6">
        <f t="shared" si="36"/>
        <v>0.99199999999999999</v>
      </c>
      <c r="O136" s="6">
        <f t="shared" si="37"/>
        <v>0.85199999999999998</v>
      </c>
      <c r="P136" s="366">
        <f t="shared" si="31"/>
        <v>7.3810864638246141</v>
      </c>
      <c r="Q136" s="6">
        <f t="shared" si="32"/>
        <v>19.224549927406461</v>
      </c>
      <c r="R136" s="6">
        <f t="shared" si="11"/>
        <v>0.98983269314064293</v>
      </c>
      <c r="S136" s="6">
        <f t="shared" si="20"/>
        <v>98.983269314064287</v>
      </c>
      <c r="T136" s="357">
        <f t="shared" si="14"/>
        <v>0.29289237439911187</v>
      </c>
      <c r="U136" s="361">
        <f>'Berekening trap 1'!H136*$T136</f>
        <v>1.9887869764967706E-2</v>
      </c>
      <c r="V136" s="362">
        <f>'Berekening trap 1'!I136*$T136</f>
        <v>1.3002123141951051E-2</v>
      </c>
      <c r="Y136" s="43">
        <f t="shared" si="15"/>
        <v>60</v>
      </c>
      <c r="Z136" s="6" t="str">
        <f>IF(INVOER!A95=0,"x",INVOER!A95)</f>
        <v>x</v>
      </c>
      <c r="AA136" s="6">
        <f>IF(INVOER!B$36&gt;INVOER!B$37,INVOER!B95,100-INVOER!B95)</f>
        <v>0</v>
      </c>
      <c r="AB136" s="6">
        <f t="shared" si="16"/>
        <v>60</v>
      </c>
      <c r="AC136" s="6">
        <f t="shared" si="12"/>
        <v>0</v>
      </c>
      <c r="AD136" s="44">
        <f>IF(INVOER!A95=0,10000,INVOER!A95)</f>
        <v>10000</v>
      </c>
    </row>
    <row r="137" spans="1:30" x14ac:dyDescent="0.2">
      <c r="A137" s="43">
        <f>A136*'Berekening trap 1'!H$58</f>
        <v>10.82054281563793</v>
      </c>
      <c r="B137" s="6">
        <f t="shared" si="25"/>
        <v>10.576100417213187</v>
      </c>
      <c r="C137" s="168">
        <f t="shared" si="17"/>
        <v>8.4504556916725821</v>
      </c>
      <c r="D137" s="200">
        <f t="shared" si="24"/>
        <v>5.9545018290858426E-2</v>
      </c>
      <c r="E137" s="197">
        <f t="shared" si="26"/>
        <v>6.2162453668507325E-2</v>
      </c>
      <c r="F137" s="43">
        <f t="shared" si="27"/>
        <v>3.8129350429947001E-2</v>
      </c>
      <c r="G137" s="155">
        <f t="shared" si="28"/>
        <v>4.0076904370516496E-2</v>
      </c>
      <c r="H137" s="170">
        <f t="shared" si="29"/>
        <v>6.2162453668507325E-2</v>
      </c>
      <c r="I137" s="179">
        <f t="shared" si="30"/>
        <v>4.0076904370516496E-2</v>
      </c>
      <c r="J137" s="147">
        <f>IF(INVOER!$S$36=1,100-H137*100,100-I137*100)</f>
        <v>95.99230956294835</v>
      </c>
      <c r="K137" s="41">
        <f t="shared" si="33"/>
        <v>1</v>
      </c>
      <c r="L137" s="5">
        <f t="shared" si="34"/>
        <v>10</v>
      </c>
      <c r="M137" s="5">
        <f t="shared" si="35"/>
        <v>15</v>
      </c>
      <c r="N137" s="5">
        <f t="shared" si="36"/>
        <v>0.99199999999999999</v>
      </c>
      <c r="O137" s="5">
        <f t="shared" si="37"/>
        <v>0.85199999999999998</v>
      </c>
      <c r="P137" s="365">
        <f t="shared" si="31"/>
        <v>7.3810864638246141</v>
      </c>
      <c r="Q137" s="5">
        <f t="shared" si="32"/>
        <v>19.224549927406461</v>
      </c>
      <c r="R137" s="5">
        <f t="shared" si="11"/>
        <v>0.98572716422436413</v>
      </c>
      <c r="S137" s="5">
        <f t="shared" si="20"/>
        <v>98.572716422436415</v>
      </c>
      <c r="T137" s="363">
        <f t="shared" si="14"/>
        <v>0.41055289162788</v>
      </c>
      <c r="U137" s="358">
        <f>'Berekening trap 1'!H137*$T137</f>
        <v>2.55209751042898E-2</v>
      </c>
      <c r="V137" s="359">
        <f>'Berekening trap 1'!I137*$T137</f>
        <v>1.6453688976809568E-2</v>
      </c>
      <c r="Y137" s="43">
        <f t="shared" si="15"/>
        <v>61</v>
      </c>
      <c r="Z137" s="6" t="str">
        <f>IF(INVOER!A96=0,"x",INVOER!A96)</f>
        <v>x</v>
      </c>
      <c r="AA137" s="6">
        <f>IF(INVOER!B$36&gt;INVOER!B$37,INVOER!B96,100-INVOER!B96)</f>
        <v>0</v>
      </c>
      <c r="AB137" s="6">
        <f t="shared" si="16"/>
        <v>61</v>
      </c>
      <c r="AC137" s="6">
        <f t="shared" si="12"/>
        <v>0</v>
      </c>
      <c r="AD137" s="44">
        <f>IF(INVOER!A96=0,10000,INVOER!A96)</f>
        <v>10000</v>
      </c>
    </row>
    <row r="138" spans="1:30" x14ac:dyDescent="0.2">
      <c r="A138" s="43">
        <f>A137*'Berekening trap 1'!H$58</f>
        <v>11.332561202871064</v>
      </c>
      <c r="B138" s="6">
        <f t="shared" si="25"/>
        <v>11.076552009254497</v>
      </c>
      <c r="C138" s="168">
        <f t="shared" si="17"/>
        <v>8.8503236805854986</v>
      </c>
      <c r="D138" s="200">
        <f t="shared" si="24"/>
        <v>5.3654991081616671E-2</v>
      </c>
      <c r="E138" s="197">
        <f t="shared" si="26"/>
        <v>5.6740589270077094E-2</v>
      </c>
      <c r="F138" s="43">
        <f t="shared" si="27"/>
        <v>3.3796870989081358E-2</v>
      </c>
      <c r="G138" s="155">
        <f t="shared" si="28"/>
        <v>3.6057637277619875E-2</v>
      </c>
      <c r="H138" s="170">
        <f t="shared" si="29"/>
        <v>5.6740589270077094E-2</v>
      </c>
      <c r="I138" s="179">
        <f t="shared" si="30"/>
        <v>3.6057637277619875E-2</v>
      </c>
      <c r="J138" s="145">
        <f>IF(INVOER!$S$36=1,100-H138*100,100-I138*100)</f>
        <v>96.394236272238018</v>
      </c>
      <c r="K138" s="43">
        <f t="shared" si="33"/>
        <v>1</v>
      </c>
      <c r="L138" s="6">
        <f t="shared" si="34"/>
        <v>10</v>
      </c>
      <c r="M138" s="6">
        <f t="shared" si="35"/>
        <v>15</v>
      </c>
      <c r="N138" s="6">
        <f t="shared" si="36"/>
        <v>0.99199999999999999</v>
      </c>
      <c r="O138" s="6">
        <f t="shared" si="37"/>
        <v>0.85199999999999998</v>
      </c>
      <c r="P138" s="366">
        <f t="shared" si="31"/>
        <v>7.3810864638246141</v>
      </c>
      <c r="Q138" s="6">
        <f t="shared" si="32"/>
        <v>19.224549927406461</v>
      </c>
      <c r="R138" s="6">
        <f t="shared" si="11"/>
        <v>0.97998067888114093</v>
      </c>
      <c r="S138" s="6">
        <f t="shared" si="20"/>
        <v>97.998067888114093</v>
      </c>
      <c r="T138" s="357">
        <f t="shared" si="14"/>
        <v>0.57464853432231955</v>
      </c>
      <c r="U138" s="358">
        <f>'Berekening trap 1'!H138*$T138</f>
        <v>3.2605896460634533E-2</v>
      </c>
      <c r="V138" s="359">
        <f>'Berekening trap 1'!I138*$T138</f>
        <v>2.0720468412710094E-2</v>
      </c>
      <c r="Y138" s="43">
        <f t="shared" si="15"/>
        <v>62</v>
      </c>
      <c r="Z138" s="6" t="str">
        <f>IF(INVOER!A97=0,"x",INVOER!A97)</f>
        <v>x</v>
      </c>
      <c r="AA138" s="6">
        <f>IF(INVOER!B$36&gt;INVOER!B$37,INVOER!B97,100-INVOER!B97)</f>
        <v>0</v>
      </c>
      <c r="AB138" s="6">
        <f t="shared" si="16"/>
        <v>62</v>
      </c>
      <c r="AC138" s="6">
        <f t="shared" si="12"/>
        <v>0</v>
      </c>
      <c r="AD138" s="44">
        <f>IF(INVOER!A97=0,10000,INVOER!A97)</f>
        <v>10000</v>
      </c>
    </row>
    <row r="139" spans="1:30" x14ac:dyDescent="0.2">
      <c r="A139" s="43">
        <f>A138*'Berekening trap 1'!H$58</f>
        <v>11.868807841249414</v>
      </c>
      <c r="B139" s="6">
        <f t="shared" ref="B139:B174" si="38">(A138+A139)/2</f>
        <v>11.600684522060238</v>
      </c>
      <c r="C139" s="168">
        <f t="shared" si="17"/>
        <v>9.2691130643191499</v>
      </c>
      <c r="D139" s="200">
        <f t="shared" si="24"/>
        <v>4.817728275654435E-2</v>
      </c>
      <c r="E139" s="197">
        <f t="shared" ref="E139:E175" si="39">IF(C139-$K$36&gt;0,EXP(-(((C139-$K$36)/$K$38)^$K$40)),1)</f>
        <v>5.1633874868532159E-2</v>
      </c>
      <c r="F139" s="43">
        <f t="shared" ref="F139:F175" si="40">D139^($B$54*$B$63)</f>
        <v>2.9834509989223833E-2</v>
      </c>
      <c r="G139" s="155">
        <f t="shared" ref="G139:G175" si="41">E139^($B$54*$B$63)</f>
        <v>3.2327060220439477E-2</v>
      </c>
      <c r="H139" s="170">
        <f t="shared" ref="H139:H175" si="42">IF(C139&lt;$K$41,D139,E139)</f>
        <v>5.1633874868532159E-2</v>
      </c>
      <c r="I139" s="179">
        <f t="shared" ref="I139:I175" si="43">IF(C139&lt;$K$41,F139,G139)</f>
        <v>3.2327060220439477E-2</v>
      </c>
      <c r="J139" s="145">
        <f>IF(INVOER!$S$36=1,100-H139*100,100-I139*100)</f>
        <v>96.767293977956058</v>
      </c>
      <c r="K139" s="43">
        <f t="shared" si="33"/>
        <v>1</v>
      </c>
      <c r="L139" s="6">
        <f t="shared" si="34"/>
        <v>10</v>
      </c>
      <c r="M139" s="6">
        <f t="shared" si="35"/>
        <v>15</v>
      </c>
      <c r="N139" s="6">
        <f t="shared" si="36"/>
        <v>0.99199999999999999</v>
      </c>
      <c r="O139" s="6">
        <f t="shared" si="37"/>
        <v>0.85199999999999998</v>
      </c>
      <c r="P139" s="366">
        <f t="shared" ref="P139:P175" si="44">(LN(LN(N139)/LN(O139)))/LN(L139/M139)</f>
        <v>7.3810864638246141</v>
      </c>
      <c r="Q139" s="6">
        <f t="shared" ref="Q139:Q175" si="45">L139/((-LN(N139))^(1/P139))</f>
        <v>19.224549927406461</v>
      </c>
      <c r="R139" s="6">
        <f t="shared" si="11"/>
        <v>0.97195369563490897</v>
      </c>
      <c r="S139" s="6">
        <f t="shared" si="20"/>
        <v>97.1953695634909</v>
      </c>
      <c r="T139" s="357">
        <f t="shared" si="14"/>
        <v>0.80269832462319668</v>
      </c>
      <c r="U139" s="358">
        <f>'Berekening trap 1'!H139*$T139</f>
        <v>4.1446424850774544E-2</v>
      </c>
      <c r="V139" s="359">
        <f>'Berekening trap 1'!I139*$T139</f>
        <v>2.5948877078939954E-2</v>
      </c>
      <c r="Y139" s="43">
        <f t="shared" si="15"/>
        <v>63</v>
      </c>
      <c r="Z139" s="6" t="str">
        <f>IF(INVOER!A98=0,"x",INVOER!A98)</f>
        <v>x</v>
      </c>
      <c r="AA139" s="6">
        <f>IF(INVOER!B$36&gt;INVOER!B$37,INVOER!B98,100-INVOER!B98)</f>
        <v>0</v>
      </c>
      <c r="AB139" s="6">
        <f t="shared" si="16"/>
        <v>63</v>
      </c>
      <c r="AC139" s="6">
        <f t="shared" si="12"/>
        <v>0</v>
      </c>
      <c r="AD139" s="44">
        <f>IF(INVOER!A98=0,10000,INVOER!A98)</f>
        <v>10000</v>
      </c>
    </row>
    <row r="140" spans="1:30" x14ac:dyDescent="0.2">
      <c r="A140" s="43">
        <f>A139*'Berekening trap 1'!H$58</f>
        <v>12.430429189900602</v>
      </c>
      <c r="B140" s="6">
        <f t="shared" si="38"/>
        <v>12.149618515575007</v>
      </c>
      <c r="C140" s="168">
        <f t="shared" si="17"/>
        <v>9.707719186316595</v>
      </c>
      <c r="D140" s="200">
        <f t="shared" si="24"/>
        <v>4.310109270545609E-2</v>
      </c>
      <c r="E140" s="197">
        <f t="shared" si="39"/>
        <v>4.6838911742476376E-2</v>
      </c>
      <c r="F140" s="43">
        <f t="shared" si="40"/>
        <v>2.6225543346488026E-2</v>
      </c>
      <c r="G140" s="155">
        <f t="shared" si="41"/>
        <v>2.8876867347105546E-2</v>
      </c>
      <c r="H140" s="170">
        <f t="shared" si="42"/>
        <v>4.6838911742476376E-2</v>
      </c>
      <c r="I140" s="179">
        <f t="shared" si="43"/>
        <v>2.8876867347105546E-2</v>
      </c>
      <c r="J140" s="145">
        <f>IF(INVOER!$S$36=1,100-H140*100,100-I140*100)</f>
        <v>97.112313265289444</v>
      </c>
      <c r="K140" s="43">
        <f t="shared" ref="K140:K171" si="46">VLOOKUP(A140,Z$76:AB$146,3)</f>
        <v>1</v>
      </c>
      <c r="L140" s="6">
        <f t="shared" ref="L140:L171" si="47">IF(K140=0,VLOOKUP(1,Y$77:AA$146,2),VLOOKUP(K140,Y$76:Z$145,2))</f>
        <v>10</v>
      </c>
      <c r="M140" s="6">
        <f t="shared" ref="M140:M171" si="48">IF(K140=0,VLOOKUP(2,Y$77:AA$145,2),VLOOKUP(K140+1,Y$77:Z$145,2))</f>
        <v>15</v>
      </c>
      <c r="N140" s="6">
        <f t="shared" ref="N140:N171" si="49">(VLOOKUP(L140,Z$76:AA$146,2))/100</f>
        <v>0.99199999999999999</v>
      </c>
      <c r="O140" s="6">
        <f t="shared" ref="O140:O171" si="50">(VLOOKUP(M140,Z$76:AA$145,2))/100</f>
        <v>0.85199999999999998</v>
      </c>
      <c r="P140" s="366">
        <f t="shared" si="44"/>
        <v>7.3810864638246141</v>
      </c>
      <c r="Q140" s="6">
        <f t="shared" si="45"/>
        <v>19.224549927406461</v>
      </c>
      <c r="R140" s="6">
        <f t="shared" ref="R140:R181" si="51">IF(M140="x",0,EXP(-((A140/Q140)^P140)))</f>
        <v>0.960773220369042</v>
      </c>
      <c r="S140" s="6">
        <f t="shared" si="20"/>
        <v>96.077322036904206</v>
      </c>
      <c r="T140" s="357">
        <f t="shared" si="14"/>
        <v>1.1180475265866963</v>
      </c>
      <c r="U140" s="358">
        <f>'Berekening trap 1'!H140*$T140</f>
        <v>5.2368129421688274E-2</v>
      </c>
      <c r="V140" s="359">
        <f>'Berekening trap 1'!I140*$T140</f>
        <v>3.2285710113003491E-2</v>
      </c>
      <c r="Y140" s="43">
        <f t="shared" si="15"/>
        <v>64</v>
      </c>
      <c r="Z140" s="6" t="str">
        <f>IF(INVOER!A99=0,"x",INVOER!A99)</f>
        <v>x</v>
      </c>
      <c r="AA140" s="6">
        <f>IF(INVOER!B$36&gt;INVOER!B$37,INVOER!B99,100-INVOER!B99)</f>
        <v>0</v>
      </c>
      <c r="AB140" s="6">
        <f t="shared" si="16"/>
        <v>64</v>
      </c>
      <c r="AC140" s="6">
        <f t="shared" si="12"/>
        <v>0</v>
      </c>
      <c r="AD140" s="44">
        <f>IF(INVOER!A99=0,10000,INVOER!A99)</f>
        <v>10000</v>
      </c>
    </row>
    <row r="141" spans="1:30" x14ac:dyDescent="0.2">
      <c r="A141" s="45">
        <f>A140*'Berekening trap 1'!H$58</f>
        <v>13.018625957370567</v>
      </c>
      <c r="B141" s="46">
        <f t="shared" si="38"/>
        <v>12.724527573635584</v>
      </c>
      <c r="C141" s="182">
        <f t="shared" ref="C141:C185" si="52">B141/$B$51</f>
        <v>10.167079756870093</v>
      </c>
      <c r="D141" s="201">
        <f t="shared" si="24"/>
        <v>3.841426613689132E-2</v>
      </c>
      <c r="E141" s="167">
        <f t="shared" si="39"/>
        <v>4.2351093830712401E-2</v>
      </c>
      <c r="F141" s="45">
        <f t="shared" si="40"/>
        <v>2.2952444958834858E-2</v>
      </c>
      <c r="G141" s="183">
        <f t="shared" si="41"/>
        <v>2.5697817294015001E-2</v>
      </c>
      <c r="H141" s="171">
        <f t="shared" si="42"/>
        <v>4.2351093830712401E-2</v>
      </c>
      <c r="I141" s="235">
        <f t="shared" si="43"/>
        <v>2.5697817294015001E-2</v>
      </c>
      <c r="J141" s="238">
        <f>IF(INVOER!$S$36=1,100-H141*100,100-I141*100)</f>
        <v>97.430218270598502</v>
      </c>
      <c r="K141" s="43">
        <f t="shared" si="46"/>
        <v>1</v>
      </c>
      <c r="L141" s="6">
        <f t="shared" si="47"/>
        <v>10</v>
      </c>
      <c r="M141" s="6">
        <f t="shared" si="48"/>
        <v>15</v>
      </c>
      <c r="N141" s="6">
        <f t="shared" si="49"/>
        <v>0.99199999999999999</v>
      </c>
      <c r="O141" s="6">
        <f t="shared" si="50"/>
        <v>0.85199999999999998</v>
      </c>
      <c r="P141" s="366">
        <f t="shared" si="44"/>
        <v>7.3810864638246141</v>
      </c>
      <c r="Q141" s="6">
        <f t="shared" si="45"/>
        <v>19.224549927406461</v>
      </c>
      <c r="R141" s="6">
        <f t="shared" si="51"/>
        <v>0.94526288551387283</v>
      </c>
      <c r="S141" s="6">
        <f t="shared" ref="S141:S185" si="53">R141*100</f>
        <v>94.526288551387282</v>
      </c>
      <c r="T141" s="357">
        <f t="shared" ref="T141:T180" si="54">IF(M141="x",0,(R140-R141)*100)</f>
        <v>1.5510334855169172</v>
      </c>
      <c r="U141" s="361">
        <f>'Berekening trap 1'!H141*$T141</f>
        <v>6.5687964679703864E-2</v>
      </c>
      <c r="V141" s="362">
        <f>'Berekening trap 1'!I141*$T141</f>
        <v>3.9858175127713003E-2</v>
      </c>
      <c r="Y141" s="43">
        <f t="shared" si="15"/>
        <v>65</v>
      </c>
      <c r="Z141" s="6" t="str">
        <f>IF(INVOER!A100=0,"x",INVOER!A100)</f>
        <v>x</v>
      </c>
      <c r="AA141" s="6">
        <f>IF(INVOER!B$36&gt;INVOER!B$37,INVOER!B100,100-INVOER!B100)</f>
        <v>0</v>
      </c>
      <c r="AB141" s="6">
        <f t="shared" si="16"/>
        <v>65</v>
      </c>
      <c r="AC141" s="6">
        <f t="shared" ref="AC141:AC146" si="55">AA141/100</f>
        <v>0</v>
      </c>
      <c r="AD141" s="44">
        <f>IF(INVOER!A100=0,10000,INVOER!A100)</f>
        <v>10000</v>
      </c>
    </row>
    <row r="142" spans="1:30" x14ac:dyDescent="0.2">
      <c r="A142" s="43">
        <f>A141*'Berekening trap 1'!H$58</f>
        <v>13.634655668657405</v>
      </c>
      <c r="B142" s="6">
        <f t="shared" si="38"/>
        <v>13.326640813013986</v>
      </c>
      <c r="C142" s="168">
        <f t="shared" si="52"/>
        <v>10.648176857882429</v>
      </c>
      <c r="D142" s="200">
        <f t="shared" si="24"/>
        <v>3.4103397651480183E-2</v>
      </c>
      <c r="E142" s="197">
        <f t="shared" si="39"/>
        <v>3.8164648559203498E-2</v>
      </c>
      <c r="F142" s="43">
        <f t="shared" si="40"/>
        <v>1.9997042986029809E-2</v>
      </c>
      <c r="G142" s="155">
        <f t="shared" si="41"/>
        <v>2.2779821319586214E-2</v>
      </c>
      <c r="H142" s="170">
        <f t="shared" si="42"/>
        <v>3.8164648559203498E-2</v>
      </c>
      <c r="I142" s="179">
        <f t="shared" si="43"/>
        <v>2.2779821319586214E-2</v>
      </c>
      <c r="J142" s="145">
        <f>IF(INVOER!$S$36=1,100-H142*100,100-I142*100)</f>
        <v>97.722017868041377</v>
      </c>
      <c r="K142" s="41">
        <f t="shared" si="46"/>
        <v>1</v>
      </c>
      <c r="L142" s="5">
        <f t="shared" si="47"/>
        <v>10</v>
      </c>
      <c r="M142" s="5">
        <f t="shared" si="48"/>
        <v>15</v>
      </c>
      <c r="N142" s="5">
        <f t="shared" si="49"/>
        <v>0.99199999999999999</v>
      </c>
      <c r="O142" s="5">
        <f t="shared" si="50"/>
        <v>0.85199999999999998</v>
      </c>
      <c r="P142" s="365">
        <f t="shared" si="44"/>
        <v>7.3810864638246141</v>
      </c>
      <c r="Q142" s="5">
        <f t="shared" si="45"/>
        <v>19.224549927406461</v>
      </c>
      <c r="R142" s="5">
        <f t="shared" si="51"/>
        <v>0.92386724811750065</v>
      </c>
      <c r="S142" s="5">
        <f t="shared" si="53"/>
        <v>92.386724811750071</v>
      </c>
      <c r="T142" s="363">
        <f t="shared" si="54"/>
        <v>2.139563739637218</v>
      </c>
      <c r="U142" s="358">
        <f>'Berekening trap 1'!H142*$T142</f>
        <v>8.1655698193269607E-2</v>
      </c>
      <c r="V142" s="359">
        <f>'Berekening trap 1'!I142*$T142</f>
        <v>4.8738879690801505E-2</v>
      </c>
      <c r="Y142" s="43">
        <f>Y141+1</f>
        <v>66</v>
      </c>
      <c r="Z142" s="6" t="str">
        <f>IF(INVOER!A101=0,"x",INVOER!A101)</f>
        <v>x</v>
      </c>
      <c r="AA142" s="6">
        <f>IF(INVOER!B$36&gt;INVOER!B$37,INVOER!B101,100-INVOER!B101)</f>
        <v>0</v>
      </c>
      <c r="AB142" s="6">
        <f>IF(Z142=0,AB141,Y142)</f>
        <v>66</v>
      </c>
      <c r="AC142" s="6">
        <f t="shared" si="55"/>
        <v>0</v>
      </c>
      <c r="AD142" s="44">
        <f>IF(INVOER!A101=0,10000,INVOER!A101)</f>
        <v>10000</v>
      </c>
    </row>
    <row r="143" spans="1:30" x14ac:dyDescent="0.2">
      <c r="A143" s="43">
        <f>A142*'Berekening trap 1'!H$58</f>
        <v>14.279835353714962</v>
      </c>
      <c r="B143" s="6">
        <f t="shared" si="38"/>
        <v>13.957245511186184</v>
      </c>
      <c r="C143" s="168">
        <f t="shared" si="52"/>
        <v>11.152039042491763</v>
      </c>
      <c r="D143" s="200">
        <f t="shared" si="24"/>
        <v>3.0153948845794386E-2</v>
      </c>
      <c r="E143" s="197">
        <f t="shared" si="39"/>
        <v>3.4272689313111795E-2</v>
      </c>
      <c r="F143" s="43">
        <f t="shared" si="40"/>
        <v>1.7340681944325708E-2</v>
      </c>
      <c r="G143" s="155">
        <f t="shared" si="41"/>
        <v>2.0112039814862582E-2</v>
      </c>
      <c r="H143" s="170">
        <f t="shared" si="42"/>
        <v>3.4272689313111795E-2</v>
      </c>
      <c r="I143" s="179">
        <f t="shared" si="43"/>
        <v>2.0112039814862582E-2</v>
      </c>
      <c r="J143" s="145">
        <f>IF(INVOER!$S$36=1,100-H143*100,100-I143*100)</f>
        <v>97.988796018513739</v>
      </c>
      <c r="K143" s="43">
        <f t="shared" si="46"/>
        <v>1</v>
      </c>
      <c r="L143" s="6">
        <f t="shared" si="47"/>
        <v>10</v>
      </c>
      <c r="M143" s="6">
        <f t="shared" si="48"/>
        <v>15</v>
      </c>
      <c r="N143" s="6">
        <f t="shared" si="49"/>
        <v>0.99199999999999999</v>
      </c>
      <c r="O143" s="6">
        <f t="shared" si="50"/>
        <v>0.85199999999999998</v>
      </c>
      <c r="P143" s="366">
        <f t="shared" si="44"/>
        <v>7.3810864638246141</v>
      </c>
      <c r="Q143" s="6">
        <f t="shared" si="45"/>
        <v>19.224549927406461</v>
      </c>
      <c r="R143" s="6">
        <f t="shared" si="51"/>
        <v>0.89458701516349137</v>
      </c>
      <c r="S143" s="6">
        <f t="shared" si="53"/>
        <v>89.458701516349137</v>
      </c>
      <c r="T143" s="357">
        <f t="shared" si="54"/>
        <v>2.9280232954009278</v>
      </c>
      <c r="U143" s="358">
        <f>'Berekening trap 1'!H143*$T143</f>
        <v>0.10035123270482976</v>
      </c>
      <c r="V143" s="359">
        <f>'Berekening trap 1'!I143*$T143</f>
        <v>5.8888521095948602E-2</v>
      </c>
      <c r="Y143" s="43">
        <f>Y142+1</f>
        <v>67</v>
      </c>
      <c r="Z143" s="6" t="str">
        <f>IF(INVOER!A102=0,"x",INVOER!A102)</f>
        <v>x</v>
      </c>
      <c r="AA143" s="6">
        <f>IF(INVOER!B$36&gt;INVOER!B$37,INVOER!B102,100-INVOER!B102)</f>
        <v>0</v>
      </c>
      <c r="AB143" s="6">
        <f>IF(Z143=0,AB142,Y143)</f>
        <v>67</v>
      </c>
      <c r="AC143" s="6">
        <f t="shared" si="55"/>
        <v>0</v>
      </c>
      <c r="AD143" s="44">
        <f>IF(INVOER!A102=0,10000,INVOER!A102)</f>
        <v>10000</v>
      </c>
    </row>
    <row r="144" spans="1:30" x14ac:dyDescent="0.2">
      <c r="A144" s="43">
        <f>A143*'Berekening trap 1'!H$58</f>
        <v>14.955544363174001</v>
      </c>
      <c r="B144" s="6">
        <f t="shared" si="38"/>
        <v>14.617689858444482</v>
      </c>
      <c r="C144" s="168">
        <f t="shared" si="52"/>
        <v>11.679743534048821</v>
      </c>
      <c r="D144" s="200">
        <f t="shared" si="24"/>
        <v>2.6550378510917089E-2</v>
      </c>
      <c r="E144" s="197">
        <f t="shared" si="39"/>
        <v>3.0667279178348026E-2</v>
      </c>
      <c r="F144" s="43">
        <f t="shared" si="40"/>
        <v>1.4964388095461453E-2</v>
      </c>
      <c r="G144" s="155">
        <f t="shared" si="41"/>
        <v>1.7682985936466878E-2</v>
      </c>
      <c r="H144" s="170">
        <f t="shared" si="42"/>
        <v>3.0667279178348026E-2</v>
      </c>
      <c r="I144" s="179">
        <f t="shared" si="43"/>
        <v>1.7682985936466878E-2</v>
      </c>
      <c r="J144" s="145">
        <f>IF(INVOER!$S$36=1,100-H144*100,100-I144*100)</f>
        <v>98.231701406353309</v>
      </c>
      <c r="K144" s="43">
        <f t="shared" si="46"/>
        <v>1</v>
      </c>
      <c r="L144" s="6">
        <f t="shared" si="47"/>
        <v>10</v>
      </c>
      <c r="M144" s="6">
        <f t="shared" si="48"/>
        <v>15</v>
      </c>
      <c r="N144" s="6">
        <f t="shared" si="49"/>
        <v>0.99199999999999999</v>
      </c>
      <c r="O144" s="6">
        <f t="shared" si="50"/>
        <v>0.85199999999999998</v>
      </c>
      <c r="P144" s="366">
        <f t="shared" si="44"/>
        <v>7.3810864638246141</v>
      </c>
      <c r="Q144" s="6">
        <f t="shared" si="45"/>
        <v>19.224549927406461</v>
      </c>
      <c r="R144" s="6">
        <f t="shared" si="51"/>
        <v>0.85496225851827024</v>
      </c>
      <c r="S144" s="6">
        <f t="shared" si="53"/>
        <v>85.49622585182702</v>
      </c>
      <c r="T144" s="357">
        <f t="shared" si="54"/>
        <v>3.9624756645221137</v>
      </c>
      <c r="U144" s="358">
        <f>'Berekening trap 1'!H144*$T144</f>
        <v>0.12151834744130978</v>
      </c>
      <c r="V144" s="359">
        <f>'Berekening trap 1'!I144*$T144</f>
        <v>7.0068401449336778E-2</v>
      </c>
      <c r="Y144" s="43">
        <f>Y143+1</f>
        <v>68</v>
      </c>
      <c r="Z144" s="6" t="str">
        <f>IF(INVOER!A103=0,"x",INVOER!A103)</f>
        <v>x</v>
      </c>
      <c r="AA144" s="6">
        <f>IF(INVOER!B$36&gt;INVOER!B$37,INVOER!B103,100-INVOER!B103)</f>
        <v>0</v>
      </c>
      <c r="AB144" s="6">
        <f>IF(Z144=0,AB143,Y144)</f>
        <v>68</v>
      </c>
      <c r="AC144" s="6">
        <f t="shared" si="55"/>
        <v>0</v>
      </c>
      <c r="AD144" s="44">
        <f>IF(INVOER!A103=0,10000,INVOER!A103)</f>
        <v>10000</v>
      </c>
    </row>
    <row r="145" spans="1:30" x14ac:dyDescent="0.2">
      <c r="A145" s="43">
        <f>A144*'Berekening trap 1'!H$58</f>
        <v>15.66322731730078</v>
      </c>
      <c r="B145" s="6">
        <f t="shared" si="38"/>
        <v>15.30938584023739</v>
      </c>
      <c r="C145" s="168">
        <f t="shared" si="52"/>
        <v>12.232418529147736</v>
      </c>
      <c r="D145" s="200">
        <f t="shared" si="24"/>
        <v>2.3276283702482116E-2</v>
      </c>
      <c r="E145" s="197">
        <f t="shared" si="39"/>
        <v>2.7339505372309617E-2</v>
      </c>
      <c r="F145" s="43">
        <f t="shared" si="40"/>
        <v>1.284903549158525E-2</v>
      </c>
      <c r="G145" s="155">
        <f t="shared" si="41"/>
        <v>1.5480634943101153E-2</v>
      </c>
      <c r="H145" s="170">
        <f t="shared" si="42"/>
        <v>2.7339505372309617E-2</v>
      </c>
      <c r="I145" s="179">
        <f t="shared" si="43"/>
        <v>1.5480634943101153E-2</v>
      </c>
      <c r="J145" s="145">
        <f>IF(INVOER!$S$36=1,100-H145*100,100-I145*100)</f>
        <v>98.451936505689886</v>
      </c>
      <c r="K145" s="43">
        <f t="shared" si="46"/>
        <v>2</v>
      </c>
      <c r="L145" s="6">
        <f t="shared" si="47"/>
        <v>15</v>
      </c>
      <c r="M145" s="6">
        <f t="shared" si="48"/>
        <v>20</v>
      </c>
      <c r="N145" s="6">
        <f t="shared" si="49"/>
        <v>0.85199999999999998</v>
      </c>
      <c r="O145" s="6">
        <f t="shared" si="50"/>
        <v>0.57499999999999996</v>
      </c>
      <c r="P145" s="366">
        <f t="shared" si="44"/>
        <v>4.3097104427899451</v>
      </c>
      <c r="Q145" s="6">
        <f t="shared" si="45"/>
        <v>22.94332595049125</v>
      </c>
      <c r="R145" s="6">
        <f t="shared" si="51"/>
        <v>0.8244820083118326</v>
      </c>
      <c r="S145" s="6">
        <f t="shared" si="53"/>
        <v>82.448200831183257</v>
      </c>
      <c r="T145" s="357">
        <f t="shared" si="54"/>
        <v>3.0480250206437631</v>
      </c>
      <c r="U145" s="358">
        <f>'Berekening trap 1'!H145*$T145</f>
        <v>8.3331496426824289E-2</v>
      </c>
      <c r="V145" s="359">
        <f>'Berekening trap 1'!I145*$T145</f>
        <v>4.7185362642024449E-2</v>
      </c>
      <c r="Y145" s="43">
        <f>Y144+1</f>
        <v>69</v>
      </c>
      <c r="Z145" s="6" t="str">
        <f>IF(INVOER!A104=0,"x",INVOER!A104)</f>
        <v>x</v>
      </c>
      <c r="AA145" s="6">
        <f>IF(INVOER!B$36&gt;INVOER!B$37,INVOER!B104,100-INVOER!B104)</f>
        <v>0</v>
      </c>
      <c r="AB145" s="6">
        <f>IF(Z145=0,AB144,Y145)</f>
        <v>69</v>
      </c>
      <c r="AC145" s="6">
        <f t="shared" si="55"/>
        <v>0</v>
      </c>
      <c r="AD145" s="44">
        <f>IF(INVOER!A104=0,10000,INVOER!A104)</f>
        <v>10000</v>
      </c>
    </row>
    <row r="146" spans="1:30" x14ac:dyDescent="0.2">
      <c r="A146" s="45">
        <f>A145*'Berekening trap 1'!H$58</f>
        <v>16.404397194497694</v>
      </c>
      <c r="B146" s="46">
        <f t="shared" si="38"/>
        <v>16.033812255899235</v>
      </c>
      <c r="C146" s="182">
        <f t="shared" si="52"/>
        <v>12.811245609634241</v>
      </c>
      <c r="D146" s="201">
        <f t="shared" si="24"/>
        <v>2.0314549695201009E-2</v>
      </c>
      <c r="E146" s="167">
        <f t="shared" si="39"/>
        <v>2.4279563578353414E-2</v>
      </c>
      <c r="F146" s="45">
        <f t="shared" si="40"/>
        <v>1.0975509980645715E-2</v>
      </c>
      <c r="G146" s="183">
        <f t="shared" si="41"/>
        <v>1.3492537676707786E-2</v>
      </c>
      <c r="H146" s="171">
        <f t="shared" si="42"/>
        <v>2.4279563578353414E-2</v>
      </c>
      <c r="I146" s="235">
        <f t="shared" si="43"/>
        <v>1.3492537676707786E-2</v>
      </c>
      <c r="J146" s="145">
        <f>IF(INVOER!$S$36=1,100-H146*100,100-I146*100)</f>
        <v>98.650746232329226</v>
      </c>
      <c r="K146" s="43">
        <f t="shared" si="46"/>
        <v>2</v>
      </c>
      <c r="L146" s="6">
        <f t="shared" si="47"/>
        <v>15</v>
      </c>
      <c r="M146" s="6">
        <f t="shared" si="48"/>
        <v>20</v>
      </c>
      <c r="N146" s="6">
        <f t="shared" si="49"/>
        <v>0.85199999999999998</v>
      </c>
      <c r="O146" s="6">
        <f t="shared" si="50"/>
        <v>0.57499999999999996</v>
      </c>
      <c r="P146" s="366">
        <f t="shared" si="44"/>
        <v>4.3097104427899451</v>
      </c>
      <c r="Q146" s="6">
        <f t="shared" si="45"/>
        <v>22.94332595049125</v>
      </c>
      <c r="R146" s="6">
        <f t="shared" si="51"/>
        <v>0.79013234431087831</v>
      </c>
      <c r="S146" s="6">
        <f t="shared" si="53"/>
        <v>79.013234431087824</v>
      </c>
      <c r="T146" s="357">
        <f t="shared" si="54"/>
        <v>3.4349664000954294</v>
      </c>
      <c r="U146" s="361">
        <f>'Berekening trap 1'!H146*$T146</f>
        <v>8.3399485100624726E-2</v>
      </c>
      <c r="V146" s="362">
        <f>'Berekening trap 1'!I146*$T146</f>
        <v>4.6346413571512896E-2</v>
      </c>
      <c r="Y146" s="43">
        <f>Y145+1</f>
        <v>70</v>
      </c>
      <c r="Z146" s="6" t="str">
        <f>IF(INVOER!A105=0,"x",INVOER!A105)</f>
        <v>x</v>
      </c>
      <c r="AA146" s="6">
        <f>IF(INVOER!B$36&gt;INVOER!B$37,INVOER!B105,100-INVOER!B105)</f>
        <v>0</v>
      </c>
      <c r="AB146" s="6">
        <f>IF(Z146=0,AB145,Y146)</f>
        <v>70</v>
      </c>
      <c r="AC146" s="6">
        <f t="shared" si="55"/>
        <v>0</v>
      </c>
      <c r="AD146" s="44">
        <f>IF(INVOER!A105=0,10000,INVOER!A105)</f>
        <v>10000</v>
      </c>
    </row>
    <row r="147" spans="1:30" x14ac:dyDescent="0.2">
      <c r="A147" s="43">
        <f>A146*'Berekening trap 1'!H$58</f>
        <v>17.18063856594901</v>
      </c>
      <c r="B147" s="6">
        <f t="shared" si="38"/>
        <v>16.79251788022335</v>
      </c>
      <c r="C147" s="168">
        <f t="shared" si="52"/>
        <v>13.417462268747915</v>
      </c>
      <c r="D147" s="200">
        <f t="shared" si="24"/>
        <v>1.7647506604156097E-2</v>
      </c>
      <c r="E147" s="197">
        <f t="shared" si="39"/>
        <v>2.1476851198200114E-2</v>
      </c>
      <c r="F147" s="43">
        <f t="shared" si="40"/>
        <v>9.3248684858549258E-3</v>
      </c>
      <c r="G147" s="155">
        <f t="shared" si="41"/>
        <v>1.170593651888315E-2</v>
      </c>
      <c r="H147" s="170">
        <f t="shared" si="42"/>
        <v>2.1476851198200114E-2</v>
      </c>
      <c r="I147" s="179">
        <f t="shared" si="43"/>
        <v>1.170593651888315E-2</v>
      </c>
      <c r="J147" s="147">
        <f>IF(INVOER!$S$36=1,100-H147*100,100-I147*100)</f>
        <v>98.829406348111689</v>
      </c>
      <c r="K147" s="41">
        <f t="shared" si="46"/>
        <v>2</v>
      </c>
      <c r="L147" s="5">
        <f t="shared" si="47"/>
        <v>15</v>
      </c>
      <c r="M147" s="5">
        <f t="shared" si="48"/>
        <v>20</v>
      </c>
      <c r="N147" s="5">
        <f t="shared" si="49"/>
        <v>0.85199999999999998</v>
      </c>
      <c r="O147" s="5">
        <f t="shared" si="50"/>
        <v>0.57499999999999996</v>
      </c>
      <c r="P147" s="365">
        <f t="shared" si="44"/>
        <v>4.3097104427899451</v>
      </c>
      <c r="Q147" s="5">
        <f t="shared" si="45"/>
        <v>22.94332595049125</v>
      </c>
      <c r="R147" s="5">
        <f t="shared" si="51"/>
        <v>0.75014206025846164</v>
      </c>
      <c r="S147" s="5">
        <f t="shared" si="53"/>
        <v>75.014206025846164</v>
      </c>
      <c r="T147" s="363">
        <f t="shared" si="54"/>
        <v>3.9990284052416669</v>
      </c>
      <c r="U147" s="358">
        <f>'Berekening trap 1'!H147*$T147</f>
        <v>8.5886537996750792E-2</v>
      </c>
      <c r="V147" s="359">
        <f>'Berekening trap 1'!I147*$T147</f>
        <v>4.6812372648969473E-2</v>
      </c>
      <c r="Y147" s="45"/>
      <c r="Z147" s="46"/>
      <c r="AA147" s="46"/>
      <c r="AB147" s="46"/>
      <c r="AC147" s="46"/>
      <c r="AD147" s="50"/>
    </row>
    <row r="148" spans="1:30" x14ac:dyDescent="0.2">
      <c r="A148" s="43">
        <f>A147*'Berekening trap 1'!H$58</f>
        <v>17.99361098332713</v>
      </c>
      <c r="B148" s="6">
        <f t="shared" si="38"/>
        <v>17.58712477463807</v>
      </c>
      <c r="C148" s="168">
        <f t="shared" si="52"/>
        <v>14.052364556799233</v>
      </c>
      <c r="D148" s="200">
        <f t="shared" si="24"/>
        <v>1.5257090266363987E-2</v>
      </c>
      <c r="E148" s="197">
        <f t="shared" si="39"/>
        <v>1.8920068346401378E-2</v>
      </c>
      <c r="F148" s="43">
        <f t="shared" si="40"/>
        <v>7.8784909512147928E-3</v>
      </c>
      <c r="G148" s="155">
        <f t="shared" si="41"/>
        <v>1.0107882076963049E-2</v>
      </c>
      <c r="H148" s="170">
        <f t="shared" si="42"/>
        <v>1.8920068346401378E-2</v>
      </c>
      <c r="I148" s="179">
        <f t="shared" si="43"/>
        <v>1.0107882076963049E-2</v>
      </c>
      <c r="J148" s="145">
        <f>IF(INVOER!$S$36=1,100-H148*100,100-I148*100)</f>
        <v>98.989211792303692</v>
      </c>
      <c r="K148" s="43">
        <f t="shared" si="46"/>
        <v>2</v>
      </c>
      <c r="L148" s="6">
        <f t="shared" si="47"/>
        <v>15</v>
      </c>
      <c r="M148" s="6">
        <f t="shared" si="48"/>
        <v>20</v>
      </c>
      <c r="N148" s="6">
        <f t="shared" si="49"/>
        <v>0.85199999999999998</v>
      </c>
      <c r="O148" s="6">
        <f t="shared" si="50"/>
        <v>0.57499999999999996</v>
      </c>
      <c r="P148" s="366">
        <f t="shared" si="44"/>
        <v>4.3097104427899451</v>
      </c>
      <c r="Q148" s="6">
        <f t="shared" si="45"/>
        <v>22.94332595049125</v>
      </c>
      <c r="R148" s="6">
        <f t="shared" si="51"/>
        <v>0.70406655469009716</v>
      </c>
      <c r="S148" s="6">
        <f t="shared" si="53"/>
        <v>70.406655469009721</v>
      </c>
      <c r="T148" s="357">
        <f t="shared" si="54"/>
        <v>4.6075505568364488</v>
      </c>
      <c r="U148" s="358">
        <f>'Berekening trap 1'!H148*$T148</f>
        <v>8.7175171444845337E-2</v>
      </c>
      <c r="V148" s="359">
        <f>'Berekening trap 1'!I148*$T148</f>
        <v>4.6572577692148259E-2</v>
      </c>
    </row>
    <row r="149" spans="1:30" x14ac:dyDescent="0.2">
      <c r="A149" s="43">
        <f>A148*'Berekening trap 1'!H$58</f>
        <v>18.845052526802082</v>
      </c>
      <c r="B149" s="6">
        <f t="shared" si="38"/>
        <v>18.419331755064604</v>
      </c>
      <c r="C149" s="168">
        <f t="shared" si="52"/>
        <v>14.717309852037658</v>
      </c>
      <c r="D149" s="200">
        <f t="shared" si="24"/>
        <v>1.3125004837617599E-2</v>
      </c>
      <c r="E149" s="197">
        <f t="shared" si="39"/>
        <v>1.6597325236918196E-2</v>
      </c>
      <c r="F149" s="43">
        <f t="shared" si="40"/>
        <v>6.6182224936817205E-3</v>
      </c>
      <c r="G149" s="155">
        <f t="shared" si="41"/>
        <v>8.6853488164159946E-3</v>
      </c>
      <c r="H149" s="170">
        <f t="shared" si="42"/>
        <v>1.6597325236918196E-2</v>
      </c>
      <c r="I149" s="179">
        <f t="shared" si="43"/>
        <v>8.6853488164159946E-3</v>
      </c>
      <c r="J149" s="145">
        <f>IF(INVOER!$S$36=1,100-H149*100,100-I149*100)</f>
        <v>99.131465118358406</v>
      </c>
      <c r="K149" s="43">
        <f t="shared" si="46"/>
        <v>2</v>
      </c>
      <c r="L149" s="6">
        <f t="shared" si="47"/>
        <v>15</v>
      </c>
      <c r="M149" s="6">
        <f t="shared" si="48"/>
        <v>20</v>
      </c>
      <c r="N149" s="6">
        <f t="shared" si="49"/>
        <v>0.85199999999999998</v>
      </c>
      <c r="O149" s="6">
        <f t="shared" si="50"/>
        <v>0.57499999999999996</v>
      </c>
      <c r="P149" s="366">
        <f t="shared" si="44"/>
        <v>4.3097104427899451</v>
      </c>
      <c r="Q149" s="6">
        <f t="shared" si="45"/>
        <v>22.94332595049125</v>
      </c>
      <c r="R149" s="6">
        <f t="shared" si="51"/>
        <v>0.6516491342586147</v>
      </c>
      <c r="S149" s="6">
        <f t="shared" si="53"/>
        <v>65.164913425861471</v>
      </c>
      <c r="T149" s="357">
        <f t="shared" si="54"/>
        <v>5.2417420431482453</v>
      </c>
      <c r="U149" s="358">
        <f>'Berekening trap 1'!H149*$T149</f>
        <v>8.6998897498159519E-2</v>
      </c>
      <c r="V149" s="359">
        <f>'Berekening trap 1'!I149*$T149</f>
        <v>4.552635805041557E-2</v>
      </c>
    </row>
    <row r="150" spans="1:30" x14ac:dyDescent="0.2">
      <c r="A150" s="43">
        <f>A149*'Berekening trap 1'!H$58</f>
        <v>19.73678352093965</v>
      </c>
      <c r="B150" s="6">
        <f t="shared" si="38"/>
        <v>19.290918023870866</v>
      </c>
      <c r="C150" s="168">
        <f t="shared" si="52"/>
        <v>15.413719762634772</v>
      </c>
      <c r="D150" s="200">
        <f t="shared" si="24"/>
        <v>1.1232884478650527E-2</v>
      </c>
      <c r="E150" s="197">
        <f t="shared" si="39"/>
        <v>1.4496254459463221E-2</v>
      </c>
      <c r="F150" s="43">
        <f t="shared" si="40"/>
        <v>5.5265035196227627E-3</v>
      </c>
      <c r="G150" s="155">
        <f t="shared" si="41"/>
        <v>7.4253478598317532E-3</v>
      </c>
      <c r="H150" s="170">
        <f t="shared" si="42"/>
        <v>1.4496254459463221E-2</v>
      </c>
      <c r="I150" s="179">
        <f t="shared" si="43"/>
        <v>7.4253478598317532E-3</v>
      </c>
      <c r="J150" s="145">
        <f>IF(INVOER!$S$36=1,100-H150*100,100-I150*100)</f>
        <v>99.257465214016818</v>
      </c>
      <c r="K150" s="43">
        <f t="shared" si="46"/>
        <v>2</v>
      </c>
      <c r="L150" s="6">
        <f t="shared" si="47"/>
        <v>15</v>
      </c>
      <c r="M150" s="6">
        <f t="shared" si="48"/>
        <v>20</v>
      </c>
      <c r="N150" s="6">
        <f t="shared" si="49"/>
        <v>0.85199999999999998</v>
      </c>
      <c r="O150" s="6">
        <f t="shared" si="50"/>
        <v>0.57499999999999996</v>
      </c>
      <c r="P150" s="366">
        <f t="shared" si="44"/>
        <v>4.3097104427899451</v>
      </c>
      <c r="Q150" s="6">
        <f t="shared" si="45"/>
        <v>22.94332595049125</v>
      </c>
      <c r="R150" s="6">
        <f t="shared" si="51"/>
        <v>0.59293274851884425</v>
      </c>
      <c r="S150" s="6">
        <f t="shared" si="53"/>
        <v>59.293274851884426</v>
      </c>
      <c r="T150" s="357">
        <f t="shared" si="54"/>
        <v>5.8716385739770445</v>
      </c>
      <c r="U150" s="358">
        <f>'Berekening trap 1'!H150*$T150</f>
        <v>8.5116766862371004E-2</v>
      </c>
      <c r="V150" s="359">
        <f>'Berekening trap 1'!I150*$T150</f>
        <v>4.3598958918986012E-2</v>
      </c>
    </row>
    <row r="151" spans="1:30" x14ac:dyDescent="0.2">
      <c r="A151" s="45">
        <f>A150*'Berekening trap 1'!H$58</f>
        <v>20.670710426432443</v>
      </c>
      <c r="B151" s="46">
        <f t="shared" si="38"/>
        <v>20.203746973686044</v>
      </c>
      <c r="C151" s="182">
        <f t="shared" si="52"/>
        <v>16.143083165986589</v>
      </c>
      <c r="D151" s="201">
        <f t="shared" si="24"/>
        <v>9.5624514870258984E-3</v>
      </c>
      <c r="E151" s="167">
        <f t="shared" si="39"/>
        <v>1.2604126518060086E-2</v>
      </c>
      <c r="F151" s="45">
        <f t="shared" si="40"/>
        <v>4.5864858443858654E-3</v>
      </c>
      <c r="G151" s="183">
        <f t="shared" si="41"/>
        <v>6.3150352197257594E-3</v>
      </c>
      <c r="H151" s="171">
        <f t="shared" si="42"/>
        <v>1.2604126518060086E-2</v>
      </c>
      <c r="I151" s="235">
        <f t="shared" si="43"/>
        <v>6.3150352197257594E-3</v>
      </c>
      <c r="J151" s="238">
        <f>IF(INVOER!$S$36=1,100-H151*100,100-I151*100)</f>
        <v>99.368496478027424</v>
      </c>
      <c r="K151" s="43">
        <f t="shared" si="46"/>
        <v>3</v>
      </c>
      <c r="L151" s="6">
        <f t="shared" si="47"/>
        <v>20</v>
      </c>
      <c r="M151" s="6">
        <f t="shared" si="48"/>
        <v>30</v>
      </c>
      <c r="N151" s="6">
        <f t="shared" si="49"/>
        <v>0.57499999999999996</v>
      </c>
      <c r="O151" s="6">
        <f t="shared" si="50"/>
        <v>0.154</v>
      </c>
      <c r="P151" s="366">
        <f t="shared" si="44"/>
        <v>3.0041264709815292</v>
      </c>
      <c r="Q151" s="6">
        <f t="shared" si="45"/>
        <v>24.353972603848007</v>
      </c>
      <c r="R151" s="6">
        <f t="shared" si="51"/>
        <v>0.54279122175041561</v>
      </c>
      <c r="S151" s="6">
        <f t="shared" si="53"/>
        <v>54.279122175041564</v>
      </c>
      <c r="T151" s="357">
        <f t="shared" si="54"/>
        <v>5.0141526768428646</v>
      </c>
      <c r="U151" s="361">
        <f>'Berekening trap 1'!H151*$T151</f>
        <v>6.3199014719797122E-2</v>
      </c>
      <c r="V151" s="362">
        <f>'Berekening trap 1'!I151*$T151</f>
        <v>3.1664550751344882E-2</v>
      </c>
    </row>
    <row r="152" spans="1:30" x14ac:dyDescent="0.2">
      <c r="A152" s="43">
        <f>A151*'Berekening trap 1'!H$58</f>
        <v>21.648829915984233</v>
      </c>
      <c r="B152" s="6">
        <f t="shared" si="38"/>
        <v>21.159770171208336</v>
      </c>
      <c r="C152" s="168">
        <f t="shared" si="52"/>
        <v>16.906959391832984</v>
      </c>
      <c r="D152" s="200">
        <f t="shared" si="24"/>
        <v>8.0956682807705564E-3</v>
      </c>
      <c r="E152" s="197">
        <f t="shared" si="39"/>
        <v>1.0907966911354972E-2</v>
      </c>
      <c r="F152" s="43">
        <f t="shared" si="40"/>
        <v>3.7821331919389752E-3</v>
      </c>
      <c r="G152" s="155">
        <f t="shared" si="41"/>
        <v>5.3418138230733811E-3</v>
      </c>
      <c r="H152" s="170">
        <f t="shared" si="42"/>
        <v>1.0907966911354972E-2</v>
      </c>
      <c r="I152" s="179">
        <f t="shared" si="43"/>
        <v>5.3418138230733811E-3</v>
      </c>
      <c r="J152" s="145">
        <f>IF(INVOER!$S$36=1,100-H152*100,100-I152*100)</f>
        <v>99.465818617692662</v>
      </c>
      <c r="K152" s="41">
        <f t="shared" si="46"/>
        <v>3</v>
      </c>
      <c r="L152" s="5">
        <f t="shared" si="47"/>
        <v>20</v>
      </c>
      <c r="M152" s="5">
        <f t="shared" si="48"/>
        <v>30</v>
      </c>
      <c r="N152" s="5">
        <f t="shared" si="49"/>
        <v>0.57499999999999996</v>
      </c>
      <c r="O152" s="5">
        <f t="shared" si="50"/>
        <v>0.154</v>
      </c>
      <c r="P152" s="365">
        <f t="shared" si="44"/>
        <v>3.0041264709815292</v>
      </c>
      <c r="Q152" s="5">
        <f t="shared" si="45"/>
        <v>24.353972603848007</v>
      </c>
      <c r="R152" s="5">
        <f t="shared" si="51"/>
        <v>0.49555649558249998</v>
      </c>
      <c r="S152" s="5">
        <f t="shared" si="53"/>
        <v>49.555649558249996</v>
      </c>
      <c r="T152" s="363">
        <f t="shared" si="54"/>
        <v>4.7234726167915628</v>
      </c>
      <c r="U152" s="358">
        <f>'Berekening trap 1'!H152*$T152</f>
        <v>5.1523483010653653E-2</v>
      </c>
      <c r="V152" s="359">
        <f>'Berekening trap 1'!I152*$T152</f>
        <v>2.5231911317285766E-2</v>
      </c>
    </row>
    <row r="153" spans="1:30" x14ac:dyDescent="0.2">
      <c r="A153" s="43">
        <f>A152*'Berekening trap 1'!H$58</f>
        <v>22.673233143061449</v>
      </c>
      <c r="B153" s="6">
        <f t="shared" si="38"/>
        <v>22.161031529522841</v>
      </c>
      <c r="C153" s="168">
        <f t="shared" si="52"/>
        <v>17.706981555999437</v>
      </c>
      <c r="D153" s="200">
        <f t="shared" si="24"/>
        <v>6.8148807584145514E-3</v>
      </c>
      <c r="E153" s="197">
        <f t="shared" si="39"/>
        <v>9.394672978012034E-3</v>
      </c>
      <c r="F153" s="43">
        <f t="shared" si="40"/>
        <v>3.0983048369133065E-3</v>
      </c>
      <c r="G153" s="155">
        <f t="shared" si="41"/>
        <v>4.4934278189134079E-3</v>
      </c>
      <c r="H153" s="170">
        <f t="shared" si="42"/>
        <v>9.394672978012034E-3</v>
      </c>
      <c r="I153" s="179">
        <f t="shared" si="43"/>
        <v>4.4934278189134079E-3</v>
      </c>
      <c r="J153" s="145">
        <f>IF(INVOER!$S$36=1,100-H153*100,100-I153*100)</f>
        <v>99.550657218108654</v>
      </c>
      <c r="K153" s="43">
        <f t="shared" si="46"/>
        <v>3</v>
      </c>
      <c r="L153" s="6">
        <f t="shared" si="47"/>
        <v>20</v>
      </c>
      <c r="M153" s="6">
        <f t="shared" si="48"/>
        <v>30</v>
      </c>
      <c r="N153" s="6">
        <f t="shared" si="49"/>
        <v>0.57499999999999996</v>
      </c>
      <c r="O153" s="6">
        <f t="shared" si="50"/>
        <v>0.154</v>
      </c>
      <c r="P153" s="366">
        <f t="shared" si="44"/>
        <v>3.0041264709815292</v>
      </c>
      <c r="Q153" s="6">
        <f t="shared" si="45"/>
        <v>24.353972603848007</v>
      </c>
      <c r="R153" s="6">
        <f t="shared" si="51"/>
        <v>0.44633622317216748</v>
      </c>
      <c r="S153" s="6">
        <f t="shared" si="53"/>
        <v>44.633622317216748</v>
      </c>
      <c r="T153" s="357">
        <f t="shared" si="54"/>
        <v>4.9220272410332502</v>
      </c>
      <c r="U153" s="358">
        <f>'Berekening trap 1'!H153*$T153</f>
        <v>4.6240836318374202E-2</v>
      </c>
      <c r="V153" s="359">
        <f>'Berekening trap 1'!I153*$T153</f>
        <v>2.2116774130308416E-2</v>
      </c>
    </row>
    <row r="154" spans="1:30" x14ac:dyDescent="0.2">
      <c r="A154" s="43">
        <f>A153*'Berekening trap 1'!H$58</f>
        <v>23.746110212638179</v>
      </c>
      <c r="B154" s="6">
        <f t="shared" si="38"/>
        <v>23.209671677849812</v>
      </c>
      <c r="C154" s="168">
        <f t="shared" si="52"/>
        <v>18.544860051888477</v>
      </c>
      <c r="D154" s="200">
        <f t="shared" ref="D154:D185" si="56">IF(C154-$K$35&gt;0,EXP(-(((C154-$K$35)/$K$37)^$K$39)),1)</f>
        <v>5.7029507470513444E-3</v>
      </c>
      <c r="E154" s="197">
        <f t="shared" si="39"/>
        <v>8.0511287145769647E-3</v>
      </c>
      <c r="F154" s="43">
        <f t="shared" si="40"/>
        <v>2.5208215719748957E-3</v>
      </c>
      <c r="G154" s="155">
        <f t="shared" si="41"/>
        <v>3.7580478339164043E-3</v>
      </c>
      <c r="H154" s="170">
        <f t="shared" si="42"/>
        <v>8.0511287145769647E-3</v>
      </c>
      <c r="I154" s="179">
        <f t="shared" si="43"/>
        <v>3.7580478339164043E-3</v>
      </c>
      <c r="J154" s="145">
        <f>IF(INVOER!$S$36=1,100-H154*100,100-I154*100)</f>
        <v>99.624195216608356</v>
      </c>
      <c r="K154" s="43">
        <f t="shared" si="46"/>
        <v>3</v>
      </c>
      <c r="L154" s="6">
        <f t="shared" si="47"/>
        <v>20</v>
      </c>
      <c r="M154" s="6">
        <f t="shared" si="48"/>
        <v>30</v>
      </c>
      <c r="N154" s="6">
        <f t="shared" si="49"/>
        <v>0.57499999999999996</v>
      </c>
      <c r="O154" s="6">
        <f t="shared" si="50"/>
        <v>0.154</v>
      </c>
      <c r="P154" s="366">
        <f t="shared" si="44"/>
        <v>3.0041264709815292</v>
      </c>
      <c r="Q154" s="6">
        <f t="shared" si="45"/>
        <v>24.353972603848007</v>
      </c>
      <c r="R154" s="6">
        <f t="shared" si="51"/>
        <v>0.39578732519609616</v>
      </c>
      <c r="S154" s="6">
        <f t="shared" si="53"/>
        <v>39.578732519609616</v>
      </c>
      <c r="T154" s="357">
        <f t="shared" si="54"/>
        <v>5.0548897976071316</v>
      </c>
      <c r="U154" s="358">
        <f>'Berekening trap 1'!H154*$T154</f>
        <v>4.0697568398536922E-2</v>
      </c>
      <c r="V154" s="359">
        <f>'Berekening trap 1'!I154*$T154</f>
        <v>1.8996517654583614E-2</v>
      </c>
    </row>
    <row r="155" spans="1:30" x14ac:dyDescent="0.2">
      <c r="A155" s="43">
        <f>A154*'Berekening trap 1'!H$58</f>
        <v>24.86975486349283</v>
      </c>
      <c r="B155" s="6">
        <f t="shared" si="38"/>
        <v>24.307932538065504</v>
      </c>
      <c r="C155" s="168">
        <f t="shared" si="52"/>
        <v>19.422386207185365</v>
      </c>
      <c r="D155" s="200">
        <f t="shared" si="56"/>
        <v>4.7433755019825209E-3</v>
      </c>
      <c r="E155" s="197">
        <f t="shared" si="39"/>
        <v>6.8643157999429454E-3</v>
      </c>
      <c r="F155" s="43">
        <f t="shared" si="40"/>
        <v>2.0365136253118381E-3</v>
      </c>
      <c r="G155" s="155">
        <f t="shared" si="41"/>
        <v>3.1243460503182826E-3</v>
      </c>
      <c r="H155" s="170">
        <f t="shared" si="42"/>
        <v>6.8643157999429454E-3</v>
      </c>
      <c r="I155" s="179">
        <f t="shared" si="43"/>
        <v>3.1243460503182826E-3</v>
      </c>
      <c r="J155" s="145">
        <f>IF(INVOER!$S$36=1,100-H155*100,100-I155*100)</f>
        <v>99.687565394968175</v>
      </c>
      <c r="K155" s="43">
        <f t="shared" si="46"/>
        <v>3</v>
      </c>
      <c r="L155" s="6">
        <f t="shared" si="47"/>
        <v>20</v>
      </c>
      <c r="M155" s="6">
        <f t="shared" si="48"/>
        <v>30</v>
      </c>
      <c r="N155" s="6">
        <f t="shared" si="49"/>
        <v>0.57499999999999996</v>
      </c>
      <c r="O155" s="6">
        <f t="shared" si="50"/>
        <v>0.154</v>
      </c>
      <c r="P155" s="366">
        <f t="shared" si="44"/>
        <v>3.0041264709815292</v>
      </c>
      <c r="Q155" s="6">
        <f t="shared" si="45"/>
        <v>24.353972603848007</v>
      </c>
      <c r="R155" s="6">
        <f t="shared" si="51"/>
        <v>0.34473375181902127</v>
      </c>
      <c r="S155" s="6">
        <f t="shared" si="53"/>
        <v>34.473375181902128</v>
      </c>
      <c r="T155" s="357">
        <f t="shared" si="54"/>
        <v>5.1053573377074892</v>
      </c>
      <c r="U155" s="358">
        <f>'Berekening trap 1'!H155*$T155</f>
        <v>3.504478503758017E-2</v>
      </c>
      <c r="V155" s="359">
        <f>'Berekening trap 1'!I155*$T155</f>
        <v>1.5950903033529855E-2</v>
      </c>
    </row>
    <row r="156" spans="1:30" x14ac:dyDescent="0.2">
      <c r="A156" s="45">
        <f>A155*'Berekening trap 1'!H$58</f>
        <v>26.046569372066841</v>
      </c>
      <c r="B156" s="46">
        <f t="shared" si="38"/>
        <v>25.458162117779835</v>
      </c>
      <c r="C156" s="182">
        <f t="shared" si="52"/>
        <v>20.341436113595801</v>
      </c>
      <c r="D156" s="201">
        <f t="shared" si="56"/>
        <v>3.9203925324318963E-3</v>
      </c>
      <c r="E156" s="167">
        <f t="shared" si="39"/>
        <v>5.8214191311390844E-3</v>
      </c>
      <c r="F156" s="45">
        <f t="shared" si="40"/>
        <v>1.6332506008813125E-3</v>
      </c>
      <c r="G156" s="183">
        <f t="shared" si="41"/>
        <v>2.5815602203801699E-3</v>
      </c>
      <c r="H156" s="171">
        <f t="shared" si="42"/>
        <v>5.8214191311390844E-3</v>
      </c>
      <c r="I156" s="235">
        <f t="shared" si="43"/>
        <v>2.5815602203801699E-3</v>
      </c>
      <c r="J156" s="145">
        <f>IF(INVOER!$S$36=1,100-H156*100,100-I156*100)</f>
        <v>99.741843977961977</v>
      </c>
      <c r="K156" s="43">
        <f t="shared" si="46"/>
        <v>3</v>
      </c>
      <c r="L156" s="6">
        <f t="shared" si="47"/>
        <v>20</v>
      </c>
      <c r="M156" s="6">
        <f t="shared" si="48"/>
        <v>30</v>
      </c>
      <c r="N156" s="6">
        <f t="shared" si="49"/>
        <v>0.57499999999999996</v>
      </c>
      <c r="O156" s="6">
        <f t="shared" si="50"/>
        <v>0.154</v>
      </c>
      <c r="P156" s="366">
        <f t="shared" si="44"/>
        <v>3.0041264709815292</v>
      </c>
      <c r="Q156" s="6">
        <f t="shared" si="45"/>
        <v>24.353972603848007</v>
      </c>
      <c r="R156" s="6">
        <f t="shared" si="51"/>
        <v>0.2941501077223615</v>
      </c>
      <c r="S156" s="6">
        <f t="shared" si="53"/>
        <v>29.415010772236151</v>
      </c>
      <c r="T156" s="357">
        <f t="shared" si="54"/>
        <v>5.0583644096659777</v>
      </c>
      <c r="U156" s="361">
        <f>'Berekening trap 1'!H156*$T156</f>
        <v>2.9446859346702582E-2</v>
      </c>
      <c r="V156" s="362">
        <f>'Berekening trap 1'!I156*$T156</f>
        <v>1.305847234018051E-2</v>
      </c>
    </row>
    <row r="157" spans="1:30" x14ac:dyDescent="0.2">
      <c r="A157" s="43">
        <f>A156*'Berekening trap 1'!H$58</f>
        <v>27.279069688369631</v>
      </c>
      <c r="B157" s="6">
        <f t="shared" si="38"/>
        <v>26.662819530218236</v>
      </c>
      <c r="C157" s="168">
        <f t="shared" si="52"/>
        <v>21.303974637803389</v>
      </c>
      <c r="D157" s="200">
        <f t="shared" si="56"/>
        <v>3.2190683890778631E-3</v>
      </c>
      <c r="E157" s="197">
        <f t="shared" si="39"/>
        <v>4.9099252892753475E-3</v>
      </c>
      <c r="F157" s="43">
        <f t="shared" si="40"/>
        <v>1.2999539519580703E-3</v>
      </c>
      <c r="G157" s="155">
        <f t="shared" si="41"/>
        <v>2.1195459945027658E-3</v>
      </c>
      <c r="H157" s="170">
        <f t="shared" si="42"/>
        <v>4.9099252892753475E-3</v>
      </c>
      <c r="I157" s="179">
        <f t="shared" si="43"/>
        <v>2.1195459945027658E-3</v>
      </c>
      <c r="J157" s="147">
        <f>IF(INVOER!$S$36=1,100-H157*100,100-I157*100)</f>
        <v>99.78804540054972</v>
      </c>
      <c r="K157" s="41">
        <f t="shared" si="46"/>
        <v>3</v>
      </c>
      <c r="L157" s="5">
        <f t="shared" si="47"/>
        <v>20</v>
      </c>
      <c r="M157" s="5">
        <f t="shared" si="48"/>
        <v>30</v>
      </c>
      <c r="N157" s="5">
        <f t="shared" si="49"/>
        <v>0.57499999999999996</v>
      </c>
      <c r="O157" s="5">
        <f t="shared" si="50"/>
        <v>0.154</v>
      </c>
      <c r="P157" s="365">
        <f t="shared" si="44"/>
        <v>3.0041264709815292</v>
      </c>
      <c r="Q157" s="5">
        <f t="shared" si="45"/>
        <v>24.353972603848007</v>
      </c>
      <c r="R157" s="5">
        <f t="shared" si="51"/>
        <v>0.24512405420402902</v>
      </c>
      <c r="S157" s="5">
        <f t="shared" si="53"/>
        <v>24.512405420402903</v>
      </c>
      <c r="T157" s="363">
        <f t="shared" si="54"/>
        <v>4.9026053518332473</v>
      </c>
      <c r="U157" s="358">
        <f>'Berekening trap 1'!H157*$T157</f>
        <v>2.4071426000302723E-2</v>
      </c>
      <c r="V157" s="359">
        <f>'Berekening trap 1'!I157*$T157</f>
        <v>1.0391297536105982E-2</v>
      </c>
    </row>
    <row r="158" spans="1:30" x14ac:dyDescent="0.2">
      <c r="A158" s="43">
        <f>A157*'Berekening trap 1'!H$58</f>
        <v>28.569890814909932</v>
      </c>
      <c r="B158" s="6">
        <f t="shared" si="38"/>
        <v>27.924480251639782</v>
      </c>
      <c r="C158" s="168">
        <f t="shared" si="52"/>
        <v>22.312059622222041</v>
      </c>
      <c r="D158" s="200">
        <f t="shared" si="56"/>
        <v>2.6253704497266137E-3</v>
      </c>
      <c r="E158" s="197">
        <f t="shared" si="39"/>
        <v>4.117712510253284E-3</v>
      </c>
      <c r="F158" s="43">
        <f t="shared" si="40"/>
        <v>1.0265929105901803E-3</v>
      </c>
      <c r="G158" s="155">
        <f t="shared" si="41"/>
        <v>1.7288172181149119E-3</v>
      </c>
      <c r="H158" s="170">
        <f t="shared" si="42"/>
        <v>4.117712510253284E-3</v>
      </c>
      <c r="I158" s="179">
        <f t="shared" si="43"/>
        <v>1.7288172181149119E-3</v>
      </c>
      <c r="J158" s="145">
        <f>IF(INVOER!$S$36=1,100-H158*100,100-I158*100)</f>
        <v>99.827118278188507</v>
      </c>
      <c r="K158" s="43">
        <f t="shared" si="46"/>
        <v>3</v>
      </c>
      <c r="L158" s="6">
        <f t="shared" si="47"/>
        <v>20</v>
      </c>
      <c r="M158" s="6">
        <f t="shared" si="48"/>
        <v>30</v>
      </c>
      <c r="N158" s="6">
        <f t="shared" si="49"/>
        <v>0.57499999999999996</v>
      </c>
      <c r="O158" s="6">
        <f t="shared" si="50"/>
        <v>0.154</v>
      </c>
      <c r="P158" s="366">
        <f t="shared" si="44"/>
        <v>3.0041264709815292</v>
      </c>
      <c r="Q158" s="6">
        <f t="shared" si="45"/>
        <v>24.353972603848007</v>
      </c>
      <c r="R158" s="6">
        <f t="shared" si="51"/>
        <v>0.19879460380734698</v>
      </c>
      <c r="S158" s="6">
        <f t="shared" si="53"/>
        <v>19.879460380734699</v>
      </c>
      <c r="T158" s="357">
        <f t="shared" si="54"/>
        <v>4.6329450396682041</v>
      </c>
      <c r="U158" s="358">
        <f>'Berekening trap 1'!H158*$T158</f>
        <v>1.9077135749157662E-2</v>
      </c>
      <c r="V158" s="359">
        <f>'Berekening trap 1'!I158*$T158</f>
        <v>8.0095151551584642E-3</v>
      </c>
    </row>
    <row r="159" spans="1:30" x14ac:dyDescent="0.2">
      <c r="A159" s="43">
        <f>A158*'Berekening trap 1'!H$58</f>
        <v>29.921792440153354</v>
      </c>
      <c r="B159" s="6">
        <f t="shared" si="38"/>
        <v>29.245841627531643</v>
      </c>
      <c r="C159" s="168">
        <f t="shared" si="52"/>
        <v>23.367846284524173</v>
      </c>
      <c r="D159" s="200">
        <f t="shared" si="56"/>
        <v>2.1262211662650974E-3</v>
      </c>
      <c r="E159" s="197">
        <f t="shared" si="39"/>
        <v>3.4331309288377901E-3</v>
      </c>
      <c r="F159" s="43">
        <f t="shared" si="40"/>
        <v>8.0416516679730635E-4</v>
      </c>
      <c r="G159" s="155">
        <f t="shared" si="41"/>
        <v>1.4005741364686668E-3</v>
      </c>
      <c r="H159" s="170">
        <f t="shared" si="42"/>
        <v>3.4331309288377901E-3</v>
      </c>
      <c r="I159" s="179">
        <f t="shared" si="43"/>
        <v>1.4005741364686668E-3</v>
      </c>
      <c r="J159" s="145">
        <f>IF(INVOER!$S$36=1,100-H159*100,100-I159*100)</f>
        <v>99.859942586353128</v>
      </c>
      <c r="K159" s="43">
        <f t="shared" si="46"/>
        <v>3</v>
      </c>
      <c r="L159" s="6">
        <f t="shared" si="47"/>
        <v>20</v>
      </c>
      <c r="M159" s="6">
        <f t="shared" si="48"/>
        <v>30</v>
      </c>
      <c r="N159" s="6">
        <f t="shared" si="49"/>
        <v>0.57499999999999996</v>
      </c>
      <c r="O159" s="6">
        <f t="shared" si="50"/>
        <v>0.154</v>
      </c>
      <c r="P159" s="366">
        <f t="shared" si="44"/>
        <v>3.0041264709815292</v>
      </c>
      <c r="Q159" s="6">
        <f t="shared" si="45"/>
        <v>24.353972603848007</v>
      </c>
      <c r="R159" s="6">
        <f t="shared" si="51"/>
        <v>0.15626692123071598</v>
      </c>
      <c r="S159" s="6">
        <f t="shared" si="53"/>
        <v>15.626692123071598</v>
      </c>
      <c r="T159" s="357">
        <f t="shared" si="54"/>
        <v>4.2527682576631003</v>
      </c>
      <c r="U159" s="358">
        <f>'Berekening trap 1'!H159*$T159</f>
        <v>1.4600310238562789E-2</v>
      </c>
      <c r="V159" s="359">
        <f>'Berekening trap 1'!I159*$T159</f>
        <v>5.9563172300778535E-3</v>
      </c>
    </row>
    <row r="160" spans="1:30" x14ac:dyDescent="0.2">
      <c r="A160" s="43">
        <f>A159*'Berekening trap 1'!H$58</f>
        <v>31.337664838550097</v>
      </c>
      <c r="B160" s="6">
        <f t="shared" si="38"/>
        <v>30.629728639351725</v>
      </c>
      <c r="C160" s="168">
        <f t="shared" si="52"/>
        <v>24.473591825350674</v>
      </c>
      <c r="D160" s="200">
        <f t="shared" si="56"/>
        <v>1.7095346744841712E-3</v>
      </c>
      <c r="E160" s="197">
        <f t="shared" si="39"/>
        <v>2.8450720918684379E-3</v>
      </c>
      <c r="F160" s="43">
        <f t="shared" si="40"/>
        <v>6.2466390839849826E-4</v>
      </c>
      <c r="G160" s="155">
        <f t="shared" si="41"/>
        <v>1.1267197270409322E-3</v>
      </c>
      <c r="H160" s="170">
        <f t="shared" si="42"/>
        <v>2.8450720918684379E-3</v>
      </c>
      <c r="I160" s="179">
        <f t="shared" si="43"/>
        <v>1.1267197270409322E-3</v>
      </c>
      <c r="J160" s="145">
        <f>IF(INVOER!$S$36=1,100-H160*100,100-I160*100)</f>
        <v>99.887328027295908</v>
      </c>
      <c r="K160" s="43">
        <f t="shared" si="46"/>
        <v>4</v>
      </c>
      <c r="L160" s="6">
        <f t="shared" si="47"/>
        <v>30</v>
      </c>
      <c r="M160" s="6">
        <f t="shared" si="48"/>
        <v>40</v>
      </c>
      <c r="N160" s="6">
        <f t="shared" si="49"/>
        <v>0.154</v>
      </c>
      <c r="O160" s="6">
        <f t="shared" si="50"/>
        <v>0.1</v>
      </c>
      <c r="P160" s="366">
        <f t="shared" si="44"/>
        <v>0.7218554354171729</v>
      </c>
      <c r="Q160" s="6">
        <f t="shared" si="45"/>
        <v>12.597249781110918</v>
      </c>
      <c r="R160" s="6">
        <f t="shared" si="51"/>
        <v>0.14505371750739879</v>
      </c>
      <c r="S160" s="6">
        <f t="shared" si="53"/>
        <v>14.505371750739879</v>
      </c>
      <c r="T160" s="357">
        <f t="shared" si="54"/>
        <v>1.1213203723317189</v>
      </c>
      <c r="U160" s="358">
        <f>'Berekening trap 1'!H160*$T160</f>
        <v>3.1902372973644992E-3</v>
      </c>
      <c r="V160" s="359">
        <f>'Berekening trap 1'!I160*$T160</f>
        <v>1.2634137838390307E-3</v>
      </c>
    </row>
    <row r="161" spans="1:22" x14ac:dyDescent="0.2">
      <c r="A161" s="45">
        <f>A160*'Berekening trap 1'!H$58</f>
        <v>32.820535049746702</v>
      </c>
      <c r="B161" s="46">
        <f t="shared" si="38"/>
        <v>32.079099944148396</v>
      </c>
      <c r="C161" s="182">
        <f t="shared" si="52"/>
        <v>25.631660254053553</v>
      </c>
      <c r="D161" s="201">
        <f t="shared" si="56"/>
        <v>1.3642361029324128E-3</v>
      </c>
      <c r="E161" s="167">
        <f t="shared" si="39"/>
        <v>2.3430269903167628E-3</v>
      </c>
      <c r="F161" s="45">
        <f t="shared" si="40"/>
        <v>4.8103308427501043E-4</v>
      </c>
      <c r="G161" s="183">
        <f t="shared" si="41"/>
        <v>8.9986464685596756E-4</v>
      </c>
      <c r="H161" s="171">
        <f t="shared" si="42"/>
        <v>2.3430269903167628E-3</v>
      </c>
      <c r="I161" s="235">
        <f t="shared" si="43"/>
        <v>8.9986464685596756E-4</v>
      </c>
      <c r="J161" s="238">
        <f>IF(INVOER!$S$36=1,100-H161*100,100-I161*100)</f>
        <v>99.910013535314405</v>
      </c>
      <c r="K161" s="43">
        <f t="shared" si="46"/>
        <v>4</v>
      </c>
      <c r="L161" s="6">
        <f t="shared" si="47"/>
        <v>30</v>
      </c>
      <c r="M161" s="6">
        <f t="shared" si="48"/>
        <v>40</v>
      </c>
      <c r="N161" s="6">
        <f t="shared" si="49"/>
        <v>0.154</v>
      </c>
      <c r="O161" s="6">
        <f t="shared" si="50"/>
        <v>0.1</v>
      </c>
      <c r="P161" s="366">
        <f t="shared" si="44"/>
        <v>0.7218554354171729</v>
      </c>
      <c r="Q161" s="6">
        <f t="shared" si="45"/>
        <v>12.597249781110918</v>
      </c>
      <c r="R161" s="6">
        <f t="shared" si="51"/>
        <v>0.13585433966313123</v>
      </c>
      <c r="S161" s="6">
        <f t="shared" si="53"/>
        <v>13.585433966313124</v>
      </c>
      <c r="T161" s="357">
        <f t="shared" si="54"/>
        <v>0.91993778442675533</v>
      </c>
      <c r="U161" s="361">
        <f>'Berekening trap 1'!H161*$T161</f>
        <v>2.1554390583240915E-3</v>
      </c>
      <c r="V161" s="362">
        <f>'Berekening trap 1'!I161*$T161</f>
        <v>8.2781948951264335E-4</v>
      </c>
    </row>
    <row r="162" spans="1:22" x14ac:dyDescent="0.2">
      <c r="A162" s="43">
        <f>A161*'Berekening trap 1'!H$58</f>
        <v>34.373573350192551</v>
      </c>
      <c r="B162" s="6">
        <f t="shared" si="38"/>
        <v>33.597054199969627</v>
      </c>
      <c r="C162" s="168">
        <f t="shared" si="52"/>
        <v>26.844527442788429</v>
      </c>
      <c r="D162" s="200">
        <f t="shared" si="56"/>
        <v>1.0802643319304244E-3</v>
      </c>
      <c r="E162" s="197">
        <f t="shared" si="39"/>
        <v>1.9171321328638003E-3</v>
      </c>
      <c r="F162" s="43">
        <f t="shared" si="40"/>
        <v>3.6711293270290976E-4</v>
      </c>
      <c r="G162" s="155">
        <f t="shared" si="41"/>
        <v>7.1332152758863613E-4</v>
      </c>
      <c r="H162" s="170">
        <f t="shared" si="42"/>
        <v>1.9171321328638003E-3</v>
      </c>
      <c r="I162" s="179">
        <f t="shared" si="43"/>
        <v>7.1332152758863613E-4</v>
      </c>
      <c r="J162" s="145">
        <f>IF(INVOER!$S$36=1,100-H162*100,100-I162*100)</f>
        <v>99.92866784724113</v>
      </c>
      <c r="K162" s="41">
        <f t="shared" si="46"/>
        <v>4</v>
      </c>
      <c r="L162" s="5">
        <f t="shared" si="47"/>
        <v>30</v>
      </c>
      <c r="M162" s="5">
        <f t="shared" si="48"/>
        <v>40</v>
      </c>
      <c r="N162" s="5">
        <f t="shared" si="49"/>
        <v>0.154</v>
      </c>
      <c r="O162" s="5">
        <f t="shared" si="50"/>
        <v>0.1</v>
      </c>
      <c r="P162" s="365">
        <f t="shared" si="44"/>
        <v>0.7218554354171729</v>
      </c>
      <c r="Q162" s="5">
        <f t="shared" si="45"/>
        <v>12.597249781110918</v>
      </c>
      <c r="R162" s="5">
        <f t="shared" si="51"/>
        <v>0.12695577875388619</v>
      </c>
      <c r="S162" s="5">
        <f t="shared" si="53"/>
        <v>12.695577875388619</v>
      </c>
      <c r="T162" s="363">
        <f t="shared" si="54"/>
        <v>0.88985609092450402</v>
      </c>
      <c r="U162" s="358">
        <f>'Berekening trap 1'!H162*$T162</f>
        <v>1.7059717055359382E-3</v>
      </c>
      <c r="V162" s="359">
        <f>'Berekening trap 1'!I162*$T162</f>
        <v>6.3475350611231953E-4</v>
      </c>
    </row>
    <row r="163" spans="1:22" x14ac:dyDescent="0.2">
      <c r="A163" s="43">
        <f>A162*'Berekening trap 1'!H$58</f>
        <v>36.000100030976988</v>
      </c>
      <c r="B163" s="6">
        <f t="shared" si="38"/>
        <v>35.186836690584769</v>
      </c>
      <c r="C163" s="168">
        <f t="shared" si="52"/>
        <v>28.114786419762112</v>
      </c>
      <c r="D163" s="200">
        <f t="shared" si="56"/>
        <v>8.485593341021866E-4</v>
      </c>
      <c r="E163" s="197">
        <f t="shared" si="39"/>
        <v>1.5582034669961112E-3</v>
      </c>
      <c r="F163" s="43">
        <f t="shared" si="40"/>
        <v>2.775779176311528E-4</v>
      </c>
      <c r="G163" s="155">
        <f t="shared" si="41"/>
        <v>5.6108956650448944E-4</v>
      </c>
      <c r="H163" s="170">
        <f t="shared" si="42"/>
        <v>1.5582034669961112E-3</v>
      </c>
      <c r="I163" s="179">
        <f t="shared" si="43"/>
        <v>5.6108956650448944E-4</v>
      </c>
      <c r="J163" s="145">
        <f>IF(INVOER!$S$36=1,100-H163*100,100-I163*100)</f>
        <v>99.943891043349552</v>
      </c>
      <c r="K163" s="43">
        <f t="shared" si="46"/>
        <v>4</v>
      </c>
      <c r="L163" s="6">
        <f t="shared" si="47"/>
        <v>30</v>
      </c>
      <c r="M163" s="6">
        <f t="shared" si="48"/>
        <v>40</v>
      </c>
      <c r="N163" s="6">
        <f t="shared" si="49"/>
        <v>0.154</v>
      </c>
      <c r="O163" s="6">
        <f t="shared" si="50"/>
        <v>0.1</v>
      </c>
      <c r="P163" s="366">
        <f t="shared" si="44"/>
        <v>0.7218554354171729</v>
      </c>
      <c r="Q163" s="6">
        <f t="shared" si="45"/>
        <v>12.597249781110918</v>
      </c>
      <c r="R163" s="6">
        <f t="shared" si="51"/>
        <v>0.11836763337906098</v>
      </c>
      <c r="S163" s="6">
        <f t="shared" si="53"/>
        <v>11.836763337906097</v>
      </c>
      <c r="T163" s="357">
        <f t="shared" si="54"/>
        <v>0.85881453748252179</v>
      </c>
      <c r="U163" s="358">
        <f>'Berekening trap 1'!H163*$T163</f>
        <v>1.3382077898119271E-3</v>
      </c>
      <c r="V163" s="359">
        <f>'Berekening trap 1'!I163*$T163</f>
        <v>4.8187187654382177E-4</v>
      </c>
    </row>
    <row r="164" spans="1:22" x14ac:dyDescent="0.2">
      <c r="A164" s="43">
        <f>A163*'Berekening trap 1'!H$58</f>
        <v>37.703592496387621</v>
      </c>
      <c r="B164" s="6">
        <f t="shared" si="38"/>
        <v>36.851846263682305</v>
      </c>
      <c r="C164" s="168">
        <f t="shared" si="52"/>
        <v>29.445152912951944</v>
      </c>
      <c r="D164" s="200">
        <f t="shared" si="56"/>
        <v>6.6103555947712785E-4</v>
      </c>
      <c r="E164" s="197">
        <f t="shared" si="39"/>
        <v>1.2577582379744545E-3</v>
      </c>
      <c r="F164" s="43">
        <f t="shared" si="40"/>
        <v>2.0786923864484283E-4</v>
      </c>
      <c r="G164" s="155">
        <f t="shared" si="41"/>
        <v>4.3783053911015761E-4</v>
      </c>
      <c r="H164" s="170">
        <f t="shared" si="42"/>
        <v>1.2577582379744545E-3</v>
      </c>
      <c r="I164" s="179">
        <f t="shared" si="43"/>
        <v>4.3783053911015761E-4</v>
      </c>
      <c r="J164" s="145">
        <f>IF(INVOER!$S$36=1,100-H164*100,100-I164*100)</f>
        <v>99.956216946088986</v>
      </c>
      <c r="K164" s="43">
        <f t="shared" si="46"/>
        <v>4</v>
      </c>
      <c r="L164" s="6">
        <f t="shared" si="47"/>
        <v>30</v>
      </c>
      <c r="M164" s="6">
        <f t="shared" si="48"/>
        <v>40</v>
      </c>
      <c r="N164" s="6">
        <f t="shared" si="49"/>
        <v>0.154</v>
      </c>
      <c r="O164" s="6">
        <f t="shared" si="50"/>
        <v>0.1</v>
      </c>
      <c r="P164" s="366">
        <f t="shared" si="44"/>
        <v>0.7218554354171729</v>
      </c>
      <c r="Q164" s="6">
        <f t="shared" si="45"/>
        <v>12.597249781110918</v>
      </c>
      <c r="R164" s="6">
        <f t="shared" si="51"/>
        <v>0.11009842410755527</v>
      </c>
      <c r="S164" s="6">
        <f t="shared" si="53"/>
        <v>11.009842410755526</v>
      </c>
      <c r="T164" s="357">
        <f t="shared" si="54"/>
        <v>0.82692092715057064</v>
      </c>
      <c r="U164" s="358">
        <f>'Berekening trap 1'!H164*$T164</f>
        <v>1.0400666082771039E-3</v>
      </c>
      <c r="V164" s="359">
        <f>'Berekening trap 1'!I164*$T164</f>
        <v>3.620512353358057E-4</v>
      </c>
    </row>
    <row r="165" spans="1:22" x14ac:dyDescent="0.2">
      <c r="A165" s="43">
        <f>A164*'Berekening trap 1'!H$58</f>
        <v>39.487692698366033</v>
      </c>
      <c r="B165" s="6">
        <f t="shared" si="38"/>
        <v>38.595642597376823</v>
      </c>
      <c r="C165" s="168">
        <f t="shared" si="52"/>
        <v>30.838471156148952</v>
      </c>
      <c r="D165" s="200">
        <f t="shared" si="56"/>
        <v>5.1054309969605709E-4</v>
      </c>
      <c r="E165" s="197">
        <f t="shared" si="39"/>
        <v>1.0080251518476339E-3</v>
      </c>
      <c r="F165" s="43">
        <f t="shared" si="40"/>
        <v>1.5412402779209998E-4</v>
      </c>
      <c r="G165" s="155">
        <f t="shared" si="41"/>
        <v>3.3883749440814955E-4</v>
      </c>
      <c r="H165" s="170">
        <f t="shared" si="42"/>
        <v>1.0080251518476339E-3</v>
      </c>
      <c r="I165" s="179">
        <f t="shared" si="43"/>
        <v>3.3883749440814955E-4</v>
      </c>
      <c r="J165" s="145">
        <f>IF(INVOER!$S$36=1,100-H165*100,100-I165*100)</f>
        <v>99.966116250559182</v>
      </c>
      <c r="K165" s="43">
        <f t="shared" si="46"/>
        <v>4</v>
      </c>
      <c r="L165" s="6">
        <f t="shared" si="47"/>
        <v>30</v>
      </c>
      <c r="M165" s="6">
        <f t="shared" si="48"/>
        <v>40</v>
      </c>
      <c r="N165" s="6">
        <f t="shared" si="49"/>
        <v>0.154</v>
      </c>
      <c r="O165" s="6">
        <f t="shared" si="50"/>
        <v>0.1</v>
      </c>
      <c r="P165" s="366">
        <f t="shared" si="44"/>
        <v>0.7218554354171729</v>
      </c>
      <c r="Q165" s="6">
        <f t="shared" si="45"/>
        <v>12.597249781110918</v>
      </c>
      <c r="R165" s="6">
        <f t="shared" si="51"/>
        <v>0.10215552343914847</v>
      </c>
      <c r="S165" s="6">
        <f t="shared" si="53"/>
        <v>10.215552343914847</v>
      </c>
      <c r="T165" s="357">
        <f t="shared" si="54"/>
        <v>0.79429006684068049</v>
      </c>
      <c r="U165" s="358">
        <f>'Berekening trap 1'!H165*$T165</f>
        <v>8.0066436523814428E-4</v>
      </c>
      <c r="V165" s="359">
        <f>'Berekening trap 1'!I165*$T165</f>
        <v>2.6913525608157781E-4</v>
      </c>
    </row>
    <row r="166" spans="1:22" x14ac:dyDescent="0.2">
      <c r="A166" s="45">
        <f>A165*'Berekening trap 1'!H$58</f>
        <v>41.356214922755292</v>
      </c>
      <c r="B166" s="46">
        <f t="shared" si="38"/>
        <v>40.421953810560666</v>
      </c>
      <c r="C166" s="182">
        <f t="shared" si="52"/>
        <v>32.297719969737798</v>
      </c>
      <c r="D166" s="201">
        <f t="shared" si="56"/>
        <v>3.9081856817713937E-4</v>
      </c>
      <c r="E166" s="167">
        <f t="shared" si="39"/>
        <v>8.0194346658086764E-4</v>
      </c>
      <c r="F166" s="45">
        <f t="shared" si="40"/>
        <v>1.1310322495150011E-4</v>
      </c>
      <c r="G166" s="183">
        <f t="shared" si="41"/>
        <v>2.5999748235281219E-4</v>
      </c>
      <c r="H166" s="171">
        <f t="shared" si="42"/>
        <v>8.0194346658086764E-4</v>
      </c>
      <c r="I166" s="235">
        <f t="shared" si="43"/>
        <v>2.5999748235281219E-4</v>
      </c>
      <c r="J166" s="145">
        <f>IF(INVOER!$S$36=1,100-H166*100,100-I166*100)</f>
        <v>99.974000251764721</v>
      </c>
      <c r="K166" s="43">
        <f t="shared" si="46"/>
        <v>5</v>
      </c>
      <c r="L166" s="6">
        <f t="shared" si="47"/>
        <v>40</v>
      </c>
      <c r="M166" s="6">
        <f t="shared" si="48"/>
        <v>50</v>
      </c>
      <c r="N166" s="6">
        <f t="shared" si="49"/>
        <v>0.1</v>
      </c>
      <c r="O166" s="6">
        <f t="shared" si="50"/>
        <v>6.7000000000000004E-2</v>
      </c>
      <c r="P166" s="366">
        <f t="shared" si="44"/>
        <v>0.71860917482057307</v>
      </c>
      <c r="Q166" s="6">
        <f t="shared" si="45"/>
        <v>12.531670570374313</v>
      </c>
      <c r="R166" s="6">
        <f t="shared" si="51"/>
        <v>9.4569232449987994E-2</v>
      </c>
      <c r="S166" s="6">
        <f t="shared" si="53"/>
        <v>9.4569232449987997</v>
      </c>
      <c r="T166" s="357">
        <f t="shared" si="54"/>
        <v>0.75862909891604713</v>
      </c>
      <c r="U166" s="361">
        <f>'Berekening trap 1'!H166*$T166</f>
        <v>6.0837764943385479E-4</v>
      </c>
      <c r="V166" s="362">
        <f>'Berekening trap 1'!I166*$T166</f>
        <v>1.9724165575775478E-4</v>
      </c>
    </row>
    <row r="167" spans="1:22" x14ac:dyDescent="0.2">
      <c r="A167" s="43">
        <f>A166*'Berekening trap 1'!H$58</f>
        <v>43.313153943985682</v>
      </c>
      <c r="B167" s="6">
        <f t="shared" si="38"/>
        <v>42.334684433370484</v>
      </c>
      <c r="C167" s="168">
        <f t="shared" si="52"/>
        <v>33.826019129213705</v>
      </c>
      <c r="D167" s="200">
        <f t="shared" si="56"/>
        <v>2.9642776058270634E-4</v>
      </c>
      <c r="E167" s="197">
        <f t="shared" si="39"/>
        <v>6.3315186658975372E-4</v>
      </c>
      <c r="F167" s="43">
        <f t="shared" si="40"/>
        <v>8.2119942559553781E-5</v>
      </c>
      <c r="G167" s="155">
        <f t="shared" si="41"/>
        <v>1.9774970404628638E-4</v>
      </c>
      <c r="H167" s="170">
        <f t="shared" si="42"/>
        <v>6.3315186658975372E-4</v>
      </c>
      <c r="I167" s="179">
        <f t="shared" si="43"/>
        <v>1.9774970404628638E-4</v>
      </c>
      <c r="J167" s="147">
        <f>IF(INVOER!$S$36=1,100-H167*100,100-I167*100)</f>
        <v>99.980225029595374</v>
      </c>
      <c r="K167" s="41">
        <f t="shared" si="46"/>
        <v>5</v>
      </c>
      <c r="L167" s="5">
        <f t="shared" si="47"/>
        <v>40</v>
      </c>
      <c r="M167" s="5">
        <f t="shared" si="48"/>
        <v>50</v>
      </c>
      <c r="N167" s="5">
        <f t="shared" si="49"/>
        <v>0.1</v>
      </c>
      <c r="O167" s="5">
        <f t="shared" si="50"/>
        <v>6.7000000000000004E-2</v>
      </c>
      <c r="P167" s="365">
        <f t="shared" si="44"/>
        <v>0.71860917482057307</v>
      </c>
      <c r="Q167" s="5">
        <f t="shared" si="45"/>
        <v>12.531670570374313</v>
      </c>
      <c r="R167" s="5">
        <f t="shared" si="51"/>
        <v>8.7327018326305558E-2</v>
      </c>
      <c r="S167" s="5">
        <f t="shared" si="53"/>
        <v>8.7327018326305552</v>
      </c>
      <c r="T167" s="363">
        <f t="shared" si="54"/>
        <v>0.72422141236824356</v>
      </c>
      <c r="U167" s="358">
        <f>'Berekening trap 1'!H167*$T167</f>
        <v>4.5854213906522113E-4</v>
      </c>
      <c r="V167" s="359">
        <f>'Berekening trap 1'!I167*$T167</f>
        <v>1.4321456995980368E-4</v>
      </c>
    </row>
    <row r="168" spans="1:22" x14ac:dyDescent="0.2">
      <c r="A168" s="43">
        <f>A167*'Berekening trap 1'!H$58</f>
        <v>45.362693565632895</v>
      </c>
      <c r="B168" s="6">
        <f t="shared" si="38"/>
        <v>44.337923754809289</v>
      </c>
      <c r="C168" s="168">
        <f t="shared" si="52"/>
        <v>35.426636035051999</v>
      </c>
      <c r="D168" s="200">
        <f t="shared" si="56"/>
        <v>2.2270221047288624E-4</v>
      </c>
      <c r="E168" s="197">
        <f t="shared" si="39"/>
        <v>4.9596817282559374E-4</v>
      </c>
      <c r="F168" s="43">
        <f t="shared" si="40"/>
        <v>5.8969902353484892E-5</v>
      </c>
      <c r="G168" s="155">
        <f t="shared" si="41"/>
        <v>1.4904046909760966E-4</v>
      </c>
      <c r="H168" s="170">
        <f t="shared" si="42"/>
        <v>4.9596817282559374E-4</v>
      </c>
      <c r="I168" s="179">
        <f t="shared" si="43"/>
        <v>1.4904046909760966E-4</v>
      </c>
      <c r="J168" s="145">
        <f>IF(INVOER!$S$36=1,100-H168*100,100-I168*100)</f>
        <v>99.985095953090237</v>
      </c>
      <c r="K168" s="43">
        <f t="shared" si="46"/>
        <v>5</v>
      </c>
      <c r="L168" s="6">
        <f t="shared" si="47"/>
        <v>40</v>
      </c>
      <c r="M168" s="6">
        <f t="shared" si="48"/>
        <v>50</v>
      </c>
      <c r="N168" s="6">
        <f t="shared" si="49"/>
        <v>0.1</v>
      </c>
      <c r="O168" s="6">
        <f t="shared" si="50"/>
        <v>6.7000000000000004E-2</v>
      </c>
      <c r="P168" s="366">
        <f t="shared" si="44"/>
        <v>0.71860917482057307</v>
      </c>
      <c r="Q168" s="6">
        <f t="shared" si="45"/>
        <v>12.531670570374313</v>
      </c>
      <c r="R168" s="6">
        <f t="shared" si="51"/>
        <v>8.0422672409568075E-2</v>
      </c>
      <c r="S168" s="6">
        <f t="shared" si="53"/>
        <v>8.0422672409568072</v>
      </c>
      <c r="T168" s="357">
        <f t="shared" si="54"/>
        <v>0.69043459167374843</v>
      </c>
      <c r="U168" s="358">
        <f>'Berekening trap 1'!H168*$T168</f>
        <v>3.424335828880139E-4</v>
      </c>
      <c r="V168" s="359">
        <f>'Berekening trap 1'!I168*$T168</f>
        <v>1.0290269542427204E-4</v>
      </c>
    </row>
    <row r="169" spans="1:22" x14ac:dyDescent="0.2">
      <c r="A169" s="43">
        <f>A168*'Berekening trap 1'!H$58</f>
        <v>47.509215565107738</v>
      </c>
      <c r="B169" s="6">
        <f t="shared" si="38"/>
        <v>46.435954565370317</v>
      </c>
      <c r="C169" s="168">
        <f t="shared" si="52"/>
        <v>37.102992698189809</v>
      </c>
      <c r="D169" s="200">
        <f t="shared" si="56"/>
        <v>1.6567173022740284E-4</v>
      </c>
      <c r="E169" s="197">
        <f t="shared" si="39"/>
        <v>3.8536109680774875E-4</v>
      </c>
      <c r="F169" s="43">
        <f t="shared" si="40"/>
        <v>4.1865265039197999E-5</v>
      </c>
      <c r="G169" s="155">
        <f t="shared" si="41"/>
        <v>1.1127629418421137E-4</v>
      </c>
      <c r="H169" s="170">
        <f t="shared" si="42"/>
        <v>3.8536109680774875E-4</v>
      </c>
      <c r="I169" s="179">
        <f t="shared" si="43"/>
        <v>1.1127629418421137E-4</v>
      </c>
      <c r="J169" s="145">
        <f>IF(INVOER!$S$36=1,100-H169*100,100-I169*100)</f>
        <v>99.988872370581575</v>
      </c>
      <c r="K169" s="43">
        <f t="shared" si="46"/>
        <v>5</v>
      </c>
      <c r="L169" s="6">
        <f t="shared" si="47"/>
        <v>40</v>
      </c>
      <c r="M169" s="6">
        <f t="shared" si="48"/>
        <v>50</v>
      </c>
      <c r="N169" s="6">
        <f t="shared" si="49"/>
        <v>0.1</v>
      </c>
      <c r="O169" s="6">
        <f t="shared" si="50"/>
        <v>6.7000000000000004E-2</v>
      </c>
      <c r="P169" s="366">
        <f t="shared" si="44"/>
        <v>0.71860917482057307</v>
      </c>
      <c r="Q169" s="6">
        <f t="shared" si="45"/>
        <v>12.531670570374313</v>
      </c>
      <c r="R169" s="6">
        <f t="shared" si="51"/>
        <v>7.3858414716778203E-2</v>
      </c>
      <c r="S169" s="6">
        <f t="shared" si="53"/>
        <v>7.3858414716778205</v>
      </c>
      <c r="T169" s="357">
        <f t="shared" si="54"/>
        <v>0.6564257692789871</v>
      </c>
      <c r="U169" s="358">
        <f>'Berekening trap 1'!H169*$T169</f>
        <v>2.5296095442222072E-4</v>
      </c>
      <c r="V169" s="359">
        <f>'Berekening trap 1'!I169*$T169</f>
        <v>7.3044627012385833E-5</v>
      </c>
    </row>
    <row r="170" spans="1:22" x14ac:dyDescent="0.2">
      <c r="A170" s="43">
        <f>A169*'Berekening trap 1'!H$58</f>
        <v>49.757309061600566</v>
      </c>
      <c r="B170" s="6">
        <f t="shared" si="38"/>
        <v>48.633262313354152</v>
      </c>
      <c r="C170" s="168">
        <f t="shared" si="52"/>
        <v>38.858673056054542</v>
      </c>
      <c r="D170" s="200">
        <f t="shared" si="56"/>
        <v>1.2199493231992254E-4</v>
      </c>
      <c r="E170" s="197">
        <f t="shared" si="39"/>
        <v>2.9691535818422102E-4</v>
      </c>
      <c r="F170" s="43">
        <f t="shared" si="40"/>
        <v>2.9372892985036826E-5</v>
      </c>
      <c r="G170" s="155">
        <f t="shared" si="41"/>
        <v>8.2276386896041026E-5</v>
      </c>
      <c r="H170" s="170">
        <f t="shared" si="42"/>
        <v>2.9691535818422102E-4</v>
      </c>
      <c r="I170" s="179">
        <f t="shared" si="43"/>
        <v>8.2276386896041026E-5</v>
      </c>
      <c r="J170" s="145">
        <f>IF(INVOER!$S$36=1,100-H170*100,100-I170*100)</f>
        <v>99.991772361310396</v>
      </c>
      <c r="K170" s="43">
        <f t="shared" si="46"/>
        <v>5</v>
      </c>
      <c r="L170" s="6">
        <f t="shared" si="47"/>
        <v>40</v>
      </c>
      <c r="M170" s="6">
        <f t="shared" si="48"/>
        <v>50</v>
      </c>
      <c r="N170" s="6">
        <f t="shared" si="49"/>
        <v>0.1</v>
      </c>
      <c r="O170" s="6">
        <f t="shared" si="50"/>
        <v>6.7000000000000004E-2</v>
      </c>
      <c r="P170" s="366">
        <f t="shared" si="44"/>
        <v>0.71860917482057307</v>
      </c>
      <c r="Q170" s="6">
        <f t="shared" si="45"/>
        <v>12.531670570374313</v>
      </c>
      <c r="R170" s="6">
        <f t="shared" si="51"/>
        <v>6.7635118357535051E-2</v>
      </c>
      <c r="S170" s="6">
        <f t="shared" si="53"/>
        <v>6.7635118357535049</v>
      </c>
      <c r="T170" s="357">
        <f t="shared" si="54"/>
        <v>0.62232963592431523</v>
      </c>
      <c r="U170" s="358">
        <f>'Berekening trap 1'!H170*$T170</f>
        <v>1.8477922675912392E-4</v>
      </c>
      <c r="V170" s="359">
        <f>'Berekening trap 1'!I170*$T170</f>
        <v>5.1203033902181312E-5</v>
      </c>
    </row>
    <row r="171" spans="1:22" x14ac:dyDescent="0.2">
      <c r="A171" s="45">
        <f>A170*'Berekening trap 1'!H$58</f>
        <v>52.111780327308445</v>
      </c>
      <c r="B171" s="46">
        <f t="shared" si="38"/>
        <v>50.934544694454502</v>
      </c>
      <c r="C171" s="182">
        <f t="shared" si="52"/>
        <v>40.697430634780289</v>
      </c>
      <c r="D171" s="201">
        <f t="shared" si="56"/>
        <v>8.8889569215811661E-5</v>
      </c>
      <c r="E171" s="167">
        <f t="shared" si="39"/>
        <v>2.2679154907527174E-4</v>
      </c>
      <c r="F171" s="45">
        <f t="shared" si="40"/>
        <v>2.0357800566316193E-5</v>
      </c>
      <c r="G171" s="183">
        <f t="shared" si="41"/>
        <v>6.0225635707922467E-5</v>
      </c>
      <c r="H171" s="171">
        <f t="shared" si="42"/>
        <v>2.2679154907527174E-4</v>
      </c>
      <c r="I171" s="235">
        <f t="shared" si="43"/>
        <v>6.0225635707922467E-5</v>
      </c>
      <c r="J171" s="238">
        <f>IF(INVOER!$S$36=1,100-H171*100,100-I171*100)</f>
        <v>99.993977436429205</v>
      </c>
      <c r="K171" s="43">
        <f t="shared" si="46"/>
        <v>6</v>
      </c>
      <c r="L171" s="6">
        <f t="shared" si="47"/>
        <v>50</v>
      </c>
      <c r="M171" s="6">
        <f t="shared" si="48"/>
        <v>60</v>
      </c>
      <c r="N171" s="6">
        <f t="shared" si="49"/>
        <v>6.7000000000000004E-2</v>
      </c>
      <c r="O171" s="6">
        <f t="shared" si="50"/>
        <v>4.4999999999999998E-2</v>
      </c>
      <c r="P171" s="366">
        <f t="shared" si="44"/>
        <v>0.75344416707092621</v>
      </c>
      <c r="Q171" s="6">
        <f t="shared" si="45"/>
        <v>13.359616924545369</v>
      </c>
      <c r="R171" s="6">
        <f t="shared" si="51"/>
        <v>6.150481630190336E-2</v>
      </c>
      <c r="S171" s="6">
        <f t="shared" si="53"/>
        <v>6.1504816301903364</v>
      </c>
      <c r="T171" s="357">
        <f t="shared" si="54"/>
        <v>0.61303020556316912</v>
      </c>
      <c r="U171" s="361">
        <f>'Berekening trap 1'!H171*$T171</f>
        <v>1.390300699496034E-4</v>
      </c>
      <c r="V171" s="362">
        <f>'Berekening trap 1'!I171*$T171</f>
        <v>3.6920133838200246E-5</v>
      </c>
    </row>
    <row r="172" spans="1:22" x14ac:dyDescent="0.2">
      <c r="A172" s="43">
        <f>A171*'Berekening trap 1'!H$58</f>
        <v>54.577663062920799</v>
      </c>
      <c r="B172" s="6">
        <f t="shared" si="38"/>
        <v>53.344721695114622</v>
      </c>
      <c r="C172" s="168">
        <f t="shared" si="52"/>
        <v>42.623196573993397</v>
      </c>
      <c r="D172" s="200">
        <f t="shared" si="56"/>
        <v>6.4064322568806425E-5</v>
      </c>
      <c r="E172" s="197">
        <f t="shared" si="39"/>
        <v>1.7168214430472858E-4</v>
      </c>
      <c r="F172" s="43">
        <f t="shared" si="40"/>
        <v>1.3932270053977527E-5</v>
      </c>
      <c r="G172" s="155">
        <f t="shared" si="41"/>
        <v>4.3629077928617015E-5</v>
      </c>
      <c r="H172" s="170">
        <f t="shared" si="42"/>
        <v>1.7168214430472858E-4</v>
      </c>
      <c r="I172" s="179">
        <f t="shared" si="43"/>
        <v>4.3629077928617015E-5</v>
      </c>
      <c r="J172" s="145">
        <f>IF(INVOER!$S$36=1,100-H172*100,100-I172*100)</f>
        <v>99.995637092207133</v>
      </c>
      <c r="K172" s="41">
        <f t="shared" ref="K172:K186" si="57">VLOOKUP(A172,Z$76:AB$146,3)</f>
        <v>6</v>
      </c>
      <c r="L172" s="5">
        <f t="shared" ref="L172:L186" si="58">IF(K172=0,VLOOKUP(1,Y$77:AA$146,2),VLOOKUP(K172,Y$76:Z$145,2))</f>
        <v>50</v>
      </c>
      <c r="M172" s="5">
        <f t="shared" ref="M172:M186" si="59">IF(K172=0,VLOOKUP(2,Y$77:AA$145,2),VLOOKUP(K172+1,Y$77:Z$145,2))</f>
        <v>60</v>
      </c>
      <c r="N172" s="5">
        <f t="shared" ref="N172:N185" si="60">(VLOOKUP(L172,Z$76:AA$146,2))/100</f>
        <v>6.7000000000000004E-2</v>
      </c>
      <c r="O172" s="5">
        <f t="shared" ref="O172:O184" si="61">(VLOOKUP(M172,Z$76:AA$145,2))/100</f>
        <v>4.4999999999999998E-2</v>
      </c>
      <c r="P172" s="365">
        <f t="shared" si="44"/>
        <v>0.75344416707092621</v>
      </c>
      <c r="Q172" s="5">
        <f t="shared" si="45"/>
        <v>13.359616924545369</v>
      </c>
      <c r="R172" s="5">
        <f t="shared" si="51"/>
        <v>5.5715752214231959E-2</v>
      </c>
      <c r="S172" s="5">
        <f t="shared" si="53"/>
        <v>5.5715752214231955</v>
      </c>
      <c r="T172" s="363">
        <f t="shared" si="54"/>
        <v>0.57890640876714017</v>
      </c>
      <c r="U172" s="358">
        <f>'Berekening trap 1'!H172*$T172</f>
        <v>9.9387893608892343E-5</v>
      </c>
      <c r="V172" s="359">
        <f>'Berekening trap 1'!I172*$T172</f>
        <v>2.5257152821477375E-5</v>
      </c>
    </row>
    <row r="173" spans="1:22" x14ac:dyDescent="0.2">
      <c r="A173" s="43">
        <f>A172*'Berekening trap 1'!H$58</f>
        <v>57.160229159331799</v>
      </c>
      <c r="B173" s="6">
        <f t="shared" si="38"/>
        <v>55.868946111126299</v>
      </c>
      <c r="C173" s="168">
        <f t="shared" si="52"/>
        <v>44.640088031323707</v>
      </c>
      <c r="D173" s="200">
        <f t="shared" si="56"/>
        <v>4.5653426980971465E-5</v>
      </c>
      <c r="E173" s="197">
        <f t="shared" si="39"/>
        <v>1.2876502647420142E-4</v>
      </c>
      <c r="F173" s="43">
        <f t="shared" si="40"/>
        <v>9.4108546204656497E-6</v>
      </c>
      <c r="G173" s="155">
        <f t="shared" si="41"/>
        <v>3.1268650981756198E-5</v>
      </c>
      <c r="H173" s="170">
        <f t="shared" si="42"/>
        <v>1.2876502647420142E-4</v>
      </c>
      <c r="I173" s="179">
        <f t="shared" si="43"/>
        <v>3.1268650981756198E-5</v>
      </c>
      <c r="J173" s="145">
        <f>IF(INVOER!$S$36=1,100-H173*100,100-I173*100)</f>
        <v>99.996873134901819</v>
      </c>
      <c r="K173" s="43">
        <f t="shared" si="57"/>
        <v>6</v>
      </c>
      <c r="L173" s="6">
        <f t="shared" si="58"/>
        <v>50</v>
      </c>
      <c r="M173" s="6">
        <f t="shared" si="59"/>
        <v>60</v>
      </c>
      <c r="N173" s="6">
        <f t="shared" si="60"/>
        <v>6.7000000000000004E-2</v>
      </c>
      <c r="O173" s="6">
        <f>(VLOOKUP(M173,Z$76:AA$145,2))/100</f>
        <v>4.4999999999999998E-2</v>
      </c>
      <c r="P173" s="366">
        <f>(LN(LN(N173)/LN(O173)))/LN(L173/M173)</f>
        <v>0.75344416707092621</v>
      </c>
      <c r="Q173" s="6">
        <f t="shared" si="45"/>
        <v>13.359616924545369</v>
      </c>
      <c r="R173" s="6">
        <f t="shared" si="51"/>
        <v>5.0295025747868968E-2</v>
      </c>
      <c r="S173" s="6">
        <f t="shared" si="53"/>
        <v>5.0295025747868971</v>
      </c>
      <c r="T173" s="357">
        <f t="shared" si="54"/>
        <v>0.54207264663629906</v>
      </c>
      <c r="U173" s="358">
        <f>'Berekening trap 1'!H173*$T173</f>
        <v>6.9799998695063483E-5</v>
      </c>
      <c r="V173" s="359">
        <f>'Berekening trap 1'!I173*$T173</f>
        <v>1.6949880394427292E-5</v>
      </c>
    </row>
    <row r="174" spans="1:22" x14ac:dyDescent="0.2">
      <c r="A174" s="43">
        <f>A173*'Berekening trap 1'!H$58</f>
        <v>59.864999968587362</v>
      </c>
      <c r="B174" s="6">
        <f t="shared" si="38"/>
        <v>58.51261456395958</v>
      </c>
      <c r="C174" s="168">
        <f t="shared" si="52"/>
        <v>46.752416984609766</v>
      </c>
      <c r="D174" s="200">
        <f t="shared" si="56"/>
        <v>3.2155244417092224E-5</v>
      </c>
      <c r="E174" s="197">
        <f t="shared" si="39"/>
        <v>9.5655822523123998E-5</v>
      </c>
      <c r="F174" s="43">
        <f t="shared" si="40"/>
        <v>6.2712634635078756E-6</v>
      </c>
      <c r="G174" s="155">
        <f t="shared" si="41"/>
        <v>2.2162856907835758E-5</v>
      </c>
      <c r="H174" s="170">
        <f t="shared" si="42"/>
        <v>9.5655822523123998E-5</v>
      </c>
      <c r="I174" s="179">
        <f t="shared" si="43"/>
        <v>2.2162856907835758E-5</v>
      </c>
      <c r="J174" s="145">
        <f>IF(INVOER!$S$36=1,100-H174*100,100-I174*100)</f>
        <v>99.997783714309222</v>
      </c>
      <c r="K174" s="43">
        <f t="shared" si="57"/>
        <v>6</v>
      </c>
      <c r="L174" s="6">
        <f t="shared" si="58"/>
        <v>50</v>
      </c>
      <c r="M174" s="6">
        <f t="shared" si="59"/>
        <v>60</v>
      </c>
      <c r="N174" s="6">
        <f t="shared" si="60"/>
        <v>6.7000000000000004E-2</v>
      </c>
      <c r="O174" s="6">
        <f t="shared" si="61"/>
        <v>4.4999999999999998E-2</v>
      </c>
      <c r="P174" s="366">
        <f t="shared" si="44"/>
        <v>0.75344416707092621</v>
      </c>
      <c r="Q174" s="6">
        <f t="shared" si="45"/>
        <v>13.359616924545369</v>
      </c>
      <c r="R174" s="6">
        <f t="shared" si="51"/>
        <v>4.5237259666549956E-2</v>
      </c>
      <c r="S174" s="6">
        <f t="shared" si="53"/>
        <v>4.5237259666549958</v>
      </c>
      <c r="T174" s="357">
        <f t="shared" si="54"/>
        <v>0.50577660813190128</v>
      </c>
      <c r="U174" s="358">
        <f>'Berekening trap 1'!H174*$T174</f>
        <v>4.8380477463812784E-5</v>
      </c>
      <c r="V174" s="359">
        <f>'Berekening trap 1'!I174*$T174</f>
        <v>1.1209454593357848E-5</v>
      </c>
    </row>
    <row r="175" spans="1:22" x14ac:dyDescent="0.2">
      <c r="A175" s="43">
        <f>A174*'Berekening trap 1'!H$58</f>
        <v>62.697758108163249</v>
      </c>
      <c r="B175" s="6">
        <f>(A174+A175)/2</f>
        <v>61.281379038375306</v>
      </c>
      <c r="C175" s="168">
        <f t="shared" si="52"/>
        <v>48.9646994506165</v>
      </c>
      <c r="D175" s="200">
        <f t="shared" si="56"/>
        <v>2.2375626676825438E-5</v>
      </c>
      <c r="E175" s="197">
        <f t="shared" si="39"/>
        <v>7.0360239544137399E-5</v>
      </c>
      <c r="F175" s="43">
        <f t="shared" si="40"/>
        <v>4.1209338500307706E-6</v>
      </c>
      <c r="G175" s="155">
        <f t="shared" si="41"/>
        <v>1.5529793823692855E-5</v>
      </c>
      <c r="H175" s="170">
        <f t="shared" si="42"/>
        <v>7.0360239544137399E-5</v>
      </c>
      <c r="I175" s="179">
        <f t="shared" si="43"/>
        <v>1.5529793823692855E-5</v>
      </c>
      <c r="J175" s="145">
        <f>IF(INVOER!$S$36=1,100-H175*100,100-I175*100)</f>
        <v>99.998447020617633</v>
      </c>
      <c r="K175" s="43">
        <f t="shared" si="57"/>
        <v>7</v>
      </c>
      <c r="L175" s="6">
        <f t="shared" si="58"/>
        <v>60</v>
      </c>
      <c r="M175" s="6">
        <f t="shared" si="59"/>
        <v>80</v>
      </c>
      <c r="N175" s="6">
        <f t="shared" si="60"/>
        <v>4.4999999999999998E-2</v>
      </c>
      <c r="O175" s="6">
        <f t="shared" si="61"/>
        <v>0.02</v>
      </c>
      <c r="P175" s="366">
        <f t="shared" si="44"/>
        <v>0.8074888674381826</v>
      </c>
      <c r="Q175" s="6">
        <f t="shared" si="45"/>
        <v>14.772562902677503</v>
      </c>
      <c r="R175" s="6">
        <f t="shared" si="51"/>
        <v>4.0227483502843699E-2</v>
      </c>
      <c r="S175" s="6">
        <f t="shared" si="53"/>
        <v>4.0227483502843695</v>
      </c>
      <c r="T175" s="357">
        <f t="shared" si="54"/>
        <v>0.50097761637062577</v>
      </c>
      <c r="U175" s="358">
        <f>'Berekening trap 1'!H175*$T175</f>
        <v>3.5248905094088197E-5</v>
      </c>
      <c r="V175" s="359">
        <f>'Berekening trap 1'!I175*$T175</f>
        <v>7.7800790925209119E-6</v>
      </c>
    </row>
    <row r="176" spans="1:22" x14ac:dyDescent="0.2">
      <c r="A176" s="45">
        <f>A175*'Berekening trap 1'!H$58</f>
        <v>65.664559823811032</v>
      </c>
      <c r="B176" s="46">
        <f t="shared" ref="B176:B185" si="62">(A175+A176)/2</f>
        <v>64.181158965987137</v>
      </c>
      <c r="C176" s="182">
        <f t="shared" si="52"/>
        <v>51.281665139974265</v>
      </c>
      <c r="D176" s="201">
        <f t="shared" si="56"/>
        <v>1.5376628692188641E-5</v>
      </c>
      <c r="E176" s="167">
        <f t="shared" ref="E176:E185" si="63">IF(C176-$K$36&gt;0,EXP(-(((C176-$K$36)/$K$38)^$K$40)),1)</f>
        <v>5.1227449205696216E-5</v>
      </c>
      <c r="F176" s="45">
        <f t="shared" ref="F176:F185" si="64">D176^($B$54*$B$63)</f>
        <v>2.6689448221836801E-6</v>
      </c>
      <c r="G176" s="183">
        <f t="shared" ref="G176:G185" si="65">E176^($B$54*$B$63)</f>
        <v>1.0753838826918589E-5</v>
      </c>
      <c r="H176" s="171">
        <f t="shared" ref="H176:H185" si="66">IF(C176&lt;$K$41,D176,E176)</f>
        <v>5.1227449205696216E-5</v>
      </c>
      <c r="I176" s="235">
        <f t="shared" ref="I176:I185" si="67">IF(C176&lt;$K$41,F176,G176)</f>
        <v>1.0753838826918589E-5</v>
      </c>
      <c r="J176" s="145">
        <f>IF(INVOER!$S$36=1,100-H176*100,100-I176*100)</f>
        <v>99.998924616117307</v>
      </c>
      <c r="K176" s="43">
        <f t="shared" si="57"/>
        <v>7</v>
      </c>
      <c r="L176" s="6">
        <f t="shared" si="58"/>
        <v>60</v>
      </c>
      <c r="M176" s="6">
        <f t="shared" si="59"/>
        <v>80</v>
      </c>
      <c r="N176" s="6">
        <f t="shared" si="60"/>
        <v>4.4999999999999998E-2</v>
      </c>
      <c r="O176" s="6">
        <f t="shared" si="61"/>
        <v>0.02</v>
      </c>
      <c r="P176" s="366">
        <f t="shared" ref="P176:P185" si="68">(LN(LN(N176)/LN(O176)))/LN(L176/M176)</f>
        <v>0.8074888674381826</v>
      </c>
      <c r="Q176" s="6">
        <f t="shared" ref="Q176:Q185" si="69">L176/((-LN(N176))^(1/P176))</f>
        <v>14.772562902677503</v>
      </c>
      <c r="R176" s="6">
        <f t="shared" si="51"/>
        <v>3.5599228114866932E-2</v>
      </c>
      <c r="S176" s="6">
        <f t="shared" si="53"/>
        <v>3.5599228114866932</v>
      </c>
      <c r="T176" s="357">
        <f t="shared" si="54"/>
        <v>0.46282553879767663</v>
      </c>
      <c r="U176" s="361">
        <f>'Berekening trap 1'!H176*$T176</f>
        <v>2.3709371779856964E-5</v>
      </c>
      <c r="V176" s="362">
        <f>'Berekening trap 1'!I176*$T176</f>
        <v>4.9771512492119709E-6</v>
      </c>
    </row>
    <row r="177" spans="1:24" x14ac:dyDescent="0.2">
      <c r="A177" s="43">
        <f>A176*'Berekening trap 1'!H$58</f>
        <v>68.771747937402836</v>
      </c>
      <c r="B177" s="6">
        <f t="shared" si="62"/>
        <v>67.218153880606934</v>
      </c>
      <c r="C177" s="168">
        <f t="shared" si="52"/>
        <v>53.708267568981086</v>
      </c>
      <c r="D177" s="200">
        <f t="shared" si="56"/>
        <v>1.0430876933447651E-5</v>
      </c>
      <c r="E177" s="197">
        <f t="shared" si="63"/>
        <v>3.6905410169418537E-5</v>
      </c>
      <c r="F177" s="43">
        <f t="shared" si="64"/>
        <v>1.702818362079783E-6</v>
      </c>
      <c r="G177" s="155">
        <f t="shared" si="65"/>
        <v>7.3561109944764895E-6</v>
      </c>
      <c r="H177" s="170">
        <f t="shared" si="66"/>
        <v>3.6905410169418537E-5</v>
      </c>
      <c r="I177" s="179">
        <f t="shared" si="67"/>
        <v>7.3561109944764895E-6</v>
      </c>
      <c r="J177" s="147">
        <f>IF(INVOER!$S$36=1,100-H177*100,100-I177*100)</f>
        <v>99.999264388900556</v>
      </c>
      <c r="K177" s="41">
        <f t="shared" si="57"/>
        <v>7</v>
      </c>
      <c r="L177" s="5">
        <f t="shared" si="58"/>
        <v>60</v>
      </c>
      <c r="M177" s="5">
        <f t="shared" si="59"/>
        <v>80</v>
      </c>
      <c r="N177" s="5">
        <f t="shared" si="60"/>
        <v>4.4999999999999998E-2</v>
      </c>
      <c r="O177" s="5">
        <f t="shared" si="61"/>
        <v>0.02</v>
      </c>
      <c r="P177" s="365">
        <f t="shared" si="68"/>
        <v>0.8074888674381826</v>
      </c>
      <c r="Q177" s="5">
        <f t="shared" si="69"/>
        <v>14.772562902677503</v>
      </c>
      <c r="R177" s="5">
        <f t="shared" si="51"/>
        <v>3.1357332474317649E-2</v>
      </c>
      <c r="S177" s="5">
        <f t="shared" si="53"/>
        <v>3.135733247431765</v>
      </c>
      <c r="T177" s="363">
        <f t="shared" si="54"/>
        <v>0.42418956405492825</v>
      </c>
      <c r="U177" s="358">
        <f>'Berekening trap 1'!H177*$T177</f>
        <v>1.5654889851033966E-5</v>
      </c>
      <c r="V177" s="359">
        <f>'Berekening trap 1'!I177*$T177</f>
        <v>3.1203855158866469E-6</v>
      </c>
    </row>
    <row r="178" spans="1:24" x14ac:dyDescent="0.2">
      <c r="A178" s="43">
        <f>A177*'Berekening trap 1'!H$58</f>
        <v>72.025965407456496</v>
      </c>
      <c r="B178" s="6">
        <f t="shared" si="62"/>
        <v>70.398856672429673</v>
      </c>
      <c r="C178" s="168">
        <f t="shared" si="52"/>
        <v>56.249694649886187</v>
      </c>
      <c r="D178" s="200">
        <f t="shared" si="56"/>
        <v>6.9816648654682283E-6</v>
      </c>
      <c r="E178" s="197">
        <f t="shared" si="63"/>
        <v>2.6298844872608961E-5</v>
      </c>
      <c r="F178" s="43">
        <f t="shared" si="64"/>
        <v>1.0696844473319091E-6</v>
      </c>
      <c r="G178" s="155">
        <f t="shared" si="65"/>
        <v>4.9687058291925249E-6</v>
      </c>
      <c r="H178" s="170">
        <f t="shared" si="66"/>
        <v>2.6298844872608961E-5</v>
      </c>
      <c r="I178" s="179">
        <f t="shared" si="67"/>
        <v>4.9687058291925249E-6</v>
      </c>
      <c r="J178" s="145">
        <f>IF(INVOER!$S$36=1,100-H178*100,100-I178*100)</f>
        <v>99.999503129417079</v>
      </c>
      <c r="K178" s="43">
        <f t="shared" si="57"/>
        <v>7</v>
      </c>
      <c r="L178" s="6">
        <f t="shared" si="58"/>
        <v>60</v>
      </c>
      <c r="M178" s="6">
        <f t="shared" si="59"/>
        <v>80</v>
      </c>
      <c r="N178" s="6">
        <f t="shared" si="60"/>
        <v>4.4999999999999998E-2</v>
      </c>
      <c r="O178" s="6">
        <f t="shared" si="61"/>
        <v>0.02</v>
      </c>
      <c r="P178" s="366">
        <f t="shared" si="68"/>
        <v>0.8074888674381826</v>
      </c>
      <c r="Q178" s="6">
        <f t="shared" si="69"/>
        <v>14.772562902677503</v>
      </c>
      <c r="R178" s="6">
        <f t="shared" si="51"/>
        <v>2.7487905297614492E-2</v>
      </c>
      <c r="S178" s="6">
        <f t="shared" si="53"/>
        <v>2.748790529761449</v>
      </c>
      <c r="T178" s="357">
        <f t="shared" si="54"/>
        <v>0.38694271767031574</v>
      </c>
      <c r="U178" s="358">
        <f>'Berekening trap 1'!H178*$T178</f>
        <v>1.017614650659736E-5</v>
      </c>
      <c r="V178" s="359">
        <f>'Berekening trap 1'!I178*$T178</f>
        <v>1.9226045368520952E-6</v>
      </c>
    </row>
    <row r="179" spans="1:24" x14ac:dyDescent="0.2">
      <c r="A179" s="43">
        <f>A178*'Berekening trap 1'!H$58</f>
        <v>75.434169531332628</v>
      </c>
      <c r="B179" s="6">
        <f t="shared" si="62"/>
        <v>73.730067469394555</v>
      </c>
      <c r="C179" s="168">
        <f t="shared" si="52"/>
        <v>58.911379782296329</v>
      </c>
      <c r="D179" s="200">
        <f t="shared" si="56"/>
        <v>4.6086486388216337E-6</v>
      </c>
      <c r="E179" s="197">
        <f t="shared" si="63"/>
        <v>1.8530409465169684E-5</v>
      </c>
      <c r="F179" s="43">
        <f t="shared" si="64"/>
        <v>6.6125303875566237E-7</v>
      </c>
      <c r="G179" s="155">
        <f t="shared" si="65"/>
        <v>3.312577333046185E-6</v>
      </c>
      <c r="H179" s="170">
        <f t="shared" si="66"/>
        <v>1.8530409465169684E-5</v>
      </c>
      <c r="I179" s="179">
        <f t="shared" si="67"/>
        <v>3.312577333046185E-6</v>
      </c>
      <c r="J179" s="145">
        <f>IF(INVOER!$S$36=1,100-H179*100,100-I179*100)</f>
        <v>99.999668742266692</v>
      </c>
      <c r="K179" s="43">
        <f t="shared" si="57"/>
        <v>7</v>
      </c>
      <c r="L179" s="6">
        <f t="shared" si="58"/>
        <v>60</v>
      </c>
      <c r="M179" s="6">
        <f t="shared" si="59"/>
        <v>80</v>
      </c>
      <c r="N179" s="6">
        <f t="shared" si="60"/>
        <v>4.4999999999999998E-2</v>
      </c>
      <c r="O179" s="6">
        <f t="shared" si="61"/>
        <v>0.02</v>
      </c>
      <c r="P179" s="366">
        <f t="shared" si="68"/>
        <v>0.8074888674381826</v>
      </c>
      <c r="Q179" s="6">
        <f t="shared" si="69"/>
        <v>14.772562902677503</v>
      </c>
      <c r="R179" s="6">
        <f t="shared" si="51"/>
        <v>2.3975543326353713E-2</v>
      </c>
      <c r="S179" s="6">
        <f t="shared" si="53"/>
        <v>2.3975543326353712</v>
      </c>
      <c r="T179" s="357">
        <f t="shared" si="54"/>
        <v>0.3512361971260779</v>
      </c>
      <c r="U179" s="358">
        <f>'Berekening trap 1'!H179*$T179</f>
        <v>6.5085505517352785E-6</v>
      </c>
      <c r="V179" s="359">
        <f>'Berekening trap 1'!I179*$T179</f>
        <v>1.1634970651451872E-6</v>
      </c>
    </row>
    <row r="180" spans="1:24" x14ac:dyDescent="0.2">
      <c r="A180" s="43">
        <f>A179*'Berekening trap 1'!H$58</f>
        <v>79.00364681946688</v>
      </c>
      <c r="B180" s="6">
        <f t="shared" si="62"/>
        <v>77.218908175399747</v>
      </c>
      <c r="C180" s="168">
        <f t="shared" si="52"/>
        <v>61.699013469417579</v>
      </c>
      <c r="D180" s="200">
        <f t="shared" si="56"/>
        <v>2.9988556861078042E-6</v>
      </c>
      <c r="E180" s="197">
        <f t="shared" si="63"/>
        <v>1.2905421546925538E-5</v>
      </c>
      <c r="F180" s="43">
        <f t="shared" si="64"/>
        <v>4.0203348984125064E-7</v>
      </c>
      <c r="G180" s="155">
        <f t="shared" si="65"/>
        <v>2.1788527999608606E-6</v>
      </c>
      <c r="H180" s="170">
        <f t="shared" si="66"/>
        <v>1.2905421546925538E-5</v>
      </c>
      <c r="I180" s="179">
        <f t="shared" si="67"/>
        <v>2.1788527999608606E-6</v>
      </c>
      <c r="J180" s="145">
        <f>IF(INVOER!$S$36=1,100-H180*100,100-I180*100)</f>
        <v>99.999782114720006</v>
      </c>
      <c r="K180" s="43">
        <f t="shared" si="57"/>
        <v>7</v>
      </c>
      <c r="L180" s="6">
        <f>IF(K180=0,VLOOKUP(1,Y$77:AA$146,2),VLOOKUP(K180,Y$76:Z$145,2))</f>
        <v>60</v>
      </c>
      <c r="M180" s="6">
        <f t="shared" si="59"/>
        <v>80</v>
      </c>
      <c r="N180" s="6">
        <f t="shared" si="60"/>
        <v>4.4999999999999998E-2</v>
      </c>
      <c r="O180" s="6">
        <f>(VLOOKUP(M180,Z$76:AA$145,2))/100</f>
        <v>0.02</v>
      </c>
      <c r="P180" s="366">
        <f t="shared" si="68"/>
        <v>0.8074888674381826</v>
      </c>
      <c r="Q180" s="6">
        <f t="shared" si="69"/>
        <v>14.772562902677503</v>
      </c>
      <c r="R180" s="6">
        <f t="shared" si="51"/>
        <v>2.0803518073409206E-2</v>
      </c>
      <c r="S180" s="6">
        <f t="shared" si="53"/>
        <v>2.0803518073409206</v>
      </c>
      <c r="T180" s="357">
        <f t="shared" si="54"/>
        <v>0.31720252529445075</v>
      </c>
      <c r="U180" s="358">
        <f>'Berekening trap 1'!H180*$T180</f>
        <v>4.0936323046741979E-6</v>
      </c>
      <c r="V180" s="359">
        <f>'Berekening trap 1'!I180*$T180</f>
        <v>6.9113761039246974E-7</v>
      </c>
    </row>
    <row r="181" spans="1:24" x14ac:dyDescent="0.2">
      <c r="A181" s="45">
        <f>A180*'Berekening trap 1'!H$58</f>
        <v>82.74202857343758</v>
      </c>
      <c r="B181" s="46">
        <f t="shared" si="62"/>
        <v>80.872837696452223</v>
      </c>
      <c r="C181" s="182">
        <f t="shared" si="52"/>
        <v>64.618555483967071</v>
      </c>
      <c r="D181" s="201">
        <f t="shared" si="56"/>
        <v>1.9225985047015297E-6</v>
      </c>
      <c r="E181" s="167">
        <f t="shared" si="63"/>
        <v>8.8803467356183833E-6</v>
      </c>
      <c r="F181" s="45">
        <f t="shared" si="64"/>
        <v>2.4026408451554851E-7</v>
      </c>
      <c r="G181" s="183">
        <f t="shared" si="65"/>
        <v>1.4132988400230915E-6</v>
      </c>
      <c r="H181" s="171">
        <f t="shared" si="66"/>
        <v>8.8803467356183833E-6</v>
      </c>
      <c r="I181" s="235">
        <f t="shared" si="67"/>
        <v>1.4132988400230915E-6</v>
      </c>
      <c r="J181" s="238">
        <f>IF(INVOER!$S$36=1,100-H181*100,100-I181*100)</f>
        <v>99.999858670115998</v>
      </c>
      <c r="K181" s="43">
        <f t="shared" si="57"/>
        <v>8</v>
      </c>
      <c r="L181" s="6">
        <f t="shared" si="58"/>
        <v>80</v>
      </c>
      <c r="M181" s="6" t="str">
        <f>IF(K181=0,VLOOKUP(2,Y$77:AA$145,2),VLOOKUP(K181+1,Y$77:Z$145,2))</f>
        <v>x</v>
      </c>
      <c r="N181" s="6">
        <f t="shared" si="60"/>
        <v>0.02</v>
      </c>
      <c r="O181" s="6">
        <f>(VLOOKUP(M181,Z$76:AA$145,2))/100</f>
        <v>0</v>
      </c>
      <c r="P181" s="366" t="e">
        <f>(LN(LN(N181)/LN(O181)))/LN(L181/M181)</f>
        <v>#NUM!</v>
      </c>
      <c r="Q181" s="6" t="e">
        <f>L181/((-LN(N181))^(1/P181))</f>
        <v>#NUM!</v>
      </c>
      <c r="R181" s="6">
        <f t="shared" si="51"/>
        <v>0</v>
      </c>
      <c r="S181" s="6">
        <f>R181*100</f>
        <v>0</v>
      </c>
      <c r="T181" s="357">
        <f>IF(M181="x",0,(R180-R181)*100)</f>
        <v>0</v>
      </c>
      <c r="U181" s="361">
        <f>'Berekening trap 1'!H181*$T181</f>
        <v>0</v>
      </c>
      <c r="V181" s="362">
        <f>'Berekening trap 1'!I181*$T181</f>
        <v>0</v>
      </c>
    </row>
    <row r="182" spans="1:24" x14ac:dyDescent="0.2">
      <c r="A182" s="43">
        <f>A181*'Berekening trap 1'!H$58</f>
        <v>86.65730720117358</v>
      </c>
      <c r="B182" s="6">
        <f t="shared" si="62"/>
        <v>84.69966788730558</v>
      </c>
      <c r="C182" s="168">
        <f t="shared" si="52"/>
        <v>67.676247609765028</v>
      </c>
      <c r="D182" s="200">
        <f t="shared" si="56"/>
        <v>1.2138049503449695E-6</v>
      </c>
      <c r="E182" s="197">
        <f t="shared" si="63"/>
        <v>6.0350978425851071E-6</v>
      </c>
      <c r="F182" s="43">
        <f t="shared" si="64"/>
        <v>1.4105497105013243E-7</v>
      </c>
      <c r="G182" s="155">
        <f t="shared" si="65"/>
        <v>9.0361410138151383E-7</v>
      </c>
      <c r="H182" s="170">
        <f t="shared" si="66"/>
        <v>6.0350978425851071E-6</v>
      </c>
      <c r="I182" s="179">
        <f t="shared" si="67"/>
        <v>9.0361410138151383E-7</v>
      </c>
      <c r="J182" s="147">
        <f>IF(INVOER!$S$36=1,100-H182*100,100-I182*100)</f>
        <v>99.999909638589855</v>
      </c>
      <c r="K182" s="41">
        <f t="shared" si="57"/>
        <v>8</v>
      </c>
      <c r="L182" s="5">
        <f t="shared" si="58"/>
        <v>80</v>
      </c>
      <c r="M182" s="5" t="str">
        <f t="shared" si="59"/>
        <v>x</v>
      </c>
      <c r="N182" s="5">
        <f t="shared" si="60"/>
        <v>0.02</v>
      </c>
      <c r="O182" s="5">
        <f t="shared" si="61"/>
        <v>0</v>
      </c>
      <c r="P182" s="365" t="e">
        <f t="shared" si="68"/>
        <v>#NUM!</v>
      </c>
      <c r="Q182" s="5" t="e">
        <f t="shared" si="69"/>
        <v>#NUM!</v>
      </c>
      <c r="R182" s="5">
        <f t="shared" ref="R182:R184" si="70">IF(M182="x",0,EXP(-((A182/Q182)^P182)))</f>
        <v>0</v>
      </c>
      <c r="S182" s="5">
        <f t="shared" si="53"/>
        <v>0</v>
      </c>
      <c r="T182" s="363">
        <f>IF(M182="x",0,(R181-R182)*100)</f>
        <v>0</v>
      </c>
      <c r="U182" s="358">
        <f>'Berekening trap 1'!H182*$T182</f>
        <v>0</v>
      </c>
      <c r="V182" s="359">
        <f>'Berekening trap 1'!I182*$T182</f>
        <v>0</v>
      </c>
    </row>
    <row r="183" spans="1:24" x14ac:dyDescent="0.2">
      <c r="A183" s="43">
        <f>A182*'Berekening trap 1'!H$58</f>
        <v>90.757853304183044</v>
      </c>
      <c r="B183" s="6">
        <f t="shared" si="62"/>
        <v>88.707580252678312</v>
      </c>
      <c r="C183" s="168">
        <f t="shared" si="52"/>
        <v>70.878626986247284</v>
      </c>
      <c r="D183" s="200">
        <f t="shared" si="56"/>
        <v>7.542319578783792E-7</v>
      </c>
      <c r="E183" s="197">
        <f t="shared" si="63"/>
        <v>4.0490738887897143E-6</v>
      </c>
      <c r="F183" s="43">
        <f t="shared" si="64"/>
        <v>8.1300406419844715E-8</v>
      </c>
      <c r="G183" s="155">
        <f t="shared" si="65"/>
        <v>5.6920253239964779E-7</v>
      </c>
      <c r="H183" s="170">
        <f t="shared" si="66"/>
        <v>4.0490738887897143E-6</v>
      </c>
      <c r="I183" s="179">
        <f t="shared" si="67"/>
        <v>5.6920253239964779E-7</v>
      </c>
      <c r="J183" s="145">
        <f>IF(INVOER!$S$36=1,100-H183*100,100-I183*100)</f>
        <v>99.999943079746757</v>
      </c>
      <c r="K183" s="43">
        <f t="shared" si="57"/>
        <v>8</v>
      </c>
      <c r="L183" s="6">
        <f t="shared" si="58"/>
        <v>80</v>
      </c>
      <c r="M183" s="6" t="str">
        <f t="shared" si="59"/>
        <v>x</v>
      </c>
      <c r="N183" s="6">
        <f t="shared" si="60"/>
        <v>0.02</v>
      </c>
      <c r="O183" s="6">
        <f t="shared" si="61"/>
        <v>0</v>
      </c>
      <c r="P183" s="366" t="e">
        <f>(LN(LN(N183)/LN(O183)))/LN(L183/M183)</f>
        <v>#NUM!</v>
      </c>
      <c r="Q183" s="6" t="e">
        <f t="shared" si="69"/>
        <v>#NUM!</v>
      </c>
      <c r="R183" s="6">
        <f t="shared" si="70"/>
        <v>0</v>
      </c>
      <c r="S183" s="6">
        <f t="shared" si="53"/>
        <v>0</v>
      </c>
      <c r="T183" s="357">
        <f>IF(M183="x",0,(R182-R183)*100)</f>
        <v>0</v>
      </c>
      <c r="U183" s="358">
        <f>'Berekening trap 1'!H183*$T183</f>
        <v>0</v>
      </c>
      <c r="V183" s="359">
        <f>'Berekening trap 1'!I183*$T183</f>
        <v>0</v>
      </c>
    </row>
    <row r="184" spans="1:24" x14ac:dyDescent="0.2">
      <c r="A184" s="43">
        <f>A183*'Berekening trap 1'!H$58</f>
        <v>95.052433573334682</v>
      </c>
      <c r="B184" s="6">
        <f t="shared" si="62"/>
        <v>92.90514343875887</v>
      </c>
      <c r="C184" s="168">
        <f t="shared" si="52"/>
        <v>74.232540084428379</v>
      </c>
      <c r="D184" s="200">
        <f t="shared" si="56"/>
        <v>4.6101717541871385E-7</v>
      </c>
      <c r="E184" s="197">
        <f t="shared" si="63"/>
        <v>2.6807631006653941E-6</v>
      </c>
      <c r="F184" s="43">
        <f t="shared" si="64"/>
        <v>4.5975280834351431E-8</v>
      </c>
      <c r="G184" s="155">
        <f t="shared" si="65"/>
        <v>3.5307786707256756E-7</v>
      </c>
      <c r="H184" s="170">
        <f t="shared" si="66"/>
        <v>2.6807631006653941E-6</v>
      </c>
      <c r="I184" s="179">
        <f t="shared" si="67"/>
        <v>3.5307786707256756E-7</v>
      </c>
      <c r="J184" s="145">
        <f>IF(INVOER!$S$36=1,100-H184*100,100-I184*100)</f>
        <v>99.999964692213297</v>
      </c>
      <c r="K184" s="43">
        <f t="shared" si="57"/>
        <v>8</v>
      </c>
      <c r="L184" s="6">
        <f t="shared" si="58"/>
        <v>80</v>
      </c>
      <c r="M184" s="6" t="str">
        <f t="shared" si="59"/>
        <v>x</v>
      </c>
      <c r="N184" s="6">
        <f t="shared" si="60"/>
        <v>0.02</v>
      </c>
      <c r="O184" s="6">
        <f t="shared" si="61"/>
        <v>0</v>
      </c>
      <c r="P184" s="366" t="e">
        <f t="shared" si="68"/>
        <v>#NUM!</v>
      </c>
      <c r="Q184" s="6" t="e">
        <f t="shared" si="69"/>
        <v>#NUM!</v>
      </c>
      <c r="R184" s="6">
        <f t="shared" si="70"/>
        <v>0</v>
      </c>
      <c r="S184" s="6">
        <f t="shared" si="53"/>
        <v>0</v>
      </c>
      <c r="T184" s="357">
        <f>IF(M184="x",0,(R183-R184)*100)</f>
        <v>0</v>
      </c>
      <c r="U184" s="358">
        <f>'Berekening trap 1'!H184*$T184</f>
        <v>0</v>
      </c>
      <c r="V184" s="359">
        <f>'Berekening trap 1'!I184*$T184</f>
        <v>0</v>
      </c>
    </row>
    <row r="185" spans="1:24" x14ac:dyDescent="0.2">
      <c r="A185" s="43">
        <f>A184*'Berekening trap 1'!H$58</f>
        <v>99.550229531451237</v>
      </c>
      <c r="B185" s="6">
        <f t="shared" si="62"/>
        <v>97.301331552392952</v>
      </c>
      <c r="C185" s="168">
        <f t="shared" si="52"/>
        <v>77.745157344194482</v>
      </c>
      <c r="D185" s="200">
        <f t="shared" si="56"/>
        <v>2.7703686091986872E-7</v>
      </c>
      <c r="E185" s="197">
        <f t="shared" si="63"/>
        <v>1.7506555265739989E-6</v>
      </c>
      <c r="F185" s="43">
        <f t="shared" si="64"/>
        <v>2.5491557978043495E-8</v>
      </c>
      <c r="G185" s="155">
        <f t="shared" si="65"/>
        <v>2.1556183950414687E-7</v>
      </c>
      <c r="H185" s="170">
        <f t="shared" si="66"/>
        <v>1.7506555265739989E-6</v>
      </c>
      <c r="I185" s="179">
        <f t="shared" si="67"/>
        <v>2.1556183950414687E-7</v>
      </c>
      <c r="J185" s="145">
        <f>IF(INVOER!$S$36=1,100-H185*100,100-I185*100)</f>
        <v>99.999978443816048</v>
      </c>
      <c r="K185" s="43">
        <f t="shared" si="57"/>
        <v>8</v>
      </c>
      <c r="L185" s="6">
        <f t="shared" si="58"/>
        <v>80</v>
      </c>
      <c r="M185" s="6" t="str">
        <f t="shared" si="59"/>
        <v>x</v>
      </c>
      <c r="N185" s="6">
        <f t="shared" si="60"/>
        <v>0.02</v>
      </c>
      <c r="O185" s="6">
        <f>(VLOOKUP(M185,Z$76:AA$145,2))/100</f>
        <v>0</v>
      </c>
      <c r="P185" s="366" t="e">
        <f t="shared" si="68"/>
        <v>#NUM!</v>
      </c>
      <c r="Q185" s="6" t="e">
        <f t="shared" si="69"/>
        <v>#NUM!</v>
      </c>
      <c r="R185" s="6">
        <f>IF(M185="x",0,EXP(-((A185/Q185)^P185)))</f>
        <v>0</v>
      </c>
      <c r="S185" s="6">
        <f t="shared" si="53"/>
        <v>0</v>
      </c>
      <c r="T185" s="357">
        <f>IF(M185="x",0,(R184-R185)*100)</f>
        <v>0</v>
      </c>
      <c r="U185" s="358">
        <f>'Berekening trap 1'!H185*$T185</f>
        <v>0</v>
      </c>
      <c r="V185" s="359">
        <f>'Berekening trap 1'!I185*$T185</f>
        <v>0</v>
      </c>
    </row>
    <row r="186" spans="1:24" x14ac:dyDescent="0.2">
      <c r="A186" s="169">
        <f>'Berekening trap 1'!K56</f>
        <v>104.26085716278493</v>
      </c>
      <c r="B186" s="46">
        <f>(A185+A186)/2</f>
        <v>101.90554334711808</v>
      </c>
      <c r="C186" s="182">
        <f>B186/$B$51</f>
        <v>81.423988504219835</v>
      </c>
      <c r="D186" s="201">
        <f>IF(C186-$K$35&gt;0,EXP(-(((C186-$K$35)/$K$37)^$K$39)),1)</f>
        <v>1.6357232416301227E-7</v>
      </c>
      <c r="E186" s="167">
        <f>IF(C186-$K$36&gt;0,EXP(-(((C186-$K$36)/$K$38)^$K$40)),1)</f>
        <v>1.1271566720914448E-6</v>
      </c>
      <c r="F186" s="45">
        <f>D186^($B$54*$B$63)</f>
        <v>1.384878576123355E-8</v>
      </c>
      <c r="G186" s="183">
        <f>E186^($B$54*$B$63)</f>
        <v>1.2946174709738227E-7</v>
      </c>
      <c r="H186" s="171">
        <f>IF(C186&lt;$K$41,D186,E186)</f>
        <v>1.1271566720914448E-6</v>
      </c>
      <c r="I186" s="235">
        <f>IF(C186&lt;$K$41,F186,G186)</f>
        <v>1.2946174709738227E-7</v>
      </c>
      <c r="J186" s="238">
        <f>IF(INVOER!$S$36=1,100-H186*100,100-I186*100)</f>
        <v>99.999987053825294</v>
      </c>
      <c r="K186" s="45">
        <f t="shared" si="57"/>
        <v>8</v>
      </c>
      <c r="L186" s="46">
        <f t="shared" si="58"/>
        <v>80</v>
      </c>
      <c r="M186" s="46" t="str">
        <f t="shared" si="59"/>
        <v>x</v>
      </c>
      <c r="N186" s="46"/>
      <c r="O186" s="46"/>
      <c r="P186" s="367"/>
      <c r="Q186" s="46"/>
      <c r="R186" s="46"/>
      <c r="S186" s="46"/>
      <c r="T186" s="364">
        <f>(VLOOKUP(L186,Z$76:AA$146,2))</f>
        <v>2</v>
      </c>
      <c r="U186" s="361">
        <f>'Berekening trap 1'!H186*$T186</f>
        <v>2.2543133441828895E-6</v>
      </c>
      <c r="V186" s="362">
        <f>'Berekening trap 1'!I186*$T186</f>
        <v>2.5892349419476455E-7</v>
      </c>
    </row>
    <row r="187" spans="1:24" x14ac:dyDescent="0.2">
      <c r="C187" s="178"/>
      <c r="G187" s="155"/>
      <c r="H187" s="179"/>
      <c r="I187" s="179"/>
      <c r="S187" t="s">
        <v>234</v>
      </c>
      <c r="T187" s="219">
        <f>SUM(T76:T186)</f>
        <v>99.919648192659054</v>
      </c>
      <c r="U187" s="385">
        <f>(100-T187)*$H$56</f>
        <v>8.035180734094638E-9</v>
      </c>
      <c r="V187" s="385">
        <f>(100-T187)*$H$56</f>
        <v>8.035180734094638E-9</v>
      </c>
      <c r="W187" s="6"/>
    </row>
    <row r="188" spans="1:24" x14ac:dyDescent="0.2">
      <c r="C188" s="166"/>
      <c r="L188" s="160"/>
      <c r="M188" s="160"/>
      <c r="N188" s="160"/>
      <c r="O188" s="160"/>
      <c r="P188" s="160"/>
      <c r="Q188" s="160"/>
      <c r="U188" s="9"/>
      <c r="V188" s="209"/>
      <c r="W188" s="6"/>
      <c r="X188" s="166"/>
    </row>
    <row r="189" spans="1:24" x14ac:dyDescent="0.2">
      <c r="C189" s="166"/>
      <c r="Q189" s="210" t="s">
        <v>228</v>
      </c>
      <c r="R189" s="162" t="s">
        <v>193</v>
      </c>
      <c r="S189" s="161"/>
      <c r="T189" s="163"/>
      <c r="U189" s="368">
        <f>SUM(U76:U186)+U187</f>
        <v>1.4566587301660967</v>
      </c>
      <c r="V189" s="369">
        <f>SUM(V76:V186)+V187</f>
        <v>0.80443323402907685</v>
      </c>
      <c r="W189" s="55">
        <f>IF(AND(INVOER!$S$36=1,INVOER!C20=1),'Berekening trap 1'!U189,'Berekening trap 1'!V189)</f>
        <v>0.80443323402907685</v>
      </c>
      <c r="X189" s="209" t="s">
        <v>226</v>
      </c>
    </row>
    <row r="190" spans="1:24" x14ac:dyDescent="0.2">
      <c r="Q190" s="210" t="s">
        <v>228</v>
      </c>
      <c r="R190" s="162" t="s">
        <v>129</v>
      </c>
      <c r="S190" s="161"/>
      <c r="T190" s="163"/>
      <c r="U190" s="368">
        <f>100-U189</f>
        <v>98.543341269833903</v>
      </c>
      <c r="V190" s="369">
        <f>100-V189</f>
        <v>99.195566765970923</v>
      </c>
      <c r="W190" s="55">
        <f>IF(AND(INVOER!$S$36=1,INVOER!C20=1),'Berekening trap 1'!U190,'Berekening trap 1'!V190)</f>
        <v>99.195566765970923</v>
      </c>
      <c r="X190" s="209" t="s">
        <v>226</v>
      </c>
    </row>
    <row r="191" spans="1:24" x14ac:dyDescent="0.2">
      <c r="Q191" s="210" t="s">
        <v>228</v>
      </c>
      <c r="R191" s="162" t="s">
        <v>43</v>
      </c>
      <c r="S191" s="208"/>
      <c r="T191" s="208"/>
      <c r="U191" s="370">
        <f>10*B58*U189</f>
        <v>1.1216272222278947</v>
      </c>
      <c r="V191" s="370">
        <f>10*B58*V189</f>
        <v>0.61941359020238929</v>
      </c>
      <c r="W191" s="55">
        <f>10*$B$58*W189</f>
        <v>0.61941359020238929</v>
      </c>
      <c r="X191" s="17" t="s">
        <v>20</v>
      </c>
    </row>
    <row r="192" spans="1:24" x14ac:dyDescent="0.2">
      <c r="Q192" s="117" t="s">
        <v>228</v>
      </c>
      <c r="R192" s="162" t="s">
        <v>43</v>
      </c>
      <c r="S192" s="208"/>
      <c r="T192" s="208"/>
      <c r="U192" s="370">
        <f>10*INVOER!W19*U189</f>
        <v>1.3463738609598233</v>
      </c>
      <c r="V192" s="370">
        <f>10*INVOER!W19*'Berekening trap 1'!V189</f>
        <v>0.74352891089365014</v>
      </c>
      <c r="W192" s="55">
        <f>IF(AND(INVOER!$S$36=1,INVOER!C20=1),'Berekening trap 1'!U192,'Berekening trap 1'!V192)</f>
        <v>0.74352891089365014</v>
      </c>
      <c r="X192" s="17" t="s">
        <v>249</v>
      </c>
    </row>
    <row r="193" spans="17:24" x14ac:dyDescent="0.2">
      <c r="Q193" s="117"/>
      <c r="R193" s="178"/>
      <c r="S193" s="178"/>
      <c r="T193" s="178"/>
      <c r="U193" s="178"/>
      <c r="V193" s="142"/>
      <c r="W193" s="17"/>
      <c r="X193" s="178"/>
    </row>
    <row r="194" spans="17:24" x14ac:dyDescent="0.2">
      <c r="Q194" s="117"/>
      <c r="R194" s="178"/>
      <c r="S194" s="178"/>
      <c r="T194" s="178"/>
      <c r="U194" s="178"/>
      <c r="V194" s="142"/>
      <c r="W194" s="17"/>
      <c r="X194" s="178"/>
    </row>
    <row r="195" spans="17:24" x14ac:dyDescent="0.2">
      <c r="X195" s="178"/>
    </row>
    <row r="196" spans="17:24" x14ac:dyDescent="0.2">
      <c r="X196" s="178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600075</xdr:colOff>
                <xdr:row>68</xdr:row>
                <xdr:rowOff>9525</xdr:rowOff>
              </from>
              <to>
                <xdr:col>15</xdr:col>
                <xdr:colOff>638175</xdr:colOff>
                <xdr:row>70</xdr:row>
                <xdr:rowOff>104775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76200</xdr:colOff>
                <xdr:row>33</xdr:row>
                <xdr:rowOff>152400</xdr:rowOff>
              </from>
              <to>
                <xdr:col>13</xdr:col>
                <xdr:colOff>638175</xdr:colOff>
                <xdr:row>37</xdr:row>
                <xdr:rowOff>66675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76200</xdr:colOff>
                <xdr:row>37</xdr:row>
                <xdr:rowOff>66675</xdr:rowOff>
              </from>
              <to>
                <xdr:col>13</xdr:col>
                <xdr:colOff>638175</xdr:colOff>
                <xdr:row>40</xdr:row>
                <xdr:rowOff>142875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A1:AF196"/>
  <sheetViews>
    <sheetView topLeftCell="A76" zoomScale="75" workbookViewId="0">
      <selection activeCell="M174" sqref="M174"/>
    </sheetView>
  </sheetViews>
  <sheetFormatPr defaultRowHeight="12.75" x14ac:dyDescent="0.2"/>
  <cols>
    <col min="1" max="16" width="10.7109375" customWidth="1"/>
    <col min="17" max="17" width="14.5703125" customWidth="1"/>
    <col min="18" max="18" width="10.7109375" customWidth="1"/>
    <col min="19" max="20" width="11.7109375" customWidth="1"/>
    <col min="2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INVOER!U10</f>
        <v>16.666843387760206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INVOER!T16</f>
        <v>1.073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0.02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1500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INVOER!S26</f>
        <v>6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INVOER!E15</f>
        <v>6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INVOER!E18</f>
        <v>1250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INVOER!E20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IF(INVOER!S37=1,"neen","ja")</f>
        <v>neen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HLOOKUP(INVOER!S$26,B$22:J$43,1)</f>
        <v>6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148">
        <v>1850</v>
      </c>
      <c r="J23" s="342" t="s">
        <v>212</v>
      </c>
      <c r="K23" s="138">
        <f>HLOOKUP(INVOER!S$26,B$22:J$43,2)</f>
        <v>850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39">
        <v>0.13600000000000001</v>
      </c>
      <c r="K24" s="138">
        <f>HLOOKUP(INVOER!S$26,B$22:J$43,3)</f>
        <v>0.20300000000000001</v>
      </c>
      <c r="Q24" s="41" t="s">
        <v>39</v>
      </c>
      <c r="R24" s="149">
        <f>C6/C12/K24/K25/(C13/1000)^2</f>
        <v>19.163279775228844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39">
        <v>0.31</v>
      </c>
      <c r="K25" s="139">
        <f>HLOOKUP(INVOER!S$26,B$22:J$43,4)</f>
        <v>0.45700000000000002</v>
      </c>
      <c r="Q25" s="43" t="s">
        <v>119</v>
      </c>
      <c r="R25" s="61">
        <f>C6/C12/(PI()/4*(C14*K27*C13/1000)^2)</f>
        <v>24.016816828844515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39">
        <v>0.53</v>
      </c>
      <c r="K26" s="139">
        <f>HLOOKUP(INVOER!S$26,B$22:J$43,5)</f>
        <v>0.56399999999999995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39">
        <v>0.15</v>
      </c>
      <c r="K27" s="139">
        <f>HLOOKUP(INVOER!S$26,B$22:J$43,6)</f>
        <v>0.307</v>
      </c>
      <c r="Q27" s="211" t="s">
        <v>210</v>
      </c>
      <c r="R27" s="213">
        <f>K43*0.5*C7*R24^2*C14^(-2.23)</f>
        <v>1667.9678321814874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39">
        <v>0.25</v>
      </c>
      <c r="K28" s="139">
        <f>HLOOKUP(INVOER!S$26,B$22:J$43,7)</f>
        <v>0.42799999999999999</v>
      </c>
      <c r="Q28" s="211" t="s">
        <v>144</v>
      </c>
      <c r="R28" s="213">
        <f>IF(K22=1,"unknown",IF(K22=7,"unknown",IF(K22=8,"unknown",IF(K22=9,"unkown",0.5*C7*R24^2*T39))))</f>
        <v>1216.0048972624784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35">
        <v>2.4849999999999999</v>
      </c>
      <c r="K29" s="139">
        <f>HLOOKUP(INVOER!S$26,B$22:J$43,8)</f>
        <v>2.4849999999999999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9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0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9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39">
        <f>HLOOKUP(INVOER!S$26,B$22:J$43,13)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9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38">
        <v>0.4617</v>
      </c>
      <c r="K35" s="138">
        <f>HLOOKUP(INVOER!S$26,B$22:J$43,14)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9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39">
        <v>-0.23960000000000001</v>
      </c>
      <c r="K36" s="139">
        <f>HLOOKUP(INVOER!S$26,B$22:J$43,15)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9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39">
        <v>0.29210000000000003</v>
      </c>
      <c r="K37" s="139">
        <f>HLOOKUP(INVOER!S$26,B$22:J$43,16)</f>
        <v>1.9418</v>
      </c>
      <c r="Q37" s="43">
        <v>1850</v>
      </c>
      <c r="R37" s="6"/>
      <c r="S37" s="6"/>
      <c r="T37" s="44" t="s">
        <v>146</v>
      </c>
    </row>
    <row r="38" spans="1:29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39">
        <v>0.12690000000000001</v>
      </c>
      <c r="K38" s="139">
        <f>HLOOKUP(INVOER!S$26,B$22:J$43,17)</f>
        <v>2.0196999999999998</v>
      </c>
      <c r="Q38" s="45"/>
      <c r="R38" s="46"/>
      <c r="S38" s="46"/>
      <c r="T38" s="50"/>
    </row>
    <row r="39" spans="1:29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39">
        <v>0.45600000000000002</v>
      </c>
      <c r="K39" s="139">
        <f>HLOOKUP(INVOER!S$26,B$22:J$43,18)</f>
        <v>0.73704999999999998</v>
      </c>
      <c r="Q39" s="43"/>
      <c r="R39" s="6" t="s">
        <v>196</v>
      </c>
      <c r="S39" s="6"/>
      <c r="T39" s="214">
        <f>VLOOKUP(K23,Q31:T37,4)</f>
        <v>6.1719999999999997</v>
      </c>
    </row>
    <row r="40" spans="1:29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39">
        <v>0.36330000000000001</v>
      </c>
      <c r="K40" s="139">
        <f>HLOOKUP(INVOER!S$26,B$22:J$43,19)</f>
        <v>0.7077</v>
      </c>
      <c r="Q40" s="45"/>
      <c r="R40" s="46"/>
      <c r="S40" s="46"/>
      <c r="T40" s="50"/>
    </row>
    <row r="41" spans="1:29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0">
        <v>10.45</v>
      </c>
      <c r="K41" s="140">
        <f>HLOOKUP(INVOER!S$26,B$22:J$43,20)</f>
        <v>7.8</v>
      </c>
    </row>
    <row r="42" spans="1:29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40"/>
    </row>
    <row r="43" spans="1:29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40">
        <f>HLOOKUP(INVOER!S$26,B$22:J$43,13)</f>
        <v>8.4659999999999993</v>
      </c>
    </row>
    <row r="45" spans="1:29" x14ac:dyDescent="0.2">
      <c r="AB45" s="6"/>
      <c r="AC45" s="6"/>
    </row>
    <row r="46" spans="1:29" x14ac:dyDescent="0.2">
      <c r="AB46" s="6"/>
      <c r="AC46" s="6"/>
    </row>
    <row r="47" spans="1:29" x14ac:dyDescent="0.2">
      <c r="G47" s="166"/>
      <c r="H47" s="166"/>
      <c r="I47" s="166"/>
      <c r="J47" s="166"/>
      <c r="K47" s="166"/>
      <c r="L47" s="166"/>
      <c r="AB47" s="6"/>
      <c r="AC47" s="6"/>
    </row>
    <row r="48" spans="1:29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  <c r="N48" s="329" t="s">
        <v>286</v>
      </c>
      <c r="O48" s="166"/>
      <c r="P48" s="166"/>
      <c r="Q48" s="142"/>
      <c r="R48" s="142"/>
      <c r="AB48" s="6"/>
      <c r="AC48" s="6"/>
    </row>
    <row r="49" spans="1:29" x14ac:dyDescent="0.2">
      <c r="G49" s="166"/>
      <c r="H49" s="166"/>
      <c r="I49" s="187"/>
      <c r="J49" s="187"/>
      <c r="K49" s="187"/>
      <c r="L49" s="166"/>
      <c r="N49" s="166"/>
      <c r="O49" s="166"/>
      <c r="P49" s="187"/>
      <c r="Q49" s="135"/>
      <c r="R49" s="135"/>
      <c r="AB49" s="6"/>
      <c r="AC49" s="6"/>
    </row>
    <row r="50" spans="1:29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  <c r="N50" s="188"/>
      <c r="O50" s="189"/>
      <c r="P50" s="190" t="s">
        <v>71</v>
      </c>
      <c r="Q50" s="135"/>
      <c r="R50" s="6"/>
      <c r="AB50" s="6"/>
      <c r="AC50" s="6"/>
    </row>
    <row r="51" spans="1:29" x14ac:dyDescent="0.2">
      <c r="A51" s="43" t="s">
        <v>220</v>
      </c>
      <c r="B51" s="6">
        <f>INVOER!H15*SQRT(INVOER!E18/1000*2000*INVOER!C9*16/INVOER!C10/0.0181/INVOER!E24)</f>
        <v>1.2400099113055771</v>
      </c>
      <c r="C51" s="44"/>
      <c r="G51" s="191" t="s">
        <v>73</v>
      </c>
      <c r="H51" s="189">
        <v>0.95</v>
      </c>
      <c r="I51" s="194">
        <f>$K$37*$B$51*((-LN(H51^(1/($B$54*$B$64))))^(1/$K$39))+$K$35*$B$51</f>
        <v>0.68760984722374341</v>
      </c>
      <c r="J51" s="202">
        <f t="shared" ref="J51:J56" si="0">$K$38*$B$51*((-LN(H51^(1/($B$54*$B$64))))^(1/$K$40))+$K$36*$B$51</f>
        <v>-9.3771419431240371E-2</v>
      </c>
      <c r="K51" s="204">
        <f>IF(I51/$B$51&lt;K$41,I51,J51)</f>
        <v>0.68760984722374341</v>
      </c>
      <c r="L51" s="166"/>
      <c r="N51" s="191" t="s">
        <v>73</v>
      </c>
      <c r="O51" s="189">
        <v>5</v>
      </c>
      <c r="P51" s="154">
        <f>VLOOKUP(O51,$Q$76:$R$186,2)</f>
        <v>0.66006095483980709</v>
      </c>
      <c r="Q51" s="330"/>
      <c r="R51" s="6"/>
      <c r="AB51" s="6"/>
      <c r="AC51" s="6"/>
    </row>
    <row r="52" spans="1:29" x14ac:dyDescent="0.2">
      <c r="A52" s="45"/>
      <c r="B52" s="46"/>
      <c r="C52" s="50"/>
      <c r="G52" s="192" t="s">
        <v>75</v>
      </c>
      <c r="H52" s="193">
        <v>0.9</v>
      </c>
      <c r="I52" s="195">
        <f t="shared" ref="I52:I56" si="1">$K$37*$B$51*((-LN(H52^(1/($B$54*$B$64))))^(1/$K$39))+$K$35*$B$51</f>
        <v>0.75847310926630329</v>
      </c>
      <c r="J52" s="203">
        <f t="shared" si="0"/>
        <v>-2.7274473054199999E-2</v>
      </c>
      <c r="K52" s="205">
        <f t="shared" ref="K52:K56" si="2">IF(I52/$B$51&lt;K$41,I52,J52)</f>
        <v>0.75847310926630329</v>
      </c>
      <c r="L52" s="166"/>
      <c r="N52" s="192" t="s">
        <v>75</v>
      </c>
      <c r="O52" s="193">
        <v>10</v>
      </c>
      <c r="P52" s="335">
        <f t="shared" ref="P52:P55" si="3">VLOOKUP(O52,$Q$76:$R$186,2)</f>
        <v>0.66006095483980709</v>
      </c>
      <c r="Q52" s="330"/>
      <c r="R52" s="6"/>
      <c r="AB52" s="6"/>
      <c r="AC52" s="6"/>
    </row>
    <row r="53" spans="1:29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1"/>
        <v>2.1092330615811519</v>
      </c>
      <c r="J53" s="203">
        <f t="shared" si="0"/>
        <v>1.3606451797508456</v>
      </c>
      <c r="K53" s="205">
        <f t="shared" si="2"/>
        <v>2.1092330615811519</v>
      </c>
      <c r="L53" s="166"/>
      <c r="N53" s="192" t="s">
        <v>77</v>
      </c>
      <c r="O53" s="193">
        <v>50</v>
      </c>
      <c r="P53" s="335">
        <f t="shared" si="3"/>
        <v>1.1495618636498102</v>
      </c>
      <c r="Q53" s="330"/>
      <c r="R53" s="6"/>
      <c r="AB53" s="6"/>
      <c r="AC53" s="6"/>
    </row>
    <row r="54" spans="1:29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1"/>
        <v>8.1104861980605527</v>
      </c>
      <c r="J54" s="203">
        <f t="shared" si="0"/>
        <v>8.0068454611681315</v>
      </c>
      <c r="K54" s="205">
        <f t="shared" si="2"/>
        <v>8.1104861980605527</v>
      </c>
      <c r="L54" s="166"/>
      <c r="N54" s="192" t="s">
        <v>79</v>
      </c>
      <c r="O54" s="193">
        <v>90</v>
      </c>
      <c r="P54" s="335">
        <f t="shared" si="3"/>
        <v>3.178856372300912</v>
      </c>
      <c r="Q54" s="330"/>
      <c r="R54" s="6"/>
      <c r="AB54" s="6"/>
      <c r="AC54" s="6"/>
    </row>
    <row r="55" spans="1:29" x14ac:dyDescent="0.2">
      <c r="A55" s="43"/>
      <c r="B55" s="6"/>
      <c r="C55" s="44"/>
      <c r="G55" s="192" t="s">
        <v>80</v>
      </c>
      <c r="H55" s="193">
        <v>0.05</v>
      </c>
      <c r="I55" s="195">
        <f t="shared" si="1"/>
        <v>11.313956803559531</v>
      </c>
      <c r="J55" s="203">
        <f t="shared" si="0"/>
        <v>11.672421867682866</v>
      </c>
      <c r="K55" s="205">
        <f t="shared" si="2"/>
        <v>11.672421867682866</v>
      </c>
      <c r="L55" s="166"/>
      <c r="N55" s="332" t="s">
        <v>80</v>
      </c>
      <c r="O55" s="333">
        <v>95</v>
      </c>
      <c r="P55" s="336">
        <f t="shared" si="3"/>
        <v>4.393636096647322</v>
      </c>
      <c r="Q55" s="330"/>
      <c r="R55" s="6"/>
      <c r="AB55" s="6"/>
      <c r="AC55" s="6"/>
    </row>
    <row r="56" spans="1:29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1"/>
        <v>105.27684606493227</v>
      </c>
      <c r="J56" s="203">
        <f t="shared" si="0"/>
        <v>127.12514537025412</v>
      </c>
      <c r="K56" s="205">
        <f t="shared" si="2"/>
        <v>127.12514537025412</v>
      </c>
      <c r="L56" s="166"/>
      <c r="Q56" s="135"/>
      <c r="R56" s="135"/>
      <c r="S56" s="330"/>
      <c r="T56" s="330"/>
      <c r="U56" s="331"/>
      <c r="AB56" s="6"/>
      <c r="AC56" s="6"/>
    </row>
    <row r="57" spans="1:29" x14ac:dyDescent="0.2">
      <c r="A57" s="43"/>
      <c r="B57" s="6"/>
      <c r="C57" s="44"/>
      <c r="G57" s="154" t="s">
        <v>86</v>
      </c>
      <c r="H57" s="157">
        <f>$K$35*$B$51</f>
        <v>0.64480515387890014</v>
      </c>
      <c r="I57" s="37" t="s">
        <v>198</v>
      </c>
      <c r="J57" s="38"/>
      <c r="K57" s="206"/>
      <c r="L57" s="6"/>
      <c r="Q57" s="135"/>
      <c r="R57" s="135"/>
      <c r="S57" s="39"/>
      <c r="T57" s="39"/>
      <c r="U57" s="39"/>
      <c r="AB57" s="6"/>
      <c r="AC57" s="6"/>
    </row>
    <row r="58" spans="1:29" x14ac:dyDescent="0.2">
      <c r="A58" s="43" t="s">
        <v>101</v>
      </c>
      <c r="B58" s="293">
        <f>INVOER!V20</f>
        <v>6.0805122705334582E-4</v>
      </c>
      <c r="C58" s="165" t="s">
        <v>100</v>
      </c>
      <c r="G58" s="150" t="s">
        <v>87</v>
      </c>
      <c r="H58" s="161">
        <f>(K56/H57)^(1/110)</f>
        <v>1.0492086082592795</v>
      </c>
      <c r="I58" s="43"/>
      <c r="J58" s="6"/>
      <c r="K58" s="44"/>
      <c r="L58" s="6"/>
      <c r="Q58" s="142"/>
      <c r="R58" s="142"/>
      <c r="S58" s="6"/>
      <c r="T58" s="6"/>
      <c r="U58" s="6"/>
      <c r="AB58" s="6"/>
      <c r="AC58" s="6"/>
    </row>
    <row r="59" spans="1:29" x14ac:dyDescent="0.2">
      <c r="A59" s="48" t="s">
        <v>215</v>
      </c>
      <c r="B59" s="39">
        <f>0.97833+2.918055*B58-39.3739*B58^2+472.0149*B58^3-769.586*B58^4</f>
        <v>0.98008987536686543</v>
      </c>
      <c r="C59" s="44"/>
      <c r="G59" s="43" t="s">
        <v>235</v>
      </c>
      <c r="H59" s="6"/>
      <c r="I59" s="6"/>
      <c r="J59" s="6"/>
      <c r="K59" s="44"/>
      <c r="L59" s="6"/>
      <c r="Q59" s="6"/>
      <c r="R59" s="6"/>
      <c r="S59" s="6"/>
      <c r="T59" s="6"/>
      <c r="U59" s="6"/>
      <c r="AB59" s="6"/>
      <c r="AC59" s="6"/>
    </row>
    <row r="60" spans="1:29" x14ac:dyDescent="0.2">
      <c r="A60" s="48" t="s">
        <v>216</v>
      </c>
      <c r="B60" s="39">
        <f>-0.30338+21.91961*B58-73.5039*B58^2+112.485*B58^3-63.4408*B58^4</f>
        <v>-0.2900789052881988</v>
      </c>
      <c r="C60" s="44"/>
      <c r="G60" s="43" t="s">
        <v>236</v>
      </c>
      <c r="H60" s="6"/>
      <c r="I60" s="6"/>
      <c r="J60" s="6"/>
      <c r="K60" s="44"/>
      <c r="L60" s="6"/>
      <c r="Q60" s="6"/>
      <c r="R60" s="6"/>
      <c r="S60" s="6"/>
      <c r="T60" s="6"/>
      <c r="U60" s="6"/>
      <c r="AB60" s="6"/>
      <c r="AC60" s="6"/>
    </row>
    <row r="61" spans="1:29" x14ac:dyDescent="0.2">
      <c r="A61" s="48" t="s">
        <v>217</v>
      </c>
      <c r="B61" s="39">
        <f>2.043212+0.725352*B58-0.2663*B58^2+0.04299*B58^3-0.00233*B58^4</f>
        <v>2.0436529527251976</v>
      </c>
      <c r="C61" s="44"/>
      <c r="G61" s="43" t="s">
        <v>230</v>
      </c>
      <c r="H61" s="6"/>
      <c r="I61" s="6"/>
      <c r="J61" s="6"/>
      <c r="K61" s="44"/>
      <c r="L61" s="6"/>
      <c r="Q61" s="6"/>
      <c r="R61" s="6"/>
      <c r="S61" s="6"/>
      <c r="T61" s="6"/>
      <c r="U61" s="6"/>
      <c r="AB61" s="6"/>
      <c r="AC61" s="6"/>
    </row>
    <row r="62" spans="1:29" x14ac:dyDescent="0.2">
      <c r="A62" s="48" t="s">
        <v>218</v>
      </c>
      <c r="B62" s="39">
        <f>2.853325+0.019026*B58-0.00036*B58^2+0.000003*B58^3-0.0000000065*B58^4</f>
        <v>2.8533365686495453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  <c r="Q62" s="6"/>
      <c r="R62" s="6"/>
      <c r="S62" s="6"/>
      <c r="T62" s="6"/>
      <c r="U62" s="6"/>
      <c r="AB62" s="6"/>
      <c r="AC62" s="6"/>
    </row>
    <row r="63" spans="1:29" x14ac:dyDescent="0.2">
      <c r="A63" s="48" t="s">
        <v>214</v>
      </c>
      <c r="B63" s="39">
        <f>IF(INVOER!T36=1,1,IF(B58&lt;0.02,1,(IF(B58&lt;0.14,B59,(IF(B58&lt;0.7,B60,(IF(B58&lt;9.1,B61,B62))))))))</f>
        <v>1</v>
      </c>
      <c r="C63" s="44"/>
      <c r="F63" s="218" t="s">
        <v>237</v>
      </c>
      <c r="G63" s="142"/>
      <c r="H63" s="142"/>
      <c r="I63" s="142"/>
      <c r="J63" s="142"/>
      <c r="K63" s="142"/>
      <c r="W63" s="6"/>
      <c r="AB63" s="6"/>
      <c r="AC63" s="6"/>
    </row>
    <row r="64" spans="1:29" x14ac:dyDescent="0.2">
      <c r="A64" s="43" t="s">
        <v>155</v>
      </c>
      <c r="B64" s="6">
        <f>IF(INVOER!T36=1,1,'Berekening trap 2'!B63)</f>
        <v>1</v>
      </c>
      <c r="C64" s="44" t="str">
        <f>IF(B64=1,"neen","ja")</f>
        <v>neen</v>
      </c>
      <c r="F64" s="218" t="s">
        <v>239</v>
      </c>
      <c r="G64" s="142"/>
      <c r="H64" s="142"/>
      <c r="I64" s="142"/>
      <c r="J64" s="142"/>
      <c r="K64" s="142"/>
      <c r="W64" s="6"/>
      <c r="AB64" s="6"/>
      <c r="AC64" s="6"/>
    </row>
    <row r="65" spans="1:32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  <c r="AB65" s="6"/>
      <c r="AC65" s="6"/>
    </row>
    <row r="66" spans="1:32" x14ac:dyDescent="0.2">
      <c r="W66" s="6"/>
      <c r="AB66" s="6"/>
      <c r="AC66" s="6"/>
    </row>
    <row r="67" spans="1:32" x14ac:dyDescent="0.2">
      <c r="V67" s="6"/>
      <c r="AB67" s="6"/>
      <c r="AC67" s="6"/>
    </row>
    <row r="68" spans="1:32" x14ac:dyDescent="0.2">
      <c r="B68" s="251" t="s">
        <v>276</v>
      </c>
      <c r="V68" s="6"/>
      <c r="AB68" s="6"/>
      <c r="AC68" s="6"/>
    </row>
    <row r="69" spans="1:32" x14ac:dyDescent="0.2">
      <c r="D69" s="218" t="s">
        <v>244</v>
      </c>
      <c r="L69" s="251" t="s">
        <v>259</v>
      </c>
      <c r="V69" s="6"/>
      <c r="AB69" s="6"/>
      <c r="AC69" s="6"/>
    </row>
    <row r="70" spans="1:32" x14ac:dyDescent="0.2">
      <c r="D70" s="218" t="s">
        <v>245</v>
      </c>
      <c r="N70" s="6"/>
      <c r="O70" s="6"/>
      <c r="P70" s="6"/>
      <c r="Q70" s="6"/>
      <c r="R70" s="6"/>
      <c r="S70" s="6"/>
      <c r="T70" s="6"/>
      <c r="U70" s="6"/>
      <c r="V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2"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41"/>
      <c r="K72" s="175"/>
      <c r="L72" s="5"/>
      <c r="M72" s="5"/>
      <c r="N72" s="5"/>
      <c r="O72" s="42"/>
      <c r="Q72" s="6"/>
      <c r="R72" s="6"/>
      <c r="T72" s="6"/>
      <c r="U72" s="6"/>
      <c r="V72" s="6"/>
      <c r="W72" s="142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45"/>
      <c r="K73" s="177"/>
      <c r="L73" s="317" t="s">
        <v>270</v>
      </c>
      <c r="M73" s="46"/>
      <c r="N73" s="46"/>
      <c r="O73" s="50"/>
      <c r="Q73" s="316" t="s">
        <v>292</v>
      </c>
      <c r="R73" s="6"/>
      <c r="S73" s="6"/>
      <c r="T73" s="249" t="s">
        <v>293</v>
      </c>
      <c r="U73" s="352" t="s">
        <v>293</v>
      </c>
      <c r="V73" s="249" t="s">
        <v>291</v>
      </c>
      <c r="W73" s="352" t="s">
        <v>294</v>
      </c>
      <c r="Y73" s="249" t="s">
        <v>291</v>
      </c>
      <c r="Z73" s="352" t="s">
        <v>295</v>
      </c>
      <c r="AA73" s="6"/>
      <c r="AB73" s="352"/>
      <c r="AC73" s="6"/>
      <c r="AD73" s="6"/>
      <c r="AE73" s="6"/>
      <c r="AF73" s="6"/>
    </row>
    <row r="74" spans="1:32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312" t="s">
        <v>252</v>
      </c>
      <c r="K74" s="312" t="s">
        <v>99</v>
      </c>
      <c r="L74" s="318" t="s">
        <v>99</v>
      </c>
      <c r="M74" s="319" t="s">
        <v>271</v>
      </c>
      <c r="N74" s="147" t="s">
        <v>182</v>
      </c>
      <c r="O74" s="42" t="s">
        <v>206</v>
      </c>
      <c r="Q74" s="386" t="s">
        <v>285</v>
      </c>
      <c r="R74" s="5"/>
      <c r="S74" s="319" t="s">
        <v>284</v>
      </c>
      <c r="T74" s="318" t="s">
        <v>99</v>
      </c>
      <c r="U74" s="387" t="s">
        <v>271</v>
      </c>
      <c r="V74" s="318" t="s">
        <v>99</v>
      </c>
      <c r="W74" s="387" t="s">
        <v>271</v>
      </c>
      <c r="X74" s="398" t="s">
        <v>182</v>
      </c>
      <c r="Y74" s="318" t="s">
        <v>99</v>
      </c>
      <c r="Z74" s="387" t="s">
        <v>271</v>
      </c>
      <c r="AA74" s="6"/>
      <c r="AB74" s="352"/>
      <c r="AC74" s="6"/>
      <c r="AD74" s="6"/>
      <c r="AE74" s="6"/>
      <c r="AF74" s="6"/>
    </row>
    <row r="75" spans="1:32" x14ac:dyDescent="0.2">
      <c r="A75" s="43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3" t="s">
        <v>233</v>
      </c>
      <c r="K75" s="404" t="s">
        <v>5</v>
      </c>
      <c r="L75" s="184" t="s">
        <v>5</v>
      </c>
      <c r="M75" s="320" t="s">
        <v>233</v>
      </c>
      <c r="N75" s="238" t="s">
        <v>227</v>
      </c>
      <c r="O75" s="50" t="s">
        <v>227</v>
      </c>
      <c r="Q75" s="394" t="s">
        <v>5</v>
      </c>
      <c r="R75" s="46" t="s">
        <v>208</v>
      </c>
      <c r="S75" s="334" t="s">
        <v>283</v>
      </c>
      <c r="T75" s="142" t="s">
        <v>5</v>
      </c>
      <c r="U75" s="388" t="s">
        <v>233</v>
      </c>
      <c r="V75" s="142" t="s">
        <v>5</v>
      </c>
      <c r="W75" s="388" t="s">
        <v>233</v>
      </c>
      <c r="X75" s="399" t="s">
        <v>283</v>
      </c>
      <c r="Y75" s="184" t="s">
        <v>5</v>
      </c>
      <c r="Z75" s="388" t="s">
        <v>233</v>
      </c>
      <c r="AA75" s="6"/>
      <c r="AB75" s="401"/>
      <c r="AC75" s="6"/>
      <c r="AD75" s="6"/>
      <c r="AE75" s="6"/>
      <c r="AF75" s="6"/>
    </row>
    <row r="76" spans="1:32" x14ac:dyDescent="0.2">
      <c r="A76" s="270">
        <f>'Berekening trap 1'!A76</f>
        <v>0.64480515387890014</v>
      </c>
      <c r="B76" s="6">
        <f>A76/2</f>
        <v>0.32240257693945007</v>
      </c>
      <c r="C76" s="168">
        <f>B76/$B$51</f>
        <v>0.26</v>
      </c>
      <c r="D76" s="198">
        <f>IF(C76-$K$35&gt;0,EXP(-(((C76-$K$35)/$K$37)^$K$39)),1)</f>
        <v>1</v>
      </c>
      <c r="E76" s="199">
        <f>IF(C76-$K$36&gt;0,EXP(-(((C76-$K$36)/$K$38)^$K$40)),1)</f>
        <v>0.74188962951249193</v>
      </c>
      <c r="F76" s="41">
        <f t="shared" ref="F76:G97" si="4">D76^($B$54*$B$63)</f>
        <v>1</v>
      </c>
      <c r="G76" s="180">
        <f>E76^($B$54*$B$63)</f>
        <v>0.74188962951249193</v>
      </c>
      <c r="H76" s="181">
        <f>IF(C76&lt;$K$41,D76,E76)</f>
        <v>1</v>
      </c>
      <c r="I76" s="234">
        <f>IF(C76&lt;$K$41,F76,G76)</f>
        <v>1</v>
      </c>
      <c r="J76" s="313">
        <f>IF(INVOER!$T$36=1,100-H76*100,100-I76*100)</f>
        <v>0</v>
      </c>
      <c r="K76" s="405">
        <f>IF(AND('Berekening trap 1'!$B$64=1,INVOER!$C$20=1),'Berekening trap 1'!U76,'Berekening trap 1'!V76)</f>
        <v>1.3095524664663571E-9</v>
      </c>
      <c r="L76" s="371">
        <f>100*K76/$K$187</f>
        <v>1.6279194147511427E-7</v>
      </c>
      <c r="M76" s="371">
        <f>100-L76</f>
        <v>99.999999837208065</v>
      </c>
      <c r="N76" s="372">
        <f>'Berekening trap 2'!H76*$L76</f>
        <v>1.6279194147511427E-7</v>
      </c>
      <c r="O76" s="373">
        <f>'Berekening trap 2'!I76*$L76</f>
        <v>1.6279194147511427E-7</v>
      </c>
      <c r="Q76" s="395">
        <f t="shared" ref="Q76:Q107" si="5">IF(S76=0,100,100*(S76-X76)/S76)</f>
        <v>-9.9886237673345597E-7</v>
      </c>
      <c r="R76" s="5">
        <f>B76</f>
        <v>0.32240257693945007</v>
      </c>
      <c r="S76" s="381">
        <f>1/100*'Berekening trap 1'!T76*INVOER!$W$19*1000</f>
        <v>1.2104051373822639E-9</v>
      </c>
      <c r="T76" s="381">
        <f t="shared" ref="T76:T107" si="6">100*S76/$S$187</f>
        <v>1.3106055617223112E-9</v>
      </c>
      <c r="U76" s="42">
        <f>100-T76</f>
        <v>99.99999999868939</v>
      </c>
      <c r="V76" s="381">
        <f t="shared" ref="V76:V107" si="7">L76</f>
        <v>1.6279194147511427E-7</v>
      </c>
      <c r="W76" s="42">
        <f>100-V76</f>
        <v>99.999999837208065</v>
      </c>
      <c r="X76" s="147">
        <f>IF(AND(INVOER!$T$36=1,INVOER!$E$20=1),1/100*N76*INVOER!$W$20*1000,1/100*O76*INVOER!$W$20*1000)</f>
        <v>1.2104051494725455E-9</v>
      </c>
      <c r="Y76" s="5">
        <f t="shared" ref="Y76:Y107" si="8">100*X76/$X$187</f>
        <v>5.2563150529246474E-6</v>
      </c>
      <c r="Z76" s="42">
        <f>100-Y76</f>
        <v>99.999994743684951</v>
      </c>
      <c r="AA76" s="6"/>
      <c r="AB76" s="6"/>
      <c r="AC76" s="6"/>
      <c r="AD76" s="142"/>
      <c r="AE76" s="6"/>
      <c r="AF76" s="6"/>
    </row>
    <row r="77" spans="1:32" x14ac:dyDescent="0.2">
      <c r="A77" s="271">
        <f>'Berekening trap 1'!A77</f>
        <v>0.67531675580071404</v>
      </c>
      <c r="B77" s="6">
        <f>(A76+A77)/2</f>
        <v>0.66006095483980709</v>
      </c>
      <c r="C77" s="168">
        <f>B77/$B$51</f>
        <v>0.53230296695358226</v>
      </c>
      <c r="D77" s="200">
        <f>IF(C77-$K$35&gt;0,EXP(-(((C77-$K$35)/$K$37)^$K$39)),1)</f>
        <v>0.97630677401569543</v>
      </c>
      <c r="E77" s="197">
        <f>IF(C77-$K$36&gt;0,EXP(-(((C77-$K$36)/$K$38)^$K$40)),1)</f>
        <v>0.64239383021486196</v>
      </c>
      <c r="F77" s="43">
        <f>D77^($B$54*$B$63)</f>
        <v>0.97630677401569543</v>
      </c>
      <c r="G77" s="155">
        <f>E77^($B$54*$B$63)</f>
        <v>0.64239383021486196</v>
      </c>
      <c r="H77" s="170">
        <f>IF(C77&lt;$K$41,D77,E77)</f>
        <v>0.97630677401569543</v>
      </c>
      <c r="I77" s="179">
        <f t="shared" ref="I77:I140" si="9">IF(C77&lt;$K$41,F77,G77)</f>
        <v>0.97630677401569543</v>
      </c>
      <c r="J77" s="314">
        <f>IF(INVOER!$T$36=1,100-H77*100,100-I77*100)</f>
        <v>2.3693225984304576</v>
      </c>
      <c r="K77" s="406">
        <f>IF(AND('Berekening trap 1'!$B$64=1,INVOER!$C$20=1),'Berekening trap 1'!U77,'Berekening trap 1'!V77)</f>
        <v>5.2253803218127409E-10</v>
      </c>
      <c r="L77" s="374">
        <f>100*K77/$K$187</f>
        <v>6.4957291083503685E-8</v>
      </c>
      <c r="M77" s="374">
        <f>M76-L77</f>
        <v>99.999999772250774</v>
      </c>
      <c r="N77" s="375">
        <f>'Berekening trap 2'!H77*$L77</f>
        <v>6.3418243306533985E-8</v>
      </c>
      <c r="O77" s="376">
        <f>'Berekening trap 2'!I77*$L77</f>
        <v>6.3418243306533985E-8</v>
      </c>
      <c r="Q77" s="396">
        <f t="shared" si="5"/>
        <v>4.2150879948828024</v>
      </c>
      <c r="R77" s="6">
        <f t="shared" ref="R77:R140" si="10">B77</f>
        <v>0.66006095483980709</v>
      </c>
      <c r="S77" s="380">
        <f>1/100*'Berekening trap 1'!T77*INVOER!$W$19*1000</f>
        <v>4.9228314135713384E-10</v>
      </c>
      <c r="T77" s="380">
        <f t="shared" si="6"/>
        <v>5.330355953380509E-10</v>
      </c>
      <c r="U77" s="400">
        <f>U76-T77</f>
        <v>99.999999998156355</v>
      </c>
      <c r="V77" s="380">
        <f>L77</f>
        <v>6.4957291083503685E-8</v>
      </c>
      <c r="W77" s="400">
        <f>W76-V77</f>
        <v>99.999999772250774</v>
      </c>
      <c r="X77" s="145">
        <f>IF(AND(INVOER!$T$36=1,INVOER!E20=1),1/100*N77*INVOER!$W$20*1000,1/100*O77*INVOER!$W$20*1000)</f>
        <v>4.7153297376495735E-10</v>
      </c>
      <c r="Y77" s="6">
        <f t="shared" si="8"/>
        <v>2.0476828515073059E-6</v>
      </c>
      <c r="Z77" s="44">
        <f>Z76-Y77</f>
        <v>99.999992696002096</v>
      </c>
      <c r="AA77" s="6"/>
      <c r="AB77" s="6"/>
      <c r="AC77" s="6"/>
      <c r="AD77" s="6"/>
      <c r="AE77" s="6"/>
      <c r="AF77" s="6"/>
    </row>
    <row r="78" spans="1:32" x14ac:dyDescent="0.2">
      <c r="A78" s="271">
        <f>'Berekening trap 1'!A78</f>
        <v>0.70727213937693145</v>
      </c>
      <c r="B78" s="6">
        <f>(A77+A78)/2</f>
        <v>0.69129444758882275</v>
      </c>
      <c r="C78" s="168">
        <f>B78/$B$51</f>
        <v>0.55749106622944256</v>
      </c>
      <c r="D78" s="200">
        <f t="shared" ref="D78:D87" si="11">IF(C78-$K$35&gt;0,EXP(-(((C78-$K$35)/$K$37)^$K$39)),1)</f>
        <v>0.94694711709393897</v>
      </c>
      <c r="E78" s="197">
        <f t="shared" ref="E78:E141" si="12">IF(C78-$K$36&gt;0,EXP(-(((C78-$K$36)/$K$38)^$K$40)),1)</f>
        <v>0.63454781286769968</v>
      </c>
      <c r="F78" s="43">
        <f>D78^($B$54*$B$63)</f>
        <v>0.94694711709393897</v>
      </c>
      <c r="G78" s="155">
        <f t="shared" si="4"/>
        <v>0.63454781286769968</v>
      </c>
      <c r="H78" s="170">
        <f>IF(C78&lt;$K$41,D78,E78)</f>
        <v>0.94694711709393897</v>
      </c>
      <c r="I78" s="179">
        <f>IF(C78&lt;$K$41,F78,G78)</f>
        <v>0.94694711709393897</v>
      </c>
      <c r="J78" s="314">
        <f>IF(INVOER!$T$36=1,100-H78*100,100-I78*100)</f>
        <v>5.3052882906061001</v>
      </c>
      <c r="K78" s="406">
        <f>IF(AND('Berekening trap 1'!$B$64=1,INVOER!$C$20=1),'Berekening trap 1'!U78,'Berekening trap 1'!V78)</f>
        <v>7.0797448041672345E-10</v>
      </c>
      <c r="L78" s="374">
        <f t="shared" ref="L78:L107" si="13">100*K78/$K$187</f>
        <v>8.8009104738557313E-8</v>
      </c>
      <c r="M78" s="374">
        <f t="shared" ref="M78:M108" si="14">M77-L78</f>
        <v>99.999999684241672</v>
      </c>
      <c r="N78" s="375">
        <f>'Berekening trap 2'!H78*$L78</f>
        <v>8.3339968010195372E-8</v>
      </c>
      <c r="O78" s="376">
        <f>'Berekening trap 2'!I78*$L78</f>
        <v>8.3339968010195372E-8</v>
      </c>
      <c r="Q78" s="396">
        <f t="shared" si="5"/>
        <v>10.518699496534786</v>
      </c>
      <c r="R78" s="6">
        <f t="shared" si="10"/>
        <v>0.69129444758882275</v>
      </c>
      <c r="S78" s="380">
        <f>1/100*'Berekening trap 1'!T78*INVOER!$W$19*1000</f>
        <v>6.9249860361755189E-10</v>
      </c>
      <c r="T78" s="380">
        <f t="shared" si="6"/>
        <v>7.4982540420221851E-10</v>
      </c>
      <c r="U78" s="400">
        <f>U77-T78</f>
        <v>99.999999997406533</v>
      </c>
      <c r="V78" s="380">
        <f t="shared" si="7"/>
        <v>8.8009104738557313E-8</v>
      </c>
      <c r="W78" s="44">
        <f>W77-V78</f>
        <v>99.999999684241672</v>
      </c>
      <c r="X78" s="145">
        <f>IF(AND(INVOER!$T$36=1,INVOER!E21=1),1/100*N78*INVOER!$W$20*1000,1/100*O78*INVOER!$W$20*1000)</f>
        <v>6.1965675648532204E-10</v>
      </c>
      <c r="Y78" s="6">
        <f t="shared" si="8"/>
        <v>2.6909263713721003E-6</v>
      </c>
      <c r="Z78" s="44">
        <f>Z77-Y78</f>
        <v>99.99999000507573</v>
      </c>
      <c r="AA78" s="6"/>
      <c r="AB78" s="6"/>
      <c r="AC78" s="6"/>
      <c r="AD78" s="6"/>
      <c r="AE78" s="6"/>
      <c r="AF78" s="6"/>
    </row>
    <row r="79" spans="1:32" x14ac:dyDescent="0.2">
      <c r="A79" s="271">
        <f>'Berekening trap 1'!A79</f>
        <v>0.74073962306133068</v>
      </c>
      <c r="B79" s="6">
        <f>(A78+A79)/2</f>
        <v>0.72400588121913101</v>
      </c>
      <c r="C79" s="168">
        <f t="shared" ref="C79:C142" si="15">B79/$B$51</f>
        <v>0.58387104378612775</v>
      </c>
      <c r="D79" s="200">
        <f>IF(C79-$K$35&gt;0,EXP(-(((C79-$K$35)/$K$37)^$K$39)),1)</f>
        <v>0.92244387540658768</v>
      </c>
      <c r="E79" s="197">
        <f>IF(C79-$K$36&gt;0,EXP(-(((C79-$K$36)/$K$38)^$K$40)),1)</f>
        <v>0.62652428611405064</v>
      </c>
      <c r="F79" s="43">
        <f>D79^($B$54*$B$63)</f>
        <v>0.92244387540658768</v>
      </c>
      <c r="G79" s="155">
        <f t="shared" si="4"/>
        <v>0.62652428611405064</v>
      </c>
      <c r="H79" s="170">
        <f>IF(C79&lt;$K$41,D79,E79)</f>
        <v>0.92244387540658768</v>
      </c>
      <c r="I79" s="179">
        <f t="shared" si="9"/>
        <v>0.92244387540658768</v>
      </c>
      <c r="J79" s="314">
        <f>IF(INVOER!$T$36=1,100-H79*100,100-I79*100)</f>
        <v>7.7556124593412363</v>
      </c>
      <c r="K79" s="406">
        <f>IF(AND('Berekening trap 1'!$B$64=1,INVOER!$C$20=1),'Berekening trap 1'!U79,'Berekening trap 1'!V79)</f>
        <v>9.6553481064430649E-10</v>
      </c>
      <c r="L79" s="374">
        <f>100*K79/$K$187</f>
        <v>1.2002671936522333E-7</v>
      </c>
      <c r="M79" s="374">
        <f>M78-L79</f>
        <v>99.999999564214946</v>
      </c>
      <c r="N79" s="375">
        <f>'Berekening trap 2'!H79*$L79</f>
        <v>1.1071791216359553E-7</v>
      </c>
      <c r="O79" s="376">
        <f>'Berekening trap 2'!I79*$L79</f>
        <v>1.1071791216359553E-7</v>
      </c>
      <c r="Q79" s="396">
        <f t="shared" si="5"/>
        <v>15.493598913483142</v>
      </c>
      <c r="R79" s="6">
        <f t="shared" si="10"/>
        <v>0.72400588121913101</v>
      </c>
      <c r="S79" s="380">
        <f>1/100*'Berekening trap 1'!T79*INVOER!$W$19*1000</f>
        <v>9.7415068668155152E-10</v>
      </c>
      <c r="T79" s="380">
        <f t="shared" si="6"/>
        <v>1.0547933650394286E-9</v>
      </c>
      <c r="U79" s="44">
        <f t="shared" ref="U79:U141" si="16">U78-T79</f>
        <v>99.999999996351747</v>
      </c>
      <c r="V79" s="380">
        <f t="shared" si="7"/>
        <v>1.2002671936522333E-7</v>
      </c>
      <c r="W79" s="44">
        <f t="shared" ref="W79:W82" si="17">W78-V79</f>
        <v>99.999999564214946</v>
      </c>
      <c r="X79" s="145">
        <f>IF(AND(INVOER!$T$36=1,INVOER!E22=1),1/100*N79*INVOER!$W$20*1000,1/100*O79*INVOER!$W$20*1000)</f>
        <v>8.2321968647417008E-10</v>
      </c>
      <c r="Y79" s="6">
        <f t="shared" si="8"/>
        <v>3.5749203741934656E-6</v>
      </c>
      <c r="Z79" s="44">
        <f t="shared" ref="Z79:Z141" si="18">Z78-Y79</f>
        <v>99.99998643015536</v>
      </c>
      <c r="AA79" s="6"/>
      <c r="AB79" s="6"/>
      <c r="AC79" s="6"/>
      <c r="AD79" s="6"/>
      <c r="AE79" s="6"/>
      <c r="AF79" s="6"/>
    </row>
    <row r="80" spans="1:32" x14ac:dyDescent="0.2">
      <c r="A80" s="271">
        <f>'Berekening trap 1'!A80</f>
        <v>0.77579075807568643</v>
      </c>
      <c r="B80" s="6">
        <f t="shared" ref="B80:B143" si="19">(A79+A80)/2</f>
        <v>0.7582651905685085</v>
      </c>
      <c r="C80" s="168">
        <f t="shared" si="15"/>
        <v>0.61149929823556737</v>
      </c>
      <c r="D80" s="200">
        <f t="shared" si="11"/>
        <v>0.90012788164388957</v>
      </c>
      <c r="E80" s="197">
        <f t="shared" si="12"/>
        <v>0.61832354787183974</v>
      </c>
      <c r="F80" s="43">
        <f t="shared" si="4"/>
        <v>0.90012788164388957</v>
      </c>
      <c r="G80" s="155">
        <f t="shared" si="4"/>
        <v>0.61832354787183974</v>
      </c>
      <c r="H80" s="170">
        <f>IF(C80&lt;$K$41,D80,E80)</f>
        <v>0.90012788164388957</v>
      </c>
      <c r="I80" s="179">
        <f>IF(C80&lt;$K$41,F80,G80)</f>
        <v>0.90012788164388957</v>
      </c>
      <c r="J80" s="314">
        <f>IF(INVOER!$T$36=1,100-H80*100,100-I80*100)</f>
        <v>9.9872118356110491</v>
      </c>
      <c r="K80" s="406">
        <f>IF(AND('Berekening trap 1'!$B$64=1,INVOER!$C$20=1),'Berekening trap 1'!U80,'Berekening trap 1'!V80)</f>
        <v>1.3198677381140021E-9</v>
      </c>
      <c r="L80" s="374">
        <f>100*K80/$K$187</f>
        <v>1.6407424450715277E-7</v>
      </c>
      <c r="M80" s="374">
        <f t="shared" si="14"/>
        <v>99.999999400140695</v>
      </c>
      <c r="N80" s="375">
        <f>'Berekening trap 2'!H80*$L80</f>
        <v>1.4768780214054502E-7</v>
      </c>
      <c r="O80" s="376">
        <f>'Berekening trap 2'!I80*$L80</f>
        <v>1.4768780214054502E-7</v>
      </c>
      <c r="Q80" s="396">
        <f t="shared" si="5"/>
        <v>19.867299629927512</v>
      </c>
      <c r="R80" s="6">
        <f t="shared" si="10"/>
        <v>0.7582651905685085</v>
      </c>
      <c r="S80" s="380">
        <f>1/100*'Berekening trap 1'!T80*INVOER!$W$19*1000</f>
        <v>1.370353802763492E-9</v>
      </c>
      <c r="T80" s="380">
        <f t="shared" si="6"/>
        <v>1.483795185563518E-9</v>
      </c>
      <c r="U80" s="44">
        <f t="shared" si="16"/>
        <v>99.999999994867949</v>
      </c>
      <c r="V80" s="380">
        <f>L80</f>
        <v>1.6407424450715277E-7</v>
      </c>
      <c r="W80" s="400">
        <f>W79-V80</f>
        <v>99.999999400140695</v>
      </c>
      <c r="X80" s="145">
        <f>IF(AND(INVOER!$T$36=1,INVOER!E23=1),1/100*N80*INVOER!$W$20*1000,1/100*O80*INVOER!$W$20*1000)</f>
        <v>1.0981015067783632E-9</v>
      </c>
      <c r="Y80" s="6">
        <f t="shared" si="8"/>
        <v>4.76862435873937E-6</v>
      </c>
      <c r="Z80" s="44">
        <f t="shared" si="18"/>
        <v>99.999981661530995</v>
      </c>
      <c r="AA80" s="6"/>
      <c r="AB80" s="6"/>
      <c r="AC80" s="6"/>
      <c r="AD80" s="6"/>
      <c r="AE80" s="6"/>
      <c r="AF80" s="6"/>
    </row>
    <row r="81" spans="1:32" x14ac:dyDescent="0.2">
      <c r="A81" s="271">
        <f>'Berekening trap 1'!A81</f>
        <v>0.81250048138145436</v>
      </c>
      <c r="B81" s="46">
        <f>(A80+A81)/2</f>
        <v>0.79414561972857034</v>
      </c>
      <c r="C81" s="182">
        <f t="shared" si="15"/>
        <v>0.64043489692145539</v>
      </c>
      <c r="D81" s="201">
        <f>IF(C81-$K$35&gt;0,EXP(-(((C81-$K$35)/$K$37)^$K$39)),1)</f>
        <v>0.8791154796410322</v>
      </c>
      <c r="E81" s="167">
        <f t="shared" si="12"/>
        <v>0.60994619177927689</v>
      </c>
      <c r="F81" s="45">
        <f t="shared" si="4"/>
        <v>0.8791154796410322</v>
      </c>
      <c r="G81" s="183">
        <f t="shared" si="4"/>
        <v>0.60994619177927689</v>
      </c>
      <c r="H81" s="171">
        <f t="shared" ref="H81:H144" si="20">IF(C81&lt;$K$41,D81,E81)</f>
        <v>0.8791154796410322</v>
      </c>
      <c r="I81" s="235">
        <f>IF(C81&lt;$K$41,F81,G81)</f>
        <v>0.8791154796410322</v>
      </c>
      <c r="J81" s="314">
        <f>IF(INVOER!$T$36=1,100-H81*100,100-I81*100)</f>
        <v>12.088452035896779</v>
      </c>
      <c r="K81" s="406">
        <f>IF(AND('Berekening trap 1'!$B$64=1,INVOER!$C$20=1),'Berekening trap 1'!U81,'Berekening trap 1'!V81)</f>
        <v>1.8062941387076333E-9</v>
      </c>
      <c r="L81" s="377">
        <f t="shared" si="13"/>
        <v>2.2454245801146697E-7</v>
      </c>
      <c r="M81" s="377">
        <f t="shared" si="14"/>
        <v>99.999999175598234</v>
      </c>
      <c r="N81" s="378">
        <f>'Berekening trap 2'!H81*$L81</f>
        <v>1.9739875067452712E-7</v>
      </c>
      <c r="O81" s="379">
        <f>'Berekening trap 2'!I81*$L81</f>
        <v>1.9739875067452712E-7</v>
      </c>
      <c r="Q81" s="396">
        <f t="shared" si="5"/>
        <v>23.861197964695414</v>
      </c>
      <c r="R81" s="6">
        <f t="shared" si="10"/>
        <v>0.79414561972857034</v>
      </c>
      <c r="S81" s="380">
        <f>1/100*'Berekening trap 1'!T81*INVOER!$W$19*1000</f>
        <v>1.9276856763880027E-9</v>
      </c>
      <c r="T81" s="380">
        <f t="shared" si="6"/>
        <v>2.0872644131290279E-9</v>
      </c>
      <c r="U81" s="44">
        <f t="shared" si="16"/>
        <v>99.999999992780687</v>
      </c>
      <c r="V81" s="380">
        <f t="shared" si="7"/>
        <v>2.2454245801146697E-7</v>
      </c>
      <c r="W81" s="44">
        <f t="shared" si="17"/>
        <v>99.999999175598234</v>
      </c>
      <c r="X81" s="145">
        <f>IF(AND(INVOER!$T$36=1,INVOER!E24=1),1/100*N81*INVOER!$W$20*1000,1/100*O81*INVOER!$W$20*1000)</f>
        <v>1.4677167810079836E-9</v>
      </c>
      <c r="Y81" s="6">
        <f t="shared" si="8"/>
        <v>6.3737185956323968E-6</v>
      </c>
      <c r="Z81" s="44">
        <f t="shared" si="18"/>
        <v>99.999975287812404</v>
      </c>
      <c r="AA81" s="6"/>
      <c r="AB81" s="6"/>
      <c r="AC81" s="6"/>
      <c r="AD81" s="6"/>
      <c r="AE81" s="6"/>
      <c r="AF81" s="6"/>
    </row>
    <row r="82" spans="1:32" x14ac:dyDescent="0.2">
      <c r="A82" s="270">
        <f>'Berekening trap 1'!A82</f>
        <v>0.85094727588993779</v>
      </c>
      <c r="B82" s="6">
        <f>(A81+A82)/2</f>
        <v>0.83172387863569608</v>
      </c>
      <c r="C82" s="168">
        <f t="shared" si="15"/>
        <v>0.67073970220124579</v>
      </c>
      <c r="D82" s="200">
        <f t="shared" si="11"/>
        <v>0.85897385556705441</v>
      </c>
      <c r="E82" s="197">
        <f t="shared" si="12"/>
        <v>0.60139312354359742</v>
      </c>
      <c r="F82" s="43">
        <f t="shared" si="4"/>
        <v>0.85897385556705441</v>
      </c>
      <c r="G82" s="155">
        <f t="shared" si="4"/>
        <v>0.60139312354359742</v>
      </c>
      <c r="H82" s="170">
        <f t="shared" si="20"/>
        <v>0.85897385556705441</v>
      </c>
      <c r="I82" s="179">
        <f t="shared" si="9"/>
        <v>0.85897385556705441</v>
      </c>
      <c r="J82" s="313">
        <f>IF(INVOER!$T$36=1,100-H82*100,100-I82*100)</f>
        <v>14.102614443294556</v>
      </c>
      <c r="K82" s="405">
        <f>IF(AND('Berekening trap 1'!$B$64=1,INVOER!$C$20=1),'Berekening trap 1'!U82,'Berekening trap 1'!V82)</f>
        <v>2.4734583545669144E-9</v>
      </c>
      <c r="L82" s="380">
        <f t="shared" si="13"/>
        <v>3.0747839281637066E-7</v>
      </c>
      <c r="M82" s="380">
        <f t="shared" si="14"/>
        <v>99.999998868119846</v>
      </c>
      <c r="N82" s="375">
        <f>'Berekening trap 2'!H82*$L82</f>
        <v>2.6411590058103921E-7</v>
      </c>
      <c r="O82" s="376">
        <f>'Berekening trap 2'!I82*$L82</f>
        <v>2.6411590058103921E-7</v>
      </c>
      <c r="Q82" s="396">
        <f t="shared" si="5"/>
        <v>27.581235844021762</v>
      </c>
      <c r="R82" s="6">
        <f t="shared" si="10"/>
        <v>0.83172387863569608</v>
      </c>
      <c r="S82" s="380">
        <f>1/100*'Berekening trap 1'!T82*INVOER!$W$19*1000</f>
        <v>2.7116978616999017E-9</v>
      </c>
      <c r="T82" s="380">
        <f t="shared" si="6"/>
        <v>2.9361791267182922E-9</v>
      </c>
      <c r="U82" s="44">
        <f t="shared" si="16"/>
        <v>99.999999989844511</v>
      </c>
      <c r="V82" s="380">
        <f t="shared" si="7"/>
        <v>3.0747839281637066E-7</v>
      </c>
      <c r="W82" s="44">
        <f t="shared" si="17"/>
        <v>99.999998868119846</v>
      </c>
      <c r="X82" s="145">
        <f>IF(AND(INVOER!$T$36=1,INVOER!E25=1),1/100*N82*INVOER!$W$20*1000,1/100*O82*INVOER!$W$20*1000)</f>
        <v>1.9637780790871567E-9</v>
      </c>
      <c r="Y82" s="6">
        <f t="shared" si="8"/>
        <v>8.5279183438763143E-6</v>
      </c>
      <c r="Z82" s="44">
        <f t="shared" si="18"/>
        <v>99.999966759894065</v>
      </c>
      <c r="AA82" s="6"/>
      <c r="AB82" s="6"/>
      <c r="AC82" s="6"/>
      <c r="AD82" s="6"/>
      <c r="AE82" s="6"/>
      <c r="AF82" s="6"/>
    </row>
    <row r="83" spans="1:32" x14ac:dyDescent="0.2">
      <c r="A83" s="271">
        <f>'Berekening trap 1'!A83</f>
        <v>0.89121333825345594</v>
      </c>
      <c r="B83" s="6">
        <f>(A82+A83)/2</f>
        <v>0.87108030707169681</v>
      </c>
      <c r="C83" s="168">
        <f t="shared" si="15"/>
        <v>0.7024785037036978</v>
      </c>
      <c r="D83" s="200">
        <f t="shared" si="11"/>
        <v>0.83945129774600158</v>
      </c>
      <c r="E83" s="197">
        <f t="shared" si="12"/>
        <v>0.59266557743346759</v>
      </c>
      <c r="F83" s="43">
        <f t="shared" si="4"/>
        <v>0.83945129774600158</v>
      </c>
      <c r="G83" s="155">
        <f t="shared" si="4"/>
        <v>0.59266557743346759</v>
      </c>
      <c r="H83" s="170">
        <f>IF(C83&lt;$K$41,D83,E83)</f>
        <v>0.83945129774600158</v>
      </c>
      <c r="I83" s="179">
        <f t="shared" si="9"/>
        <v>0.83945129774600158</v>
      </c>
      <c r="J83" s="314">
        <f>IF(INVOER!$T$36=1,100-H83*100,100-I83*100)</f>
        <v>16.054870225399839</v>
      </c>
      <c r="K83" s="406">
        <f>IF(AND('Berekening trap 1'!$B$64=1,INVOER!$C$20=1),'Berekening trap 1'!U83,'Berekening trap 1'!V83)</f>
        <v>3.3879414676970348E-9</v>
      </c>
      <c r="L83" s="380">
        <f t="shared" si="13"/>
        <v>4.2115881818669956E-7</v>
      </c>
      <c r="M83" s="380">
        <f t="shared" si="14"/>
        <v>99.99999844696103</v>
      </c>
      <c r="N83" s="375">
        <f>'Berekening trap 2'!H83*$L83</f>
        <v>3.5354231648399728E-7</v>
      </c>
      <c r="O83" s="376">
        <f>'Berekening trap 2'!I83*$L83</f>
        <v>3.5354231648399728E-7</v>
      </c>
      <c r="Q83" s="396">
        <f t="shared" si="5"/>
        <v>31.088204402481821</v>
      </c>
      <c r="R83" s="6">
        <f t="shared" si="10"/>
        <v>0.87108030707169681</v>
      </c>
      <c r="S83" s="380">
        <f>1/100*'Berekening trap 1'!T83*INVOER!$W$19*1000</f>
        <v>3.8145709490064687E-9</v>
      </c>
      <c r="T83" s="380">
        <f t="shared" si="6"/>
        <v>4.1303508610054327E-9</v>
      </c>
      <c r="U83" s="44">
        <f>U82-T83</f>
        <v>99.999999985714155</v>
      </c>
      <c r="V83" s="380">
        <f t="shared" si="7"/>
        <v>4.2115881818669956E-7</v>
      </c>
      <c r="W83" s="44">
        <f>W82-V83</f>
        <v>99.99999844696103</v>
      </c>
      <c r="X83" s="145">
        <f>IF(AND(INVOER!$T$36=1,INVOER!E26=1),1/100*N83*INVOER!$W$20*1000,1/100*O83*INVOER!$W$20*1000)</f>
        <v>2.6286893353016471E-9</v>
      </c>
      <c r="Y83" s="6">
        <f t="shared" si="8"/>
        <v>1.1415367266596331E-5</v>
      </c>
      <c r="Z83" s="44">
        <f>Z82-Y83</f>
        <v>99.999955344526796</v>
      </c>
      <c r="AA83" s="6"/>
      <c r="AB83" s="6"/>
      <c r="AC83" s="6"/>
      <c r="AD83" s="6"/>
      <c r="AE83" s="6"/>
      <c r="AF83" s="6"/>
    </row>
    <row r="84" spans="1:32" x14ac:dyDescent="0.2">
      <c r="A84" s="271">
        <f>'Berekening trap 1'!A84</f>
        <v>0.93338475459624037</v>
      </c>
      <c r="B84" s="6">
        <f t="shared" si="19"/>
        <v>0.91229904642484816</v>
      </c>
      <c r="C84" s="168">
        <f>B84/$B$51</f>
        <v>0.73571915684473044</v>
      </c>
      <c r="D84" s="200">
        <f>IF(C84-$K$35&gt;0,EXP(-(((C84-$K$35)/$K$37)^$K$39)),1)</f>
        <v>0.82038617374204248</v>
      </c>
      <c r="E84" s="197">
        <f t="shared" si="12"/>
        <v>0.58376513284486509</v>
      </c>
      <c r="F84" s="43">
        <f t="shared" si="4"/>
        <v>0.82038617374204248</v>
      </c>
      <c r="G84" s="155">
        <f t="shared" si="4"/>
        <v>0.58376513284486509</v>
      </c>
      <c r="H84" s="170">
        <f t="shared" si="20"/>
        <v>0.82038617374204248</v>
      </c>
      <c r="I84" s="179">
        <f t="shared" si="9"/>
        <v>0.82038617374204248</v>
      </c>
      <c r="J84" s="314">
        <f>IF(INVOER!$T$36=1,100-H84*100,100-I84*100)</f>
        <v>17.96138262579575</v>
      </c>
      <c r="K84" s="406">
        <f>IF(AND('Berekening trap 1'!$B$64=1,INVOER!$C$20=1),'Berekening trap 1'!U84,'Berekening trap 1'!V84)</f>
        <v>4.6407832766956011E-9</v>
      </c>
      <c r="L84" s="380">
        <f t="shared" si="13"/>
        <v>5.7690099398390769E-7</v>
      </c>
      <c r="M84" s="380">
        <f t="shared" si="14"/>
        <v>99.999997870060042</v>
      </c>
      <c r="N84" s="375">
        <f>'Berekening trap 2'!H84*$L84</f>
        <v>4.7328159908243911E-7</v>
      </c>
      <c r="O84" s="376">
        <f>'Berekening trap 2'!I84*$L84</f>
        <v>4.7328159908243911E-7</v>
      </c>
      <c r="Q84" s="396">
        <f t="shared" si="5"/>
        <v>34.420721619483743</v>
      </c>
      <c r="R84" s="6">
        <f t="shared" si="10"/>
        <v>0.91229904642484816</v>
      </c>
      <c r="S84" s="380">
        <f>1/100*'Berekening trap 1'!T84*INVOER!$W$19*1000</f>
        <v>5.3660021976746983E-9</v>
      </c>
      <c r="T84" s="380">
        <f t="shared" si="6"/>
        <v>5.8102135452731217E-9</v>
      </c>
      <c r="U84" s="44">
        <f t="shared" si="16"/>
        <v>99.999999979903947</v>
      </c>
      <c r="V84" s="380">
        <f t="shared" si="7"/>
        <v>5.7690099398390769E-7</v>
      </c>
      <c r="W84" s="44">
        <f t="shared" ref="W84:W147" si="21">W83-V84</f>
        <v>99.999997870060042</v>
      </c>
      <c r="X84" s="145">
        <f>IF(AND(INVOER!$T$36=1,INVOER!E27=1),1/100*N84*INVOER!$W$20*1000,1/100*O84*INVOER!$W$20*1000)</f>
        <v>3.5189855191177109E-9</v>
      </c>
      <c r="Y84" s="6">
        <f t="shared" si="8"/>
        <v>1.52815745729623E-5</v>
      </c>
      <c r="Z84" s="44">
        <f t="shared" si="18"/>
        <v>99.99994006295222</v>
      </c>
      <c r="AA84" s="6"/>
      <c r="AB84" s="6"/>
      <c r="AC84" s="6"/>
      <c r="AD84" s="6"/>
      <c r="AE84" s="6"/>
      <c r="AF84" s="6"/>
    </row>
    <row r="85" spans="1:32" x14ac:dyDescent="0.2">
      <c r="A85" s="271">
        <f>'Berekening trap 1'!A85</f>
        <v>0.97755168456075958</v>
      </c>
      <c r="B85" s="6">
        <f t="shared" si="19"/>
        <v>0.95546821957850003</v>
      </c>
      <c r="C85" s="168">
        <f>B85/$B$51</f>
        <v>0.77053272789772309</v>
      </c>
      <c r="D85" s="200">
        <f t="shared" si="11"/>
        <v>0.8016678582944502</v>
      </c>
      <c r="E85" s="197">
        <f t="shared" si="12"/>
        <v>0.57469373086181663</v>
      </c>
      <c r="F85" s="43">
        <f t="shared" si="4"/>
        <v>0.8016678582944502</v>
      </c>
      <c r="G85" s="155">
        <f t="shared" si="4"/>
        <v>0.57469373086181663</v>
      </c>
      <c r="H85" s="170">
        <f t="shared" si="20"/>
        <v>0.8016678582944502</v>
      </c>
      <c r="I85" s="179">
        <f t="shared" si="9"/>
        <v>0.8016678582944502</v>
      </c>
      <c r="J85" s="314">
        <f>IF(INVOER!$T$36=1,100-H85*100,100-I85*100)</f>
        <v>19.833214170554982</v>
      </c>
      <c r="K85" s="406">
        <f>IF(AND('Berekening trap 1'!$B$64=1,INVOER!$C$20=1),'Berekening trap 1'!U85,'Berekening trap 1'!V85)</f>
        <v>6.356294796680255E-9</v>
      </c>
      <c r="L85" s="380">
        <f t="shared" si="13"/>
        <v>7.9015816245368327E-7</v>
      </c>
      <c r="M85" s="380">
        <f t="shared" si="14"/>
        <v>99.999997079901874</v>
      </c>
      <c r="N85" s="375">
        <f>'Berekening trap 2'!H85*$L85</f>
        <v>6.3344440180812255E-7</v>
      </c>
      <c r="O85" s="376">
        <f>'Berekening trap 2'!I85*$L85</f>
        <v>6.3344440180812255E-7</v>
      </c>
      <c r="Q85" s="396">
        <f t="shared" si="5"/>
        <v>37.604955483501051</v>
      </c>
      <c r="R85" s="6">
        <f t="shared" si="10"/>
        <v>0.95546821957850003</v>
      </c>
      <c r="S85" s="380">
        <f>1/100*'Berekening trap 1'!T85*INVOER!$W$19*1000</f>
        <v>7.5484235941771301E-9</v>
      </c>
      <c r="T85" s="380">
        <f t="shared" si="6"/>
        <v>8.1733013511162148E-9</v>
      </c>
      <c r="U85" s="44">
        <f t="shared" si="16"/>
        <v>99.999999971730645</v>
      </c>
      <c r="V85" s="380">
        <f t="shared" si="7"/>
        <v>7.9015816245368327E-7</v>
      </c>
      <c r="W85" s="44">
        <f t="shared" si="21"/>
        <v>99.999997079901874</v>
      </c>
      <c r="X85" s="145">
        <f>IF(AND(INVOER!$T$36=1,INVOER!E28=1),1/100*N85*INVOER!$W$20*1000,1/100*O85*INVOER!$W$20*1000)</f>
        <v>4.7098422618807304E-9</v>
      </c>
      <c r="Y85" s="6">
        <f t="shared" si="8"/>
        <v>2.0452998559046434E-5</v>
      </c>
      <c r="Z85" s="44">
        <f t="shared" si="18"/>
        <v>99.999919609953665</v>
      </c>
      <c r="AA85" s="6"/>
      <c r="AB85" s="6"/>
      <c r="AC85" s="6"/>
      <c r="AD85" s="6"/>
      <c r="AE85" s="6"/>
      <c r="AF85" s="6"/>
    </row>
    <row r="86" spans="1:32" x14ac:dyDescent="0.2">
      <c r="A86" s="272">
        <f>'Berekening trap 1'!A86</f>
        <v>1.0238085540629507</v>
      </c>
      <c r="B86" s="46">
        <f t="shared" si="19"/>
        <v>1.0006801193118551</v>
      </c>
      <c r="C86" s="182">
        <f t="shared" si="15"/>
        <v>0.8069936459284125</v>
      </c>
      <c r="D86" s="201">
        <f t="shared" si="11"/>
        <v>0.7832172964756362</v>
      </c>
      <c r="E86" s="167">
        <f t="shared" si="12"/>
        <v>0.56545369072454965</v>
      </c>
      <c r="F86" s="45">
        <f t="shared" si="4"/>
        <v>0.7832172964756362</v>
      </c>
      <c r="G86" s="183">
        <f t="shared" si="4"/>
        <v>0.56545369072454965</v>
      </c>
      <c r="H86" s="171">
        <f t="shared" si="20"/>
        <v>0.7832172964756362</v>
      </c>
      <c r="I86" s="235">
        <f t="shared" si="9"/>
        <v>0.7832172964756362</v>
      </c>
      <c r="J86" s="315">
        <f>IF(INVOER!$T$36=1,100-H86*100,100-I86*100)</f>
        <v>21.678270352436385</v>
      </c>
      <c r="K86" s="407">
        <f>IF(AND('Berekening trap 1'!$B$64=1,INVOER!$C$20=1),'Berekening trap 1'!U86,'Berekening trap 1'!V86)</f>
        <v>8.7040843056217512E-9</v>
      </c>
      <c r="L86" s="380">
        <f t="shared" si="13"/>
        <v>1.082014519585221E-6</v>
      </c>
      <c r="M86" s="380">
        <f t="shared" si="14"/>
        <v>99.999995997887353</v>
      </c>
      <c r="N86" s="375">
        <f>'Berekening trap 2'!H86*$L86</f>
        <v>8.4745248677692112E-7</v>
      </c>
      <c r="O86" s="376">
        <f>'Berekening trap 2'!I86*$L86</f>
        <v>8.4745248677692112E-7</v>
      </c>
      <c r="Q86" s="396">
        <f t="shared" si="5"/>
        <v>40.659428626489706</v>
      </c>
      <c r="R86" s="6">
        <f t="shared" si="10"/>
        <v>1.0006801193118551</v>
      </c>
      <c r="S86" s="380">
        <f>1/100*'Berekening trap 1'!T86*INVOER!$W$19*1000</f>
        <v>1.0618459006086339E-8</v>
      </c>
      <c r="T86" s="380">
        <f t="shared" si="6"/>
        <v>1.1497482124369113E-8</v>
      </c>
      <c r="U86" s="44">
        <f t="shared" si="16"/>
        <v>99.999999960233168</v>
      </c>
      <c r="V86" s="380">
        <f t="shared" si="7"/>
        <v>1.082014519585221E-6</v>
      </c>
      <c r="W86" s="44">
        <f t="shared" si="21"/>
        <v>99.999995997887353</v>
      </c>
      <c r="X86" s="145">
        <f>IF(AND(INVOER!$T$36=1,INVOER!E29=1),1/100*N86*INVOER!$W$20*1000,1/100*O86*INVOER!$W$20*1000)</f>
        <v>6.3010542452735954E-9</v>
      </c>
      <c r="Y86" s="6">
        <f t="shared" si="8"/>
        <v>2.7363008405209693E-5</v>
      </c>
      <c r="Z86" s="44">
        <f t="shared" si="18"/>
        <v>99.999892246945265</v>
      </c>
      <c r="AA86" s="6"/>
      <c r="AB86" s="6"/>
      <c r="AC86" s="6"/>
      <c r="AD86" s="6"/>
      <c r="AE86" s="6"/>
      <c r="AF86" s="6"/>
    </row>
    <row r="87" spans="1:32" x14ac:dyDescent="0.2">
      <c r="A87" s="271">
        <f>'Berekening trap 1'!A87</f>
        <v>1.0722542571684557</v>
      </c>
      <c r="B87" s="6">
        <f t="shared" si="19"/>
        <v>1.0480314056157032</v>
      </c>
      <c r="C87" s="168">
        <f t="shared" si="15"/>
        <v>0.8451798619192129</v>
      </c>
      <c r="D87" s="200">
        <f t="shared" si="11"/>
        <v>0.76497630412886941</v>
      </c>
      <c r="E87" s="197">
        <f t="shared" si="12"/>
        <v>0.55604772610845277</v>
      </c>
      <c r="F87" s="43">
        <f t="shared" si="4"/>
        <v>0.76497630412886941</v>
      </c>
      <c r="G87" s="155">
        <f t="shared" si="4"/>
        <v>0.55604772610845277</v>
      </c>
      <c r="H87" s="170">
        <f t="shared" si="20"/>
        <v>0.76497630412886941</v>
      </c>
      <c r="I87" s="179">
        <f t="shared" si="9"/>
        <v>0.76497630412886941</v>
      </c>
      <c r="J87" s="314">
        <f>IF(INVOER!$T$36=1,100-H87*100,100-I87*100)</f>
        <v>23.502369587113066</v>
      </c>
      <c r="K87" s="406">
        <f>IF(AND('Berekening trap 1'!$B$64=1,INVOER!$C$20=1),'Berekening trap 1'!U87,'Berekening trap 1'!V87)</f>
        <v>1.1915366352872775E-8</v>
      </c>
      <c r="L87" s="381">
        <f t="shared" si="13"/>
        <v>1.4812126063230496E-6</v>
      </c>
      <c r="M87" s="381">
        <f t="shared" si="14"/>
        <v>99.999994516674747</v>
      </c>
      <c r="N87" s="372">
        <f>'Berekening trap 2'!H87*$L87</f>
        <v>1.1330925452140964E-6</v>
      </c>
      <c r="O87" s="373">
        <f>'Berekening trap 2'!I87*$L87</f>
        <v>1.1330925452140964E-6</v>
      </c>
      <c r="Q87" s="396">
        <f t="shared" si="5"/>
        <v>43.597657309805619</v>
      </c>
      <c r="R87" s="6">
        <f t="shared" si="10"/>
        <v>1.0480314056157032</v>
      </c>
      <c r="S87" s="380">
        <f>1/100*'Berekening trap 1'!T87*INVOER!$W$19*1000</f>
        <v>1.4937093494721428E-8</v>
      </c>
      <c r="T87" s="380">
        <f t="shared" si="6"/>
        <v>1.6173624190398216E-8</v>
      </c>
      <c r="U87" s="44">
        <f t="shared" si="16"/>
        <v>99.999999944059539</v>
      </c>
      <c r="V87" s="380">
        <f t="shared" si="7"/>
        <v>1.4812126063230496E-6</v>
      </c>
      <c r="W87" s="44">
        <f t="shared" si="21"/>
        <v>99.999994516674747</v>
      </c>
      <c r="X87" s="145">
        <f>IF(AND(INVOER!$T$36=1,INVOER!E30=1),1/100*N87*INVOER!$W$20*1000,1/100*O87*INVOER!$W$20*1000)</f>
        <v>8.4248706608475112E-9</v>
      </c>
      <c r="Y87" s="6">
        <f t="shared" si="8"/>
        <v>3.6585910505134094E-5</v>
      </c>
      <c r="Z87" s="44">
        <f t="shared" si="18"/>
        <v>99.999855661034758</v>
      </c>
      <c r="AA87" s="6"/>
      <c r="AB87" s="6"/>
      <c r="AC87" s="6"/>
      <c r="AD87" s="6"/>
      <c r="AE87" s="6"/>
      <c r="AF87" s="6"/>
    </row>
    <row r="88" spans="1:32" x14ac:dyDescent="0.2">
      <c r="A88" s="271">
        <f>'Berekening trap 1'!A88</f>
        <v>1.122992367521461</v>
      </c>
      <c r="B88" s="6">
        <f t="shared" si="19"/>
        <v>1.0976233123449584</v>
      </c>
      <c r="C88" s="168">
        <f t="shared" si="15"/>
        <v>0.8851730154231563</v>
      </c>
      <c r="D88" s="200">
        <f>IF(C88-$K$35&gt;0,EXP(-(((C88-$K$35)/$K$37)^$K$39)),1)</f>
        <v>0.74690122341470222</v>
      </c>
      <c r="E88" s="197">
        <f t="shared" si="12"/>
        <v>0.54647896110777394</v>
      </c>
      <c r="F88" s="43">
        <f t="shared" si="4"/>
        <v>0.74690122341470222</v>
      </c>
      <c r="G88" s="155">
        <f t="shared" si="4"/>
        <v>0.54647896110777394</v>
      </c>
      <c r="H88" s="170">
        <f t="shared" si="20"/>
        <v>0.74690122341470222</v>
      </c>
      <c r="I88" s="179">
        <f t="shared" si="9"/>
        <v>0.74690122341470222</v>
      </c>
      <c r="J88" s="314">
        <f>IF(INVOER!$T$36=1,100-H88*100,100-I88*100)</f>
        <v>25.309877658529771</v>
      </c>
      <c r="K88" s="406">
        <f>IF(AND('Berekening trap 1'!$B$64=1,INVOER!$C$20=1),'Berekening trap 1'!U88,'Berekening trap 1'!V88)</f>
        <v>1.6305134291553385E-8</v>
      </c>
      <c r="L88" s="380">
        <f t="shared" si="13"/>
        <v>2.0269096010309629E-6</v>
      </c>
      <c r="M88" s="380">
        <f t="shared" si="14"/>
        <v>99.999992489765148</v>
      </c>
      <c r="N88" s="375">
        <f>'Berekening trap 2'!H88*$L88</f>
        <v>1.5139012607610321E-6</v>
      </c>
      <c r="O88" s="376">
        <f>'Berekening trap 2'!I88*$L88</f>
        <v>1.5139012607610321E-6</v>
      </c>
      <c r="Q88" s="396">
        <f t="shared" si="5"/>
        <v>46.429717977341625</v>
      </c>
      <c r="R88" s="6">
        <f t="shared" si="10"/>
        <v>1.0976233123449584</v>
      </c>
      <c r="S88" s="380">
        <f>1/100*'Berekening trap 1'!T88*INVOER!$W$19*1000</f>
        <v>2.1012197679640215E-8</v>
      </c>
      <c r="T88" s="380">
        <f t="shared" si="6"/>
        <v>2.2751640993942655E-8</v>
      </c>
      <c r="U88" s="44">
        <f t="shared" si="16"/>
        <v>99.999999921307904</v>
      </c>
      <c r="V88" s="380">
        <f t="shared" si="7"/>
        <v>2.0269096010309629E-6</v>
      </c>
      <c r="W88" s="44">
        <f t="shared" si="21"/>
        <v>99.999992489765148</v>
      </c>
      <c r="X88" s="145">
        <f>IF(AND(INVOER!$T$36=1,INVOER!E31=1),1/100*N88*INVOER!$W$20*1000,1/100*O88*INVOER!$W$20*1000)</f>
        <v>1.1256293556141742E-8</v>
      </c>
      <c r="Y88" s="6">
        <f t="shared" si="8"/>
        <v>4.8881670145793264E-5</v>
      </c>
      <c r="Z88" s="44">
        <f t="shared" si="18"/>
        <v>99.999806779364619</v>
      </c>
      <c r="AA88" s="6"/>
      <c r="AB88" s="6"/>
      <c r="AC88" s="6"/>
      <c r="AD88" s="6"/>
      <c r="AE88" s="6"/>
      <c r="AF88" s="6"/>
    </row>
    <row r="89" spans="1:32" x14ac:dyDescent="0.2">
      <c r="A89" s="271">
        <f>'Berekening trap 1'!A89</f>
        <v>1.1761313597781595</v>
      </c>
      <c r="B89" s="6">
        <f t="shared" si="19"/>
        <v>1.1495618636498102</v>
      </c>
      <c r="C89" s="168">
        <f t="shared" si="15"/>
        <v>0.92705860910374793</v>
      </c>
      <c r="D89" s="200">
        <f>IF(C89-$K$35&gt;0,EXP(-(((C89-$K$35)/$K$37)^$K$39)),1)</f>
        <v>0.72895893976405801</v>
      </c>
      <c r="E89" s="197">
        <f t="shared" si="12"/>
        <v>0.5367509458082691</v>
      </c>
      <c r="F89" s="43">
        <f t="shared" si="4"/>
        <v>0.72895893976405801</v>
      </c>
      <c r="G89" s="155">
        <f t="shared" si="4"/>
        <v>0.5367509458082691</v>
      </c>
      <c r="H89" s="170">
        <f t="shared" si="20"/>
        <v>0.72895893976405801</v>
      </c>
      <c r="I89" s="179">
        <f t="shared" si="9"/>
        <v>0.72895893976405801</v>
      </c>
      <c r="J89" s="314">
        <f>IF(INVOER!$T$36=1,100-H89*100,100-I89*100)</f>
        <v>27.104106023594198</v>
      </c>
      <c r="K89" s="406">
        <f>IF(AND('Berekening trap 1'!$B$64=1,INVOER!$C$20=1),'Berekening trap 1'!U89,'Berekening trap 1'!V89)</f>
        <v>2.2301973616230685E-8</v>
      </c>
      <c r="L89" s="380">
        <f t="shared" si="13"/>
        <v>2.7723834490645354E-6</v>
      </c>
      <c r="M89" s="380">
        <f t="shared" si="14"/>
        <v>99.999989717381695</v>
      </c>
      <c r="N89" s="375">
        <f>'Berekening trap 2'!H89*$L89</f>
        <v>2.0209536996495062E-6</v>
      </c>
      <c r="O89" s="376">
        <f>'Berekening trap 2'!I89*$L89</f>
        <v>2.0209536996495062E-6</v>
      </c>
      <c r="Q89" s="396">
        <f t="shared" si="5"/>
        <v>49.163234756781158</v>
      </c>
      <c r="R89" s="6">
        <f t="shared" si="10"/>
        <v>1.1495618636498102</v>
      </c>
      <c r="S89" s="380">
        <f>1/100*'Berekening trap 1'!T89*INVOER!$W$19*1000</f>
        <v>2.9558086476938627E-8</v>
      </c>
      <c r="T89" s="380">
        <f t="shared" si="6"/>
        <v>3.2004980261671223E-8</v>
      </c>
      <c r="U89" s="44">
        <f t="shared" si="16"/>
        <v>99.999999889302927</v>
      </c>
      <c r="V89" s="380">
        <f t="shared" si="7"/>
        <v>2.7723834490645354E-6</v>
      </c>
      <c r="W89" s="44">
        <f t="shared" si="21"/>
        <v>99.999989717381695</v>
      </c>
      <c r="X89" s="145">
        <f>IF(AND(INVOER!$T$36=1,INVOER!E32=1),1/100*N89*INVOER!$W$20*1000,1/100*O89*INVOER!$W$20*1000)</f>
        <v>1.5026375032668905E-8</v>
      </c>
      <c r="Y89" s="6">
        <f t="shared" si="8"/>
        <v>6.5253656025444871E-5</v>
      </c>
      <c r="Z89" s="44">
        <f t="shared" si="18"/>
        <v>99.999741525708586</v>
      </c>
      <c r="AA89" s="6"/>
      <c r="AB89" s="6"/>
      <c r="AC89" s="6"/>
      <c r="AD89" s="6"/>
      <c r="AE89" s="6"/>
      <c r="AF89" s="6"/>
    </row>
    <row r="90" spans="1:32" x14ac:dyDescent="0.2">
      <c r="A90" s="271">
        <f>'Berekening trap 1'!A90</f>
        <v>1.2317848415182457</v>
      </c>
      <c r="B90" s="6">
        <f t="shared" si="19"/>
        <v>1.2039581006482027</v>
      </c>
      <c r="C90" s="168">
        <f t="shared" si="15"/>
        <v>0.97092619153389159</v>
      </c>
      <c r="D90" s="200">
        <f t="shared" ref="D90:D153" si="22">IF(C90-$K$35&gt;0,EXP(-(((C90-$K$35)/$K$37)^$K$39)),1)</f>
        <v>0.71112426540567186</v>
      </c>
      <c r="E90" s="197">
        <f t="shared" si="12"/>
        <v>0.52686767132313428</v>
      </c>
      <c r="F90" s="43">
        <f t="shared" si="4"/>
        <v>0.71112426540567186</v>
      </c>
      <c r="G90" s="155">
        <f t="shared" si="4"/>
        <v>0.52686767132313428</v>
      </c>
      <c r="H90" s="170">
        <f t="shared" si="20"/>
        <v>0.71112426540567186</v>
      </c>
      <c r="I90" s="179">
        <f t="shared" si="9"/>
        <v>0.71112426540567186</v>
      </c>
      <c r="J90" s="314">
        <f>IF(INVOER!$T$36=1,100-H90*100,100-I90*100)</f>
        <v>28.887573459432815</v>
      </c>
      <c r="K90" s="406">
        <f>IF(AND('Berekening trap 1'!$B$64=1,INVOER!$C$20=1),'Berekening trap 1'!U90,'Berekening trap 1'!V90)</f>
        <v>3.0488681817972216E-8</v>
      </c>
      <c r="L90" s="380">
        <f t="shared" si="13"/>
        <v>3.7900823626849495E-6</v>
      </c>
      <c r="M90" s="380">
        <f t="shared" si="14"/>
        <v>99.999985927299335</v>
      </c>
      <c r="N90" s="375">
        <f>'Berekening trap 2'!H90*$L90</f>
        <v>2.6952195359913278E-6</v>
      </c>
      <c r="O90" s="376">
        <f>'Berekening trap 2'!I90*$L90</f>
        <v>2.6952195359913278E-6</v>
      </c>
      <c r="Q90" s="396">
        <f t="shared" si="5"/>
        <v>51.804032762570529</v>
      </c>
      <c r="R90" s="6">
        <f t="shared" si="10"/>
        <v>1.2039581006482027</v>
      </c>
      <c r="S90" s="380">
        <f>1/100*'Berekening trap 1'!T90*INVOER!$W$19*1000</f>
        <v>4.1579695586202807E-8</v>
      </c>
      <c r="T90" s="380">
        <f t="shared" si="6"/>
        <v>4.5021768833411556E-8</v>
      </c>
      <c r="U90" s="44">
        <f t="shared" si="16"/>
        <v>99.999999844281163</v>
      </c>
      <c r="V90" s="380">
        <f t="shared" si="7"/>
        <v>3.7900823626849495E-6</v>
      </c>
      <c r="W90" s="44">
        <f t="shared" si="21"/>
        <v>99.999985927299335</v>
      </c>
      <c r="X90" s="145">
        <f>IF(AND(INVOER!$T$36=1,INVOER!E33=1),1/100*N90*INVOER!$W$20*1000,1/100*O90*INVOER!$W$20*1000)</f>
        <v>2.0039736462149214E-8</v>
      </c>
      <c r="Y90" s="6">
        <f t="shared" si="8"/>
        <v>8.7024719341733992E-5</v>
      </c>
      <c r="Z90" s="44">
        <f t="shared" si="18"/>
        <v>99.999654500989251</v>
      </c>
      <c r="AA90" s="6"/>
      <c r="AB90" s="6"/>
      <c r="AC90" s="6"/>
      <c r="AD90" s="6"/>
      <c r="AE90" s="6"/>
      <c r="AF90" s="6"/>
    </row>
    <row r="91" spans="1:32" x14ac:dyDescent="0.2">
      <c r="A91" s="271">
        <f>'Berekening trap 1'!A91</f>
        <v>1.2900717961302552</v>
      </c>
      <c r="B91" s="46">
        <f t="shared" si="19"/>
        <v>1.2609283188242504</v>
      </c>
      <c r="C91" s="182">
        <f t="shared" si="15"/>
        <v>1.0168695486446948</v>
      </c>
      <c r="D91" s="201">
        <f t="shared" si="22"/>
        <v>0.69337815592628227</v>
      </c>
      <c r="E91" s="167">
        <f t="shared" si="12"/>
        <v>0.51683358415656622</v>
      </c>
      <c r="F91" s="45">
        <f t="shared" si="4"/>
        <v>0.69337815592628227</v>
      </c>
      <c r="G91" s="183">
        <f t="shared" si="4"/>
        <v>0.51683358415656622</v>
      </c>
      <c r="H91" s="171">
        <f t="shared" si="20"/>
        <v>0.69337815592628227</v>
      </c>
      <c r="I91" s="235">
        <f t="shared" si="9"/>
        <v>0.69337815592628227</v>
      </c>
      <c r="J91" s="314">
        <f>IF(INVOER!$T$36=1,100-H91*100,100-I91*100)</f>
        <v>30.662184407371768</v>
      </c>
      <c r="K91" s="406">
        <f>IF(AND('Berekening trap 1'!$B$64=1,INVOER!$C$20=1),'Berekening trap 1'!U91,'Berekening trap 1'!V91)</f>
        <v>4.1656854640808456E-8</v>
      </c>
      <c r="L91" s="377">
        <f t="shared" si="13"/>
        <v>5.1784105000561649E-6</v>
      </c>
      <c r="M91" s="377">
        <f t="shared" si="14"/>
        <v>99.999980748888831</v>
      </c>
      <c r="N91" s="378">
        <f>'Berekening trap 2'!H91*$L91</f>
        <v>3.5905967231582406E-6</v>
      </c>
      <c r="O91" s="379">
        <f>'Berekening trap 2'!I91*$L91</f>
        <v>3.5905967231582406E-6</v>
      </c>
      <c r="Q91" s="396">
        <f t="shared" si="5"/>
        <v>54.356588010376271</v>
      </c>
      <c r="R91" s="6">
        <f t="shared" si="10"/>
        <v>1.2609283188242504</v>
      </c>
      <c r="S91" s="380">
        <f>1/100*'Berekening trap 1'!T91*INVOER!$W$19*1000</f>
        <v>5.8490642014998137E-8</v>
      </c>
      <c r="T91" s="380">
        <f t="shared" si="6"/>
        <v>6.3332646537962816E-8</v>
      </c>
      <c r="U91" s="44">
        <f t="shared" si="16"/>
        <v>99.999999780948514</v>
      </c>
      <c r="V91" s="380">
        <f t="shared" si="7"/>
        <v>5.1784105000561649E-6</v>
      </c>
      <c r="W91" s="44">
        <f t="shared" si="21"/>
        <v>99.999980748888831</v>
      </c>
      <c r="X91" s="145">
        <f>IF(AND(INVOER!$T$36=1,INVOER!E34=1),1/100*N91*INVOER!$W$20*1000,1/100*O91*INVOER!$W$20*1000)</f>
        <v>2.6697124710281553E-8</v>
      </c>
      <c r="Y91" s="6">
        <f t="shared" si="8"/>
        <v>1.1593514662888706E-4</v>
      </c>
      <c r="Z91" s="44">
        <f t="shared" si="18"/>
        <v>99.999538565842627</v>
      </c>
      <c r="AA91" s="6"/>
      <c r="AB91" s="6"/>
      <c r="AC91" s="6"/>
      <c r="AD91" s="6"/>
      <c r="AE91" s="6"/>
      <c r="AF91" s="6"/>
    </row>
    <row r="92" spans="1:32" x14ac:dyDescent="0.2">
      <c r="A92" s="270">
        <f>'Berekening trap 1'!A92</f>
        <v>1.3511168371900206</v>
      </c>
      <c r="B92" s="6">
        <f t="shared" si="19"/>
        <v>1.3205943166601379</v>
      </c>
      <c r="C92" s="168">
        <f t="shared" si="15"/>
        <v>1.0649869042334632</v>
      </c>
      <c r="D92" s="200">
        <f t="shared" si="22"/>
        <v>0.67570645659240225</v>
      </c>
      <c r="E92" s="197">
        <f t="shared" si="12"/>
        <v>0.50665359974932545</v>
      </c>
      <c r="F92" s="43">
        <f t="shared" si="4"/>
        <v>0.67570645659240225</v>
      </c>
      <c r="G92" s="155">
        <f t="shared" si="4"/>
        <v>0.50665359974932545</v>
      </c>
      <c r="H92" s="170">
        <f t="shared" si="20"/>
        <v>0.67570645659240225</v>
      </c>
      <c r="I92" s="179">
        <f t="shared" si="9"/>
        <v>0.67570645659240225</v>
      </c>
      <c r="J92" s="313">
        <f>IF(INVOER!$T$36=1,100-H92*100,100-I92*100)</f>
        <v>32.429354340759772</v>
      </c>
      <c r="K92" s="405">
        <f>IF(AND('Berekening trap 1'!$B$64=1,INVOER!$C$20=1),'Berekening trap 1'!U92,'Berekening trap 1'!V92)</f>
        <v>5.6880626412454658E-8</v>
      </c>
      <c r="L92" s="380">
        <f t="shared" si="13"/>
        <v>7.070894708778011E-6</v>
      </c>
      <c r="M92" s="380">
        <f t="shared" si="14"/>
        <v>99.99997367799412</v>
      </c>
      <c r="N92" s="375">
        <f>'Berekening trap 2'!H92*$L92</f>
        <v>4.7778492086063562E-6</v>
      </c>
      <c r="O92" s="376">
        <f>'Berekening trap 2'!I92*$L92</f>
        <v>4.7778492086063562E-6</v>
      </c>
      <c r="Q92" s="396">
        <f t="shared" si="5"/>
        <v>56.824348074201829</v>
      </c>
      <c r="R92" s="6">
        <f t="shared" si="10"/>
        <v>1.3205943166601379</v>
      </c>
      <c r="S92" s="380">
        <f>1/100*'Berekening trap 1'!T92*INVOER!$W$19*1000</f>
        <v>8.2279452886883045E-8</v>
      </c>
      <c r="T92" s="380">
        <f t="shared" si="6"/>
        <v>8.9090755845793816E-8</v>
      </c>
      <c r="U92" s="44">
        <f t="shared" si="16"/>
        <v>99.999999691857752</v>
      </c>
      <c r="V92" s="380">
        <f t="shared" si="7"/>
        <v>7.070894708778011E-6</v>
      </c>
      <c r="W92" s="44">
        <f t="shared" si="21"/>
        <v>99.99997367799412</v>
      </c>
      <c r="X92" s="145">
        <f>IF(AND(INVOER!$T$36=1,INVOER!E35=1),1/100*N92*INVOER!$W$20*1000,1/100*O92*INVOER!$W$20*1000)</f>
        <v>3.5524690184891724E-8</v>
      </c>
      <c r="Y92" s="6">
        <f t="shared" si="8"/>
        <v>1.5426980284304076E-4</v>
      </c>
      <c r="Z92" s="44">
        <f t="shared" si="18"/>
        <v>99.999384296039779</v>
      </c>
      <c r="AA92" s="6"/>
      <c r="AB92" s="6"/>
      <c r="AC92" s="6"/>
      <c r="AD92" s="6"/>
      <c r="AE92" s="6"/>
      <c r="AF92" s="6"/>
    </row>
    <row r="93" spans="1:32" x14ac:dyDescent="0.2">
      <c r="A93" s="271">
        <f>'Berekening trap 1'!A93</f>
        <v>1.4150504748760875</v>
      </c>
      <c r="B93" s="6">
        <f t="shared" si="19"/>
        <v>1.3830836560330542</v>
      </c>
      <c r="C93" s="168">
        <f t="shared" si="15"/>
        <v>1.1153811299595484</v>
      </c>
      <c r="D93" s="200">
        <f t="shared" si="22"/>
        <v>0.65809899757528101</v>
      </c>
      <c r="E93" s="197">
        <f t="shared" si="12"/>
        <v>0.49633311505080652</v>
      </c>
      <c r="F93" s="43">
        <f t="shared" si="4"/>
        <v>0.65809899757528101</v>
      </c>
      <c r="G93" s="155">
        <f t="shared" si="4"/>
        <v>0.49633311505080652</v>
      </c>
      <c r="H93" s="170">
        <f t="shared" si="20"/>
        <v>0.65809899757528101</v>
      </c>
      <c r="I93" s="179">
        <f t="shared" si="9"/>
        <v>0.65809899757528101</v>
      </c>
      <c r="J93" s="314">
        <f>IF(INVOER!$T$36=1,100-H93*100,100-I93*100)</f>
        <v>34.1901002424719</v>
      </c>
      <c r="K93" s="406">
        <f>IF(AND('Berekening trap 1'!$B$64=1,INVOER!$C$20=1),'Berekening trap 1'!U93,'Berekening trap 1'!V93)</f>
        <v>7.7616015542208871E-8</v>
      </c>
      <c r="L93" s="380">
        <f t="shared" si="13"/>
        <v>9.6485342765787008E-6</v>
      </c>
      <c r="M93" s="380">
        <f t="shared" si="14"/>
        <v>99.999964029459846</v>
      </c>
      <c r="N93" s="375">
        <f>'Berekening trap 2'!H93*$L93</f>
        <v>6.3496907354871823E-6</v>
      </c>
      <c r="O93" s="376">
        <f>'Berekening trap 2'!I93*$L93</f>
        <v>6.3496907354871823E-6</v>
      </c>
      <c r="Q93" s="396">
        <f t="shared" si="5"/>
        <v>59.209967577127507</v>
      </c>
      <c r="R93" s="6">
        <f t="shared" si="10"/>
        <v>1.3830836560330542</v>
      </c>
      <c r="S93" s="380">
        <f>1/100*'Berekening trap 1'!T93*INVOER!$W$19*1000</f>
        <v>1.1574343918444506E-7</v>
      </c>
      <c r="T93" s="380">
        <f t="shared" si="6"/>
        <v>1.2532497627700877E-7</v>
      </c>
      <c r="U93" s="44">
        <f t="shared" si="16"/>
        <v>99.999999566532779</v>
      </c>
      <c r="V93" s="380">
        <f t="shared" si="7"/>
        <v>9.6485342765787008E-6</v>
      </c>
      <c r="W93" s="44">
        <f t="shared" si="21"/>
        <v>99.999964029459846</v>
      </c>
      <c r="X93" s="145">
        <f>IF(AND(INVOER!$T$36=1,INVOER!E36=1),1/100*N93*INVOER!$W$20*1000,1/100*O93*INVOER!$W$20*1000)</f>
        <v>4.7211786370682844E-8</v>
      </c>
      <c r="Y93" s="6">
        <f t="shared" si="8"/>
        <v>2.0502227992323307E-4</v>
      </c>
      <c r="Z93" s="44">
        <f t="shared" si="18"/>
        <v>99.99917927375985</v>
      </c>
      <c r="AA93" s="6"/>
      <c r="AB93" s="6"/>
      <c r="AC93" s="6"/>
      <c r="AD93" s="6"/>
      <c r="AE93" s="6"/>
      <c r="AF93" s="6"/>
    </row>
    <row r="94" spans="1:32" x14ac:dyDescent="0.2">
      <c r="A94" s="271">
        <f>'Berekening trap 1'!A94</f>
        <v>1.4820093949916695</v>
      </c>
      <c r="B94" s="6">
        <f t="shared" si="19"/>
        <v>1.4485299349338785</v>
      </c>
      <c r="C94" s="168">
        <f t="shared" si="15"/>
        <v>1.1681599652770158</v>
      </c>
      <c r="D94" s="200">
        <f t="shared" si="22"/>
        <v>0.64054892577228129</v>
      </c>
      <c r="E94" s="197">
        <f t="shared" si="12"/>
        <v>0.48587801995249286</v>
      </c>
      <c r="F94" s="43">
        <f t="shared" si="4"/>
        <v>0.64054892577228129</v>
      </c>
      <c r="G94" s="155">
        <f t="shared" si="4"/>
        <v>0.48587801995249286</v>
      </c>
      <c r="H94" s="170">
        <f t="shared" si="20"/>
        <v>0.64054892577228129</v>
      </c>
      <c r="I94" s="179">
        <f t="shared" si="9"/>
        <v>0.64054892577228129</v>
      </c>
      <c r="J94" s="314">
        <f>IF(INVOER!$T$36=1,100-H94*100,100-I94*100)</f>
        <v>35.945107422771869</v>
      </c>
      <c r="K94" s="406">
        <f>IF(AND('Berekening trap 1'!$B$64=1,INVOER!$C$20=1),'Berekening trap 1'!U94,'Berekening trap 1'!V94)</f>
        <v>1.0583450428848867E-7</v>
      </c>
      <c r="L94" s="380">
        <f t="shared" si="13"/>
        <v>1.3156406382609031E-5</v>
      </c>
      <c r="M94" s="380">
        <f t="shared" si="14"/>
        <v>99.999950873053464</v>
      </c>
      <c r="N94" s="375">
        <f>'Berekening trap 2'!H94*$L94</f>
        <v>8.4273219754037996E-6</v>
      </c>
      <c r="O94" s="376">
        <f>'Berekening trap 2'!I94*$L94</f>
        <v>8.4273219754037996E-6</v>
      </c>
      <c r="Q94" s="396">
        <f t="shared" si="5"/>
        <v>61.515485816192765</v>
      </c>
      <c r="R94" s="6">
        <f t="shared" si="10"/>
        <v>1.4485299349338785</v>
      </c>
      <c r="S94" s="380">
        <f>1/100*'Berekening trap 1'!T94*INVOER!$W$19*1000</f>
        <v>1.6281763361218627E-7</v>
      </c>
      <c r="T94" s="380">
        <f t="shared" si="6"/>
        <v>1.7629609257945936E-7</v>
      </c>
      <c r="U94" s="44">
        <f t="shared" si="16"/>
        <v>99.999999390236681</v>
      </c>
      <c r="V94" s="380">
        <f t="shared" si="7"/>
        <v>1.3156406382609031E-5</v>
      </c>
      <c r="W94" s="44">
        <f t="shared" si="21"/>
        <v>99.999950873053464</v>
      </c>
      <c r="X94" s="145">
        <f>IF(AND(INVOER!$T$36=1,INVOER!E37=1),1/100*N94*INVOER!$W$20*1000,1/100*O94*INVOER!$W$20*1000)</f>
        <v>6.2659575301221116E-8</v>
      </c>
      <c r="Y94" s="6">
        <f t="shared" si="8"/>
        <v>2.7210597130159067E-4</v>
      </c>
      <c r="Z94" s="44">
        <f t="shared" si="18"/>
        <v>99.998907167788545</v>
      </c>
      <c r="AA94" s="6"/>
      <c r="AB94" s="6"/>
      <c r="AC94" s="6"/>
      <c r="AD94" s="6"/>
      <c r="AE94" s="6"/>
      <c r="AF94" s="6"/>
    </row>
    <row r="95" spans="1:32" x14ac:dyDescent="0.2">
      <c r="A95" s="271">
        <f>'Berekening trap 1'!A95</f>
        <v>1.5521367511896729</v>
      </c>
      <c r="B95" s="6">
        <f t="shared" si="19"/>
        <v>1.5170730730906712</v>
      </c>
      <c r="C95" s="168">
        <f t="shared" si="15"/>
        <v>1.2234362477743268</v>
      </c>
      <c r="D95" s="200">
        <f t="shared" si="22"/>
        <v>0.62305220102729708</v>
      </c>
      <c r="E95" s="197">
        <f t="shared" si="12"/>
        <v>0.47529470740843527</v>
      </c>
      <c r="F95" s="43">
        <f t="shared" si="4"/>
        <v>0.62305220102729708</v>
      </c>
      <c r="G95" s="155">
        <f t="shared" si="4"/>
        <v>0.47529470740843527</v>
      </c>
      <c r="H95" s="170">
        <f t="shared" si="20"/>
        <v>0.62305220102729708</v>
      </c>
      <c r="I95" s="179">
        <f t="shared" si="9"/>
        <v>0.62305220102729708</v>
      </c>
      <c r="J95" s="314">
        <f>IF(INVOER!$T$36=1,100-H95*100,100-I95*100)</f>
        <v>37.694779897270294</v>
      </c>
      <c r="K95" s="406">
        <f>IF(AND('Berekening trap 1'!$B$64=1,INVOER!$C$20=1),'Berekening trap 1'!U95,'Berekening trap 1'!V95)</f>
        <v>1.4420238722628521E-7</v>
      </c>
      <c r="L95" s="380">
        <f t="shared" si="13"/>
        <v>1.7925961107352296E-5</v>
      </c>
      <c r="M95" s="380">
        <f t="shared" si="14"/>
        <v>99.999932947092361</v>
      </c>
      <c r="N95" s="375">
        <f>'Berekening trap 2'!H95*$L95</f>
        <v>1.1168809523465572E-5</v>
      </c>
      <c r="O95" s="376">
        <f>'Berekening trap 2'!I95*$L95</f>
        <v>1.1168809523465572E-5</v>
      </c>
      <c r="Q95" s="396">
        <f t="shared" si="5"/>
        <v>63.742464007743841</v>
      </c>
      <c r="R95" s="6">
        <f t="shared" si="10"/>
        <v>1.5170730730906712</v>
      </c>
      <c r="S95" s="380">
        <f>1/100*'Berekening trap 1'!T95*INVOER!$W$19*1000</f>
        <v>2.2903742777045339E-7</v>
      </c>
      <c r="T95" s="380">
        <f t="shared" si="6"/>
        <v>2.4799773018786171E-7</v>
      </c>
      <c r="U95" s="44">
        <f t="shared" si="16"/>
        <v>99.999999142238948</v>
      </c>
      <c r="V95" s="380">
        <f t="shared" si="7"/>
        <v>1.7925961107352296E-5</v>
      </c>
      <c r="W95" s="44">
        <f t="shared" si="21"/>
        <v>99.999932947092361</v>
      </c>
      <c r="X95" s="145">
        <f>IF(AND(INVOER!$T$36=1,INVOER!E38=1),1/100*N95*INVOER!$W$20*1000,1/100*O95*INVOER!$W$20*1000)</f>
        <v>8.3043327809609847E-8</v>
      </c>
      <c r="Y95" s="6">
        <f t="shared" si="8"/>
        <v>3.6062461746863962E-4</v>
      </c>
      <c r="Z95" s="44">
        <f t="shared" si="18"/>
        <v>99.998546543171074</v>
      </c>
      <c r="AA95" s="6"/>
      <c r="AB95" s="6"/>
      <c r="AC95" s="6"/>
      <c r="AD95" s="6"/>
      <c r="AE95" s="6"/>
      <c r="AF95" s="6"/>
    </row>
    <row r="96" spans="1:32" x14ac:dyDescent="0.2">
      <c r="A96" s="272">
        <f>'Berekening trap 1'!A96</f>
        <v>1.625582471025546</v>
      </c>
      <c r="B96" s="46">
        <f t="shared" si="19"/>
        <v>1.5888596111076094</v>
      </c>
      <c r="C96" s="182">
        <f t="shared" si="15"/>
        <v>1.2813281544134891</v>
      </c>
      <c r="D96" s="201">
        <f t="shared" si="22"/>
        <v>0.60560720891685849</v>
      </c>
      <c r="E96" s="167">
        <f t="shared" si="12"/>
        <v>0.46459008205968921</v>
      </c>
      <c r="F96" s="45">
        <f t="shared" si="4"/>
        <v>0.60560720891685849</v>
      </c>
      <c r="G96" s="183">
        <f t="shared" si="4"/>
        <v>0.46459008205968921</v>
      </c>
      <c r="H96" s="171">
        <f t="shared" si="20"/>
        <v>0.60560720891685849</v>
      </c>
      <c r="I96" s="235">
        <f t="shared" si="9"/>
        <v>0.60560720891685849</v>
      </c>
      <c r="J96" s="315">
        <f>IF(INVOER!$T$36=1,100-H96*100,100-I96*100)</f>
        <v>39.439279108314153</v>
      </c>
      <c r="K96" s="407">
        <f>IF(AND('Berekening trap 1'!$B$64=1,INVOER!$C$20=1),'Berekening trap 1'!U96,'Berekening trap 1'!V96)</f>
        <v>1.9632140170565275E-7</v>
      </c>
      <c r="L96" s="380">
        <f t="shared" si="13"/>
        <v>2.4404934475834592E-5</v>
      </c>
      <c r="M96" s="380">
        <f t="shared" si="14"/>
        <v>99.999908542157883</v>
      </c>
      <c r="N96" s="375">
        <f>'Berekening trap 2'!H96*$L96</f>
        <v>1.4779804251709003E-5</v>
      </c>
      <c r="O96" s="376">
        <f>'Berekening trap 2'!I96*$L96</f>
        <v>1.4779804251709003E-5</v>
      </c>
      <c r="Q96" s="396">
        <f t="shared" si="5"/>
        <v>65.892093679129076</v>
      </c>
      <c r="R96" s="6">
        <f t="shared" si="10"/>
        <v>1.5888596111076094</v>
      </c>
      <c r="S96" s="380">
        <f>1/100*'Berekening trap 1'!T96*INVOER!$W$19*1000</f>
        <v>3.2218957256165975E-7</v>
      </c>
      <c r="T96" s="380">
        <f t="shared" si="6"/>
        <v>3.4886124710398376E-7</v>
      </c>
      <c r="U96" s="44">
        <f t="shared" si="16"/>
        <v>99.999998793377699</v>
      </c>
      <c r="V96" s="380">
        <f t="shared" si="7"/>
        <v>2.4404934475834592E-5</v>
      </c>
      <c r="W96" s="44">
        <f t="shared" si="21"/>
        <v>99.999908542157883</v>
      </c>
      <c r="X96" s="145">
        <f>IF(AND(INVOER!$T$36=1,INVOER!E39=1),1/100*N96*INVOER!$W$20*1000,1/100*O96*INVOER!$W$20*1000)</f>
        <v>1.0989211758494535E-7</v>
      </c>
      <c r="Y96" s="6">
        <f t="shared" si="8"/>
        <v>4.7721838601828874E-4</v>
      </c>
      <c r="Z96" s="44">
        <f t="shared" si="18"/>
        <v>99.99806932478505</v>
      </c>
      <c r="AA96" s="6"/>
      <c r="AB96" s="6"/>
      <c r="AC96" s="6"/>
      <c r="AD96" s="6"/>
      <c r="AE96" s="6"/>
      <c r="AF96" s="6"/>
    </row>
    <row r="97" spans="1:32" x14ac:dyDescent="0.2">
      <c r="A97" s="271">
        <f>'Berekening trap 1'!A97</f>
        <v>1.702503576492276</v>
      </c>
      <c r="B97" s="6">
        <f t="shared" si="19"/>
        <v>1.664043023758911</v>
      </c>
      <c r="C97" s="168">
        <f t="shared" si="15"/>
        <v>1.3419594541844262</v>
      </c>
      <c r="D97" s="200">
        <f t="shared" si="22"/>
        <v>0.58821445755627755</v>
      </c>
      <c r="E97" s="197">
        <f t="shared" si="12"/>
        <v>0.45377156717166722</v>
      </c>
      <c r="F97" s="43">
        <f t="shared" si="4"/>
        <v>0.58821445755627755</v>
      </c>
      <c r="G97" s="155">
        <f t="shared" si="4"/>
        <v>0.45377156717166722</v>
      </c>
      <c r="H97" s="170">
        <f t="shared" si="20"/>
        <v>0.58821445755627755</v>
      </c>
      <c r="I97" s="179">
        <f t="shared" si="9"/>
        <v>0.58821445755627755</v>
      </c>
      <c r="J97" s="314">
        <f>IF(INVOER!$T$36=1,100-H97*100,100-I97*100)</f>
        <v>41.178554244372243</v>
      </c>
      <c r="K97" s="406">
        <f>IF(AND('Berekening trap 1'!$B$64=1,INVOER!$C$20=1),'Berekening trap 1'!U97,'Berekening trap 1'!V97)</f>
        <v>2.6705076205477504E-7</v>
      </c>
      <c r="L97" s="381">
        <f t="shared" si="13"/>
        <v>3.319738089197243E-5</v>
      </c>
      <c r="M97" s="381">
        <f t="shared" si="14"/>
        <v>99.999875344776996</v>
      </c>
      <c r="N97" s="372">
        <f>'Berekening trap 2'!H97*$L97</f>
        <v>1.9527179393660698E-5</v>
      </c>
      <c r="O97" s="373">
        <f>'Berekening trap 2'!I97*$L97</f>
        <v>1.9527179393660698E-5</v>
      </c>
      <c r="Q97" s="396">
        <f t="shared" si="5"/>
        <v>67.965283990399286</v>
      </c>
      <c r="R97" s="6">
        <f t="shared" si="10"/>
        <v>1.664043023758911</v>
      </c>
      <c r="S97" s="380">
        <f>1/100*'Berekening trap 1'!T97*INVOER!$W$19*1000</f>
        <v>4.532277552590807E-7</v>
      </c>
      <c r="T97" s="380">
        <f t="shared" si="6"/>
        <v>4.9074710477032183E-7</v>
      </c>
      <c r="U97" s="44">
        <f t="shared" si="16"/>
        <v>99.999998302630601</v>
      </c>
      <c r="V97" s="380">
        <f t="shared" si="7"/>
        <v>3.319738089197243E-5</v>
      </c>
      <c r="W97" s="44">
        <f t="shared" si="21"/>
        <v>99.999875344776996</v>
      </c>
      <c r="X97" s="145">
        <f>IF(AND(INVOER!$T$36=1,INVOER!E40=1),1/100*N97*INVOER!$W$20*1000,1/100*O97*INVOER!$W$20*1000)</f>
        <v>1.4519022427393467E-7</v>
      </c>
      <c r="Y97" s="6">
        <f t="shared" si="8"/>
        <v>6.3050422556542392E-4</v>
      </c>
      <c r="Z97" s="44">
        <f t="shared" si="18"/>
        <v>99.997438820559481</v>
      </c>
      <c r="AA97" s="6"/>
      <c r="AB97" s="6"/>
      <c r="AC97" s="6"/>
      <c r="AD97" s="6"/>
      <c r="AE97" s="6"/>
      <c r="AF97" s="6"/>
    </row>
    <row r="98" spans="1:32" x14ac:dyDescent="0.2">
      <c r="A98" s="271">
        <f>'Berekening trap 1'!A98</f>
        <v>1.7830645197228145</v>
      </c>
      <c r="B98" s="6">
        <f t="shared" si="19"/>
        <v>1.7427840481075454</v>
      </c>
      <c r="C98" s="168">
        <f t="shared" si="15"/>
        <v>1.4054597727147271</v>
      </c>
      <c r="D98" s="200">
        <f t="shared" si="22"/>
        <v>0.57087633574922003</v>
      </c>
      <c r="E98" s="197">
        <f t="shared" si="12"/>
        <v>0.44284710968630425</v>
      </c>
      <c r="F98" s="43">
        <f t="shared" ref="F98:G138" si="23">D98^($B$54*$B$63)</f>
        <v>0.57087633574922003</v>
      </c>
      <c r="G98" s="155">
        <f t="shared" si="23"/>
        <v>0.44284710968630425</v>
      </c>
      <c r="H98" s="170">
        <f t="shared" si="20"/>
        <v>0.57087633574922003</v>
      </c>
      <c r="I98" s="179">
        <f t="shared" si="9"/>
        <v>0.57087633574922003</v>
      </c>
      <c r="J98" s="314">
        <f>IF(INVOER!$T$36=1,100-H98*100,100-I98*100)</f>
        <v>42.912366425077998</v>
      </c>
      <c r="K98" s="406">
        <f>IF(AND('Berekening trap 1'!$B$64=1,INVOER!$C$20=1),'Berekening trap 1'!U98,'Berekening trap 1'!V98)</f>
        <v>3.6293765116960569E-7</v>
      </c>
      <c r="L98" s="380">
        <f t="shared" si="13"/>
        <v>4.5117188032752842E-5</v>
      </c>
      <c r="M98" s="380">
        <f t="shared" si="14"/>
        <v>99.999830227588959</v>
      </c>
      <c r="N98" s="375">
        <f>'Berekening trap 2'!H98*$L98</f>
        <v>2.5756334983446505E-5</v>
      </c>
      <c r="O98" s="376">
        <f>'Berekening trap 2'!I98*$L98</f>
        <v>2.5756334983446505E-5</v>
      </c>
      <c r="Q98" s="396">
        <f t="shared" si="5"/>
        <v>69.962733350635062</v>
      </c>
      <c r="R98" s="6">
        <f t="shared" si="10"/>
        <v>1.7427840481075454</v>
      </c>
      <c r="S98" s="380">
        <f>1/100*'Berekening trap 1'!T98*INVOER!$W$19*1000</f>
        <v>6.375606649701228E-7</v>
      </c>
      <c r="T98" s="380">
        <f t="shared" si="6"/>
        <v>6.9033956287755422E-7</v>
      </c>
      <c r="U98" s="44">
        <f t="shared" si="16"/>
        <v>99.99999761229104</v>
      </c>
      <c r="V98" s="380">
        <f t="shared" si="7"/>
        <v>4.5117188032752842E-5</v>
      </c>
      <c r="W98" s="44">
        <f t="shared" si="21"/>
        <v>99.999830227588959</v>
      </c>
      <c r="X98" s="145">
        <f>IF(AND(INVOER!$T$36=1,INVOER!E41=1),1/100*N98*INVOER!$W$20*1000,1/100*O98*INVOER!$W$20*1000)</f>
        <v>1.9150579698853999E-7</v>
      </c>
      <c r="Y98" s="6">
        <f t="shared" si="8"/>
        <v>8.31634600920067E-4</v>
      </c>
      <c r="Z98" s="44">
        <f t="shared" si="18"/>
        <v>99.996607185958567</v>
      </c>
      <c r="AA98" s="6"/>
      <c r="AB98" s="6"/>
      <c r="AC98" s="6"/>
      <c r="AD98" s="6"/>
      <c r="AE98" s="6"/>
      <c r="AF98" s="6"/>
    </row>
    <row r="99" spans="1:32" x14ac:dyDescent="0.2">
      <c r="A99" s="271">
        <f>'Berekening trap 1'!A99</f>
        <v>1.8674375345776404</v>
      </c>
      <c r="B99" s="6">
        <f t="shared" si="19"/>
        <v>1.8252510271502276</v>
      </c>
      <c r="C99" s="168">
        <f t="shared" si="15"/>
        <v>1.4719648694004905</v>
      </c>
      <c r="D99" s="200">
        <f t="shared" si="22"/>
        <v>0.55359691633739261</v>
      </c>
      <c r="E99" s="197">
        <f t="shared" si="12"/>
        <v>0.43182518318500068</v>
      </c>
      <c r="F99" s="43">
        <f t="shared" si="23"/>
        <v>0.55359691633739261</v>
      </c>
      <c r="G99" s="155">
        <f t="shared" si="23"/>
        <v>0.43182518318500068</v>
      </c>
      <c r="H99" s="170">
        <f t="shared" si="20"/>
        <v>0.55359691633739261</v>
      </c>
      <c r="I99" s="179">
        <f t="shared" si="9"/>
        <v>0.55359691633739261</v>
      </c>
      <c r="J99" s="314">
        <f>IF(INVOER!$T$36=1,100-H99*100,100-I99*100)</f>
        <v>44.64030836626074</v>
      </c>
      <c r="K99" s="406">
        <f>IF(AND('Berekening trap 1'!$B$64=1,INVOER!$C$20=1),'Berekening trap 1'!U99,'Berekening trap 1'!V99)</f>
        <v>4.927915709251732E-7</v>
      </c>
      <c r="L99" s="380">
        <f t="shared" si="13"/>
        <v>6.1259474994499101E-5</v>
      </c>
      <c r="M99" s="380">
        <f t="shared" si="14"/>
        <v>99.999768968113969</v>
      </c>
      <c r="N99" s="375">
        <f>'Berekening trap 2'!H99*$L99</f>
        <v>3.3913056453402315E-5</v>
      </c>
      <c r="O99" s="376">
        <f>'Berekening trap 2'!I99*$L99</f>
        <v>3.3913056453402315E-5</v>
      </c>
      <c r="Q99" s="396">
        <f t="shared" si="5"/>
        <v>71.884989088938653</v>
      </c>
      <c r="R99" s="6">
        <f t="shared" si="10"/>
        <v>1.8252510271502276</v>
      </c>
      <c r="S99" s="380">
        <f>1/100*'Berekening trap 1'!T99*INVOER!$W$19*1000</f>
        <v>8.9686388561750725E-7</v>
      </c>
      <c r="T99" s="380">
        <f t="shared" si="6"/>
        <v>9.7110856546783467E-7</v>
      </c>
      <c r="U99" s="44">
        <f t="shared" si="16"/>
        <v>99.999996641182477</v>
      </c>
      <c r="V99" s="380">
        <f t="shared" si="7"/>
        <v>6.1259474994499101E-5</v>
      </c>
      <c r="W99" s="44">
        <f t="shared" si="21"/>
        <v>99.999768968113969</v>
      </c>
      <c r="X99" s="145">
        <f>IF(AND(INVOER!$T$36=1,INVOER!E42=1),1/100*N99*INVOER!$W$20*1000,1/100*O99*INVOER!$W$20*1000)</f>
        <v>2.5215337929873096E-7</v>
      </c>
      <c r="Y99" s="6">
        <f t="shared" si="8"/>
        <v>1.0950032754167497E-3</v>
      </c>
      <c r="Z99" s="44">
        <f t="shared" si="18"/>
        <v>99.995512182683143</v>
      </c>
      <c r="AA99" s="6"/>
      <c r="AB99" s="6"/>
      <c r="AC99" s="6"/>
      <c r="AD99" s="6"/>
      <c r="AE99" s="6"/>
      <c r="AF99" s="6"/>
    </row>
    <row r="100" spans="1:32" x14ac:dyDescent="0.2">
      <c r="A100" s="271">
        <f>'Berekening trap 1'!A100</f>
        <v>1.9558030048691317</v>
      </c>
      <c r="B100" s="6">
        <f t="shared" si="19"/>
        <v>1.9116202697233859</v>
      </c>
      <c r="C100" s="168">
        <f t="shared" si="15"/>
        <v>1.5416169276507525</v>
      </c>
      <c r="D100" s="200">
        <f t="shared" si="22"/>
        <v>0.53638179303065536</v>
      </c>
      <c r="E100" s="197">
        <f t="shared" si="12"/>
        <v>0.420714788553742</v>
      </c>
      <c r="F100" s="43">
        <f t="shared" si="23"/>
        <v>0.53638179303065536</v>
      </c>
      <c r="G100" s="155">
        <f t="shared" si="23"/>
        <v>0.420714788553742</v>
      </c>
      <c r="H100" s="170">
        <f t="shared" si="20"/>
        <v>0.53638179303065536</v>
      </c>
      <c r="I100" s="179">
        <f t="shared" si="9"/>
        <v>0.53638179303065536</v>
      </c>
      <c r="J100" s="314">
        <f>IF(INVOER!$T$36=1,100-H100*100,100-I100*100)</f>
        <v>46.361820696934466</v>
      </c>
      <c r="K100" s="406">
        <f>IF(AND('Berekening trap 1'!$B$64=1,INVOER!$C$20=1),'Berekening trap 1'!U100,'Berekening trap 1'!V100)</f>
        <v>6.684492522830932E-7</v>
      </c>
      <c r="L100" s="380">
        <f t="shared" si="13"/>
        <v>8.3095679129514875E-5</v>
      </c>
      <c r="M100" s="380">
        <f t="shared" si="14"/>
        <v>99.999685872434839</v>
      </c>
      <c r="N100" s="375">
        <f>'Berekening trap 2'!H100*$L100</f>
        <v>4.4571009364589193E-5</v>
      </c>
      <c r="O100" s="376">
        <f>'Berekening trap 2'!I100*$L100</f>
        <v>4.4571009364589193E-5</v>
      </c>
      <c r="Q100" s="396">
        <f t="shared" si="5"/>
        <v>73.732497851044087</v>
      </c>
      <c r="R100" s="6">
        <f t="shared" si="10"/>
        <v>1.9116202697233859</v>
      </c>
      <c r="S100" s="380">
        <f>1/100*'Berekening trap 1'!T100*INVOER!$W$19*1000</f>
        <v>1.2616286795126782E-6</v>
      </c>
      <c r="T100" s="380">
        <f t="shared" si="6"/>
        <v>1.366069519312931E-6</v>
      </c>
      <c r="U100" s="44">
        <f t="shared" si="16"/>
        <v>99.999995275112951</v>
      </c>
      <c r="V100" s="380">
        <f t="shared" si="7"/>
        <v>8.3095679129514875E-5</v>
      </c>
      <c r="W100" s="44">
        <f t="shared" si="21"/>
        <v>99.999685872434839</v>
      </c>
      <c r="X100" s="145">
        <f>IF(AND(INVOER!$T$36=1,INVOER!E43=1),1/100*N100*INVOER!$W$20*1000,1/100*O100*INVOER!$W$20*1000)</f>
        <v>3.3139834050283685E-7</v>
      </c>
      <c r="Y100" s="6">
        <f t="shared" si="8"/>
        <v>1.4391330757791197E-3</v>
      </c>
      <c r="Z100" s="44">
        <f t="shared" si="18"/>
        <v>99.994073049607366</v>
      </c>
      <c r="AA100" s="6"/>
      <c r="AB100" s="6"/>
      <c r="AC100" s="6"/>
      <c r="AD100" s="6"/>
      <c r="AE100" s="6"/>
      <c r="AF100" s="6"/>
    </row>
    <row r="101" spans="1:32" x14ac:dyDescent="0.2">
      <c r="A101" s="271">
        <f>'Berekening trap 1'!A101</f>
        <v>2.0483498500099846</v>
      </c>
      <c r="B101" s="46">
        <f t="shared" si="19"/>
        <v>2.0020764274395582</v>
      </c>
      <c r="C101" s="182">
        <f t="shared" si="15"/>
        <v>1.6145648588660224</v>
      </c>
      <c r="D101" s="201">
        <f t="shared" si="22"/>
        <v>0.51923794205501017</v>
      </c>
      <c r="E101" s="167">
        <f t="shared" si="12"/>
        <v>0.40952545213883379</v>
      </c>
      <c r="F101" s="45">
        <f t="shared" si="23"/>
        <v>0.51923794205501017</v>
      </c>
      <c r="G101" s="183">
        <f t="shared" si="23"/>
        <v>0.40952545213883379</v>
      </c>
      <c r="H101" s="171">
        <f t="shared" si="20"/>
        <v>0.51923794205501017</v>
      </c>
      <c r="I101" s="235">
        <f t="shared" si="9"/>
        <v>0.51923794205501017</v>
      </c>
      <c r="J101" s="314">
        <f>IF(INVOER!$T$36=1,100-H101*100,100-I101*100)</f>
        <v>48.076205794498982</v>
      </c>
      <c r="K101" s="406">
        <f>IF(AND('Berekening trap 1'!$B$64=1,INVOER!$C$20=1),'Berekening trap 1'!U101,'Berekening trap 1'!V101)</f>
        <v>9.0579147925037868E-7</v>
      </c>
      <c r="L101" s="377">
        <f t="shared" si="13"/>
        <v>1.1259995857720223E-4</v>
      </c>
      <c r="M101" s="377">
        <f t="shared" si="14"/>
        <v>99.999573272476255</v>
      </c>
      <c r="N101" s="378">
        <f>'Berekening trap 2'!H101*$L101</f>
        <v>5.8466170767105879E-5</v>
      </c>
      <c r="O101" s="379">
        <f>'Berekening trap 2'!I101*$L101</f>
        <v>5.8466170767105879E-5</v>
      </c>
      <c r="Q101" s="396">
        <f t="shared" si="5"/>
        <v>75.505648638025789</v>
      </c>
      <c r="R101" s="6">
        <f t="shared" si="10"/>
        <v>2.0020764274395582</v>
      </c>
      <c r="S101" s="380">
        <f>1/100*'Berekening trap 1'!T101*INVOER!$W$19*1000</f>
        <v>1.7747474767621153E-6</v>
      </c>
      <c r="T101" s="380">
        <f t="shared" si="6"/>
        <v>1.9216655992781724E-6</v>
      </c>
      <c r="U101" s="44">
        <f t="shared" si="16"/>
        <v>99.999993353447351</v>
      </c>
      <c r="V101" s="380">
        <f t="shared" si="7"/>
        <v>1.1259995857720223E-4</v>
      </c>
      <c r="W101" s="44">
        <f t="shared" si="21"/>
        <v>99.999573272476255</v>
      </c>
      <c r="X101" s="145">
        <f>IF(AND(INVOER!$T$36=1,INVOER!E44=1),1/100*N101*INVOER!$W$20*1000,1/100*O101*INVOER!$W$20*1000)</f>
        <v>4.3471288274588401E-7</v>
      </c>
      <c r="Y101" s="6">
        <f t="shared" si="8"/>
        <v>1.8877876306732336E-3</v>
      </c>
      <c r="Z101" s="44">
        <f t="shared" si="18"/>
        <v>99.992185261976687</v>
      </c>
      <c r="AA101" s="6"/>
      <c r="AB101" s="6"/>
      <c r="AC101" s="6"/>
      <c r="AD101" s="6"/>
      <c r="AE101" s="6"/>
      <c r="AF101" s="6"/>
    </row>
    <row r="102" spans="1:32" x14ac:dyDescent="0.2">
      <c r="A102" s="270">
        <f>'Berekening trap 1'!A102</f>
        <v>2.145275928910169</v>
      </c>
      <c r="B102" s="6">
        <f t="shared" si="19"/>
        <v>2.096812889460077</v>
      </c>
      <c r="C102" s="168">
        <f t="shared" si="15"/>
        <v>1.6909646208008067</v>
      </c>
      <c r="D102" s="200">
        <f t="shared" si="22"/>
        <v>0.50217360210901518</v>
      </c>
      <c r="E102" s="197">
        <f t="shared" si="12"/>
        <v>0.39826722118060426</v>
      </c>
      <c r="F102" s="43">
        <f t="shared" si="23"/>
        <v>0.50217360210901518</v>
      </c>
      <c r="G102" s="155">
        <f t="shared" si="23"/>
        <v>0.39826722118060426</v>
      </c>
      <c r="H102" s="170">
        <f t="shared" si="20"/>
        <v>0.50217360210901518</v>
      </c>
      <c r="I102" s="179">
        <f t="shared" si="9"/>
        <v>0.50217360210901518</v>
      </c>
      <c r="J102" s="313">
        <f>IF(INVOER!$T$36=1,100-H102*100,100-I102*100)</f>
        <v>49.782639789098482</v>
      </c>
      <c r="K102" s="405">
        <f>IF(AND('Berekening trap 1'!$B$64=1,INVOER!$C$20=1),'Berekening trap 1'!U102,'Berekening trap 1'!V102)</f>
        <v>1.2260920069506486E-6</v>
      </c>
      <c r="L102" s="380">
        <f t="shared" si="13"/>
        <v>1.5241687778818223E-4</v>
      </c>
      <c r="M102" s="380">
        <f t="shared" si="14"/>
        <v>99.999420855598473</v>
      </c>
      <c r="N102" s="375">
        <f>'Berekening trap 2'!H102*$L102</f>
        <v>7.6539732541101014E-5</v>
      </c>
      <c r="O102" s="376">
        <f>'Berekening trap 2'!I102*$L102</f>
        <v>7.6539732541101014E-5</v>
      </c>
      <c r="Q102" s="396">
        <f t="shared" si="5"/>
        <v>77.204809871388107</v>
      </c>
      <c r="R102" s="6">
        <f t="shared" si="10"/>
        <v>2.096812889460077</v>
      </c>
      <c r="S102" s="380">
        <f>1/100*'Berekening trap 1'!T102*INVOER!$W$19*1000</f>
        <v>2.4965575481182273E-6</v>
      </c>
      <c r="T102" s="380">
        <f t="shared" si="6"/>
        <v>2.703228949275534E-6</v>
      </c>
      <c r="U102" s="44">
        <f t="shared" si="16"/>
        <v>99.999990650218407</v>
      </c>
      <c r="V102" s="380">
        <f t="shared" si="7"/>
        <v>1.5241687778818223E-4</v>
      </c>
      <c r="W102" s="44">
        <f t="shared" si="21"/>
        <v>99.999420855598473</v>
      </c>
      <c r="X102" s="145">
        <f>IF(AND(INVOER!$T$36=1,INVOER!E45=1),1/100*N102*INVOER!$W$20*1000,1/100*O102*INVOER!$W$20*1000)</f>
        <v>5.6909503976376112E-7</v>
      </c>
      <c r="Y102" s="6">
        <f t="shared" si="8"/>
        <v>2.4713566571974164E-3</v>
      </c>
      <c r="Z102" s="44">
        <f t="shared" si="18"/>
        <v>99.989713905319491</v>
      </c>
      <c r="AA102" s="6"/>
      <c r="AB102" s="6"/>
      <c r="AC102" s="6"/>
      <c r="AD102" s="6"/>
      <c r="AE102" s="6"/>
      <c r="AF102" s="6"/>
    </row>
    <row r="103" spans="1:32" x14ac:dyDescent="0.2">
      <c r="A103" s="271">
        <f>'Berekening trap 1'!A103</f>
        <v>2.2467884629859274</v>
      </c>
      <c r="B103" s="6">
        <f t="shared" si="19"/>
        <v>2.1960321959480482</v>
      </c>
      <c r="C103" s="168">
        <f t="shared" si="15"/>
        <v>1.7709795509907642</v>
      </c>
      <c r="D103" s="200">
        <f t="shared" si="22"/>
        <v>0.48519816766290752</v>
      </c>
      <c r="E103" s="197">
        <f t="shared" si="12"/>
        <v>0.38695065631348541</v>
      </c>
      <c r="F103" s="43">
        <f t="shared" si="23"/>
        <v>0.48519816766290752</v>
      </c>
      <c r="G103" s="155">
        <f t="shared" si="23"/>
        <v>0.38695065631348541</v>
      </c>
      <c r="H103" s="170">
        <f t="shared" si="20"/>
        <v>0.48519816766290752</v>
      </c>
      <c r="I103" s="179">
        <f t="shared" si="9"/>
        <v>0.48519816766290752</v>
      </c>
      <c r="J103" s="314">
        <f>IF(INVOER!$T$36=1,100-H103*100,100-I103*100)</f>
        <v>51.480183233709248</v>
      </c>
      <c r="K103" s="406">
        <f>IF(AND('Berekening trap 1'!$B$64=1,INVOER!$C$20=1),'Berekening trap 1'!U103,'Berekening trap 1'!V103)</f>
        <v>1.6578033729774432E-6</v>
      </c>
      <c r="L103" s="380">
        <f t="shared" si="13"/>
        <v>2.060834037441937E-4</v>
      </c>
      <c r="M103" s="380">
        <f t="shared" si="14"/>
        <v>99.999214772194733</v>
      </c>
      <c r="N103" s="375">
        <f>'Berekening trap 2'!H103*$L103</f>
        <v>9.9991289882417954E-5</v>
      </c>
      <c r="O103" s="376">
        <f>'Berekening trap 2'!I103*$L103</f>
        <v>9.9991289882417954E-5</v>
      </c>
      <c r="Q103" s="396">
        <f t="shared" si="5"/>
        <v>78.830361487508895</v>
      </c>
      <c r="R103" s="6">
        <f t="shared" si="10"/>
        <v>2.1960321959480482</v>
      </c>
      <c r="S103" s="380">
        <f>1/100*'Berekening trap 1'!T103*INVOER!$W$19*1000</f>
        <v>3.5119359653334435E-6</v>
      </c>
      <c r="T103" s="380">
        <f t="shared" si="6"/>
        <v>3.80266298153112E-6</v>
      </c>
      <c r="U103" s="44">
        <f t="shared" si="16"/>
        <v>99.999986847555419</v>
      </c>
      <c r="V103" s="380">
        <f t="shared" si="7"/>
        <v>2.060834037441937E-4</v>
      </c>
      <c r="W103" s="44">
        <f t="shared" si="21"/>
        <v>99.999214772194733</v>
      </c>
      <c r="X103" s="145">
        <f>IF(AND(INVOER!$T$36=1,INVOER!E46=1),1/100*N103*INVOER!$W$20*1000,1/100*O103*INVOER!$W$20*1000)</f>
        <v>7.4346414865125475E-7</v>
      </c>
      <c r="Y103" s="6">
        <f t="shared" si="8"/>
        <v>3.2285733397353143E-3</v>
      </c>
      <c r="Z103" s="44">
        <f t="shared" si="18"/>
        <v>99.98648533197975</v>
      </c>
      <c r="AA103" s="6"/>
      <c r="AB103" s="6"/>
      <c r="AC103" s="6"/>
      <c r="AD103" s="6"/>
      <c r="AE103" s="6"/>
      <c r="AF103" s="6"/>
    </row>
    <row r="104" spans="1:32" x14ac:dyDescent="0.2">
      <c r="A104" s="271">
        <f>'Berekening trap 1'!A104</f>
        <v>2.3531044791851801</v>
      </c>
      <c r="B104" s="6">
        <f t="shared" si="19"/>
        <v>2.2999464710855539</v>
      </c>
      <c r="C104" s="168">
        <f t="shared" si="15"/>
        <v>1.8547807159573384</v>
      </c>
      <c r="D104" s="200">
        <f t="shared" si="22"/>
        <v>0.46832209176091405</v>
      </c>
      <c r="E104" s="197">
        <f t="shared" si="12"/>
        <v>0.37558682092436868</v>
      </c>
      <c r="F104" s="43">
        <f t="shared" si="23"/>
        <v>0.46832209176091405</v>
      </c>
      <c r="G104" s="155">
        <f t="shared" si="23"/>
        <v>0.37558682092436868</v>
      </c>
      <c r="H104" s="170">
        <f t="shared" si="20"/>
        <v>0.46832209176091405</v>
      </c>
      <c r="I104" s="179">
        <f t="shared" si="9"/>
        <v>0.46832209176091405</v>
      </c>
      <c r="J104" s="314">
        <f>IF(INVOER!$T$36=1,100-H104*100,100-I104*100)</f>
        <v>53.167790823908597</v>
      </c>
      <c r="K104" s="406">
        <f>IF(AND('Berekening trap 1'!$B$64=1,INVOER!$C$20=1),'Berekening trap 1'!U104,'Berekening trap 1'!V104)</f>
        <v>2.2389160808711833E-6</v>
      </c>
      <c r="L104" s="380">
        <f t="shared" si="13"/>
        <v>2.7832217871221691E-4</v>
      </c>
      <c r="M104" s="380">
        <f t="shared" si="14"/>
        <v>99.998936450016018</v>
      </c>
      <c r="N104" s="375">
        <f>'Berekening trap 2'!H104*$L104</f>
        <v>1.3034442491796037E-4</v>
      </c>
      <c r="O104" s="376">
        <f>'Berekening trap 2'!I104*$L104</f>
        <v>1.3034442491796037E-4</v>
      </c>
      <c r="Q104" s="396">
        <f t="shared" si="5"/>
        <v>80.382722787679825</v>
      </c>
      <c r="R104" s="6">
        <f t="shared" si="10"/>
        <v>2.2999464710855539</v>
      </c>
      <c r="S104" s="380">
        <f>1/100*'Berekening trap 1'!T104*INVOER!$W$19*1000</f>
        <v>4.9402803075772985E-6</v>
      </c>
      <c r="T104" s="380">
        <f t="shared" si="6"/>
        <v>5.3492493113346672E-6</v>
      </c>
      <c r="U104" s="44">
        <f t="shared" si="16"/>
        <v>99.999981498306113</v>
      </c>
      <c r="V104" s="380">
        <f t="shared" si="7"/>
        <v>2.7832217871221691E-4</v>
      </c>
      <c r="W104" s="44">
        <f t="shared" si="21"/>
        <v>99.998936450016018</v>
      </c>
      <c r="X104" s="145">
        <f>IF(AND(INVOER!$T$36=1,INVOER!E47=1),1/100*N104*INVOER!$W$20*1000,1/100*O104*INVOER!$W$20*1000)</f>
        <v>9.6914848300310223E-7</v>
      </c>
      <c r="Y104" s="6">
        <f t="shared" si="8"/>
        <v>4.2086319295222396E-3</v>
      </c>
      <c r="Z104" s="44">
        <f t="shared" si="18"/>
        <v>99.982276700050235</v>
      </c>
      <c r="AA104" s="6"/>
      <c r="AB104" s="6"/>
      <c r="AC104" s="6"/>
      <c r="AD104" s="6"/>
      <c r="AE104" s="6"/>
      <c r="AF104" s="6"/>
    </row>
    <row r="105" spans="1:32" x14ac:dyDescent="0.2">
      <c r="A105" s="271">
        <f>'Berekening trap 1'!A105</f>
        <v>2.4644512739764939</v>
      </c>
      <c r="B105" s="6">
        <f t="shared" si="19"/>
        <v>2.408777876580837</v>
      </c>
      <c r="C105" s="168">
        <f t="shared" si="15"/>
        <v>1.9425472769364331</v>
      </c>
      <c r="D105" s="200">
        <f t="shared" si="22"/>
        <v>0.45155679532322296</v>
      </c>
      <c r="E105" s="197">
        <f t="shared" si="12"/>
        <v>0.3641872671673464</v>
      </c>
      <c r="F105" s="43">
        <f t="shared" si="23"/>
        <v>0.45155679532322296</v>
      </c>
      <c r="G105" s="155">
        <f t="shared" si="23"/>
        <v>0.3641872671673464</v>
      </c>
      <c r="H105" s="170">
        <f t="shared" si="20"/>
        <v>0.45155679532322296</v>
      </c>
      <c r="I105" s="179">
        <f t="shared" si="9"/>
        <v>0.45155679532322296</v>
      </c>
      <c r="J105" s="314">
        <f>IF(INVOER!$T$36=1,100-H105*100,100-I105*100)</f>
        <v>54.844320467677704</v>
      </c>
      <c r="K105" s="406">
        <f>IF(AND('Berekening trap 1'!$B$64=1,INVOER!$C$20=1),'Berekening trap 1'!U105,'Berekening trap 1'!V105)</f>
        <v>3.0200680230123144E-6</v>
      </c>
      <c r="L105" s="380">
        <f t="shared" si="13"/>
        <v>3.7542805610508561E-4</v>
      </c>
      <c r="M105" s="380">
        <f t="shared" si="14"/>
        <v>99.998561021959915</v>
      </c>
      <c r="N105" s="375">
        <f>'Berekening trap 2'!H105*$L105</f>
        <v>1.695270898892396E-4</v>
      </c>
      <c r="O105" s="376">
        <f>'Berekening trap 2'!I105*$L105</f>
        <v>1.695270898892396E-4</v>
      </c>
      <c r="Q105" s="396">
        <f t="shared" si="5"/>
        <v>81.862376567235245</v>
      </c>
      <c r="R105" s="6">
        <f t="shared" si="10"/>
        <v>2.408777876580837</v>
      </c>
      <c r="S105" s="380">
        <f>1/100*'Berekening trap 1'!T105*INVOER!$W$19*1000</f>
        <v>6.9495484333750119E-6</v>
      </c>
      <c r="T105" s="380">
        <f t="shared" si="6"/>
        <v>7.5248497771068091E-6</v>
      </c>
      <c r="U105" s="44">
        <f t="shared" si="16"/>
        <v>99.999973973456335</v>
      </c>
      <c r="V105" s="380">
        <f t="shared" si="7"/>
        <v>3.7542805610508561E-4</v>
      </c>
      <c r="W105" s="44">
        <f t="shared" si="21"/>
        <v>99.998561021959915</v>
      </c>
      <c r="X105" s="145">
        <f>IF(AND(INVOER!$T$36=1,INVOER!E48=1),1/100*N105*INVOER!$W$20*1000,1/100*O105*INVOER!$W$20*1000)</f>
        <v>1.2604829251231624E-6</v>
      </c>
      <c r="Y105" s="6">
        <f t="shared" si="8"/>
        <v>5.4737832007460824E-3</v>
      </c>
      <c r="Z105" s="44">
        <f t="shared" si="18"/>
        <v>99.976802916849493</v>
      </c>
      <c r="AA105" s="6"/>
      <c r="AB105" s="6"/>
      <c r="AC105" s="6"/>
      <c r="AD105" s="6"/>
      <c r="AE105" s="6"/>
      <c r="AF105" s="6"/>
    </row>
    <row r="106" spans="1:32" x14ac:dyDescent="0.2">
      <c r="A106" s="272">
        <f>'Berekening trap 1'!A106</f>
        <v>2.5810668992935955</v>
      </c>
      <c r="B106" s="46">
        <f t="shared" si="19"/>
        <v>2.5227590866350447</v>
      </c>
      <c r="C106" s="182">
        <f t="shared" si="15"/>
        <v>2.0344668729130491</v>
      </c>
      <c r="D106" s="201">
        <f t="shared" si="22"/>
        <v>0.43491458057596788</v>
      </c>
      <c r="E106" s="167">
        <f t="shared" si="12"/>
        <v>0.35276401844216709</v>
      </c>
      <c r="F106" s="45">
        <f t="shared" si="23"/>
        <v>0.43491458057596788</v>
      </c>
      <c r="G106" s="183">
        <f t="shared" si="23"/>
        <v>0.35276401844216709</v>
      </c>
      <c r="H106" s="171">
        <f t="shared" si="20"/>
        <v>0.43491458057596788</v>
      </c>
      <c r="I106" s="235">
        <f t="shared" si="9"/>
        <v>0.43491458057596788</v>
      </c>
      <c r="J106" s="315">
        <f>IF(INVOER!$T$36=1,100-H106*100,100-I106*100)</f>
        <v>56.508541942403212</v>
      </c>
      <c r="K106" s="407">
        <f>IF(AND('Berekening trap 1'!$B$64=1,INVOER!$C$20=1),'Berekening trap 1'!U106,'Berekening trap 1'!V106)</f>
        <v>4.0686332170243793E-6</v>
      </c>
      <c r="L106" s="380">
        <f t="shared" si="13"/>
        <v>5.0577637590708507E-4</v>
      </c>
      <c r="M106" s="380">
        <f t="shared" si="14"/>
        <v>99.998055245584013</v>
      </c>
      <c r="N106" s="375">
        <f>'Berekening trap 2'!H106*$L106</f>
        <v>2.1996952039286298E-4</v>
      </c>
      <c r="O106" s="376">
        <f>'Berekening trap 2'!I106*$L106</f>
        <v>2.1996952039286298E-4</v>
      </c>
      <c r="Q106" s="396">
        <f t="shared" si="5"/>
        <v>83.269889897937446</v>
      </c>
      <c r="R106" s="6">
        <f t="shared" si="10"/>
        <v>2.5227590866350447</v>
      </c>
      <c r="S106" s="380">
        <f>1/100*'Berekening trap 1'!T106*INVOER!$W$19*1000</f>
        <v>9.7760084619730259E-6</v>
      </c>
      <c r="T106" s="380">
        <f t="shared" si="6"/>
        <v>1.0585291375593237E-5</v>
      </c>
      <c r="U106" s="44">
        <f t="shared" si="16"/>
        <v>99.999963388164957</v>
      </c>
      <c r="V106" s="380">
        <f t="shared" si="7"/>
        <v>5.0577637590708507E-4</v>
      </c>
      <c r="W106" s="44">
        <f t="shared" si="21"/>
        <v>99.998055245584013</v>
      </c>
      <c r="X106" s="145">
        <f>IF(AND(INVOER!$T$36=1,INVOER!E49=1),1/100*N106*INVOER!$W$20*1000,1/100*O106*INVOER!$W$20*1000)</f>
        <v>1.6355369792750395E-6</v>
      </c>
      <c r="Y106" s="6">
        <f t="shared" si="8"/>
        <v>7.1024959266940838E-3</v>
      </c>
      <c r="Z106" s="44">
        <f t="shared" si="18"/>
        <v>99.969700420922806</v>
      </c>
      <c r="AA106" s="6"/>
      <c r="AB106" s="6"/>
      <c r="AC106" s="6"/>
      <c r="AD106" s="6"/>
      <c r="AE106" s="6"/>
      <c r="AF106" s="6"/>
    </row>
    <row r="107" spans="1:32" x14ac:dyDescent="0.2">
      <c r="A107" s="271">
        <f>'Berekening trap 1'!A107</f>
        <v>2.7032006714743417</v>
      </c>
      <c r="B107" s="6">
        <f t="shared" si="19"/>
        <v>2.6421337853839688</v>
      </c>
      <c r="C107" s="168">
        <f t="shared" si="15"/>
        <v>2.1307360217807685</v>
      </c>
      <c r="D107" s="200">
        <f t="shared" si="22"/>
        <v>0.41840854672448696</v>
      </c>
      <c r="E107" s="197">
        <f t="shared" si="12"/>
        <v>0.34132954815626548</v>
      </c>
      <c r="F107" s="43">
        <f t="shared" si="23"/>
        <v>0.41840854672448696</v>
      </c>
      <c r="G107" s="155">
        <f t="shared" si="23"/>
        <v>0.34132954815626548</v>
      </c>
      <c r="H107" s="170">
        <f t="shared" si="20"/>
        <v>0.41840854672448696</v>
      </c>
      <c r="I107" s="179">
        <f t="shared" si="9"/>
        <v>0.41840854672448696</v>
      </c>
      <c r="J107" s="314">
        <f>IF(INVOER!$T$36=1,100-H107*100,100-I107*100)</f>
        <v>58.1591453275513</v>
      </c>
      <c r="K107" s="406">
        <f>IF(AND('Berekening trap 1'!$B$64=1,INVOER!$C$20=1),'Berekening trap 1'!U107,'Berekening trap 1'!V107)</f>
        <v>5.474084973901118E-6</v>
      </c>
      <c r="L107" s="381">
        <f t="shared" si="13"/>
        <v>6.8048966614199188E-4</v>
      </c>
      <c r="M107" s="381">
        <f t="shared" si="14"/>
        <v>99.997374755917875</v>
      </c>
      <c r="N107" s="372">
        <f>'Berekening trap 2'!H107*$L107</f>
        <v>2.8472269227150217E-4</v>
      </c>
      <c r="O107" s="373">
        <f>'Berekening trap 2'!I107*$L107</f>
        <v>2.8472269227150217E-4</v>
      </c>
      <c r="Q107" s="396">
        <f t="shared" si="5"/>
        <v>84.605931827869739</v>
      </c>
      <c r="R107" s="6">
        <f t="shared" si="10"/>
        <v>2.6421337853839688</v>
      </c>
      <c r="S107" s="380">
        <f>1/100*'Berekening trap 1'!T107*INVOER!$W$19*1000</f>
        <v>1.3752021293149986E-5</v>
      </c>
      <c r="T107" s="380">
        <f t="shared" si="6"/>
        <v>1.4890448689523317E-5</v>
      </c>
      <c r="U107" s="44">
        <f t="shared" si="16"/>
        <v>99.999948497716261</v>
      </c>
      <c r="V107" s="380">
        <f t="shared" si="7"/>
        <v>6.8048966614199188E-4</v>
      </c>
      <c r="W107" s="44">
        <f t="shared" si="21"/>
        <v>99.997374755917875</v>
      </c>
      <c r="X107" s="145">
        <f>IF(AND(INVOER!$T$36=1,INVOER!E50=1),1/100*N107*INVOER!$W$20*1000,1/100*O107*INVOER!$W$20*1000)</f>
        <v>2.116995532913379E-6</v>
      </c>
      <c r="Y107" s="6">
        <f t="shared" si="8"/>
        <v>9.1932816804983601E-3</v>
      </c>
      <c r="Z107" s="44">
        <f t="shared" si="18"/>
        <v>99.96050713924231</v>
      </c>
      <c r="AA107" s="6"/>
      <c r="AB107" s="6"/>
      <c r="AC107" s="6"/>
      <c r="AD107" s="6"/>
      <c r="AE107" s="6"/>
      <c r="AF107" s="6"/>
    </row>
    <row r="108" spans="1:32" x14ac:dyDescent="0.2">
      <c r="A108" s="271">
        <f>'Berekening trap 1'!A108</f>
        <v>2.8311137042822265</v>
      </c>
      <c r="B108" s="6">
        <f t="shared" si="19"/>
        <v>2.7671571878782841</v>
      </c>
      <c r="C108" s="168">
        <f t="shared" si="15"/>
        <v>2.2315605404837529</v>
      </c>
      <c r="D108" s="200">
        <f t="shared" si="22"/>
        <v>0.40205250636831108</v>
      </c>
      <c r="E108" s="197">
        <f t="shared" si="12"/>
        <v>0.32989675460633988</v>
      </c>
      <c r="F108" s="43">
        <f t="shared" si="23"/>
        <v>0.40205250636831108</v>
      </c>
      <c r="G108" s="155">
        <f t="shared" si="23"/>
        <v>0.32989675460633988</v>
      </c>
      <c r="H108" s="170">
        <f t="shared" si="20"/>
        <v>0.40205250636831108</v>
      </c>
      <c r="I108" s="179">
        <f t="shared" si="9"/>
        <v>0.40205250636831108</v>
      </c>
      <c r="J108" s="314">
        <f>IF(INVOER!$T$36=1,100-H108*100,100-I108*100)</f>
        <v>59.79474936316889</v>
      </c>
      <c r="K108" s="406">
        <f>IF(AND('Berekening trap 1'!$B$64=1,INVOER!$C$20=1),'Berekening trap 1'!U108,'Berekening trap 1'!V108)</f>
        <v>7.3550124806545331E-6</v>
      </c>
      <c r="L108" s="380">
        <f t="shared" ref="L108:L139" si="24">100*K108/$K$187</f>
        <v>9.1430988216172234E-4</v>
      </c>
      <c r="M108" s="380">
        <f t="shared" si="14"/>
        <v>99.996460446035712</v>
      </c>
      <c r="N108" s="375">
        <f>'Berekening trap 2'!H108*$L108</f>
        <v>3.676005797204356E-4</v>
      </c>
      <c r="O108" s="376">
        <f>'Berekening trap 2'!I108*$L108</f>
        <v>3.676005797204356E-4</v>
      </c>
      <c r="Q108" s="396">
        <f t="shared" ref="Q108:Q139" si="25">IF(S108=0,100,100*(S108-X108)/S108)</f>
        <v>85.871288182883234</v>
      </c>
      <c r="R108" s="6">
        <f t="shared" si="10"/>
        <v>2.7671571878782841</v>
      </c>
      <c r="S108" s="380">
        <f>1/100*'Berekening trap 1'!T108*INVOER!$W$19*1000</f>
        <v>1.9345122345285855E-5</v>
      </c>
      <c r="T108" s="380">
        <f t="shared" ref="T108:T139" si="26">100*S108/$S$187</f>
        <v>2.0946560911632258E-5</v>
      </c>
      <c r="U108" s="44">
        <f t="shared" si="16"/>
        <v>99.999927551155352</v>
      </c>
      <c r="V108" s="380">
        <f t="shared" ref="V108:V139" si="27">L108</f>
        <v>9.1430988216172234E-4</v>
      </c>
      <c r="W108" s="44">
        <f t="shared" si="21"/>
        <v>99.996460446035712</v>
      </c>
      <c r="X108" s="145">
        <f>IF(AND(INVOER!$T$36=1,INVOER!E51=1),1/100*N108*INVOER!$W$20*1000,1/100*O108*INVOER!$W$20*1000)</f>
        <v>2.7332165868340989E-6</v>
      </c>
      <c r="Y108" s="6">
        <f t="shared" ref="Y108:Y139" si="28">100*X108/$X$187</f>
        <v>1.1869288142519811E-2</v>
      </c>
      <c r="Z108" s="44">
        <f t="shared" si="18"/>
        <v>99.948637851099789</v>
      </c>
      <c r="AA108" s="6"/>
      <c r="AB108" s="6"/>
      <c r="AC108" s="6"/>
      <c r="AD108" s="6"/>
      <c r="AE108" s="6"/>
      <c r="AF108" s="6"/>
    </row>
    <row r="109" spans="1:32" x14ac:dyDescent="0.2">
      <c r="A109" s="271">
        <f>'Berekening trap 1'!A109</f>
        <v>2.9650794671499878</v>
      </c>
      <c r="B109" s="6">
        <f t="shared" si="19"/>
        <v>2.8980965857161074</v>
      </c>
      <c r="C109" s="168">
        <f t="shared" si="15"/>
        <v>2.3371559850394825</v>
      </c>
      <c r="D109" s="200">
        <f t="shared" si="22"/>
        <v>0.38586090146500879</v>
      </c>
      <c r="E109" s="197">
        <f t="shared" si="12"/>
        <v>0.31847893183541232</v>
      </c>
      <c r="F109" s="43">
        <f t="shared" si="23"/>
        <v>0.38586090146500879</v>
      </c>
      <c r="G109" s="155">
        <f t="shared" si="23"/>
        <v>0.31847893183541232</v>
      </c>
      <c r="H109" s="170">
        <f t="shared" si="20"/>
        <v>0.38586090146500879</v>
      </c>
      <c r="I109" s="179">
        <f t="shared" si="9"/>
        <v>0.38586090146500879</v>
      </c>
      <c r="J109" s="314">
        <f>IF(INVOER!$T$36=1,100-H109*100,100-I109*100)</f>
        <v>61.413909853499121</v>
      </c>
      <c r="K109" s="406">
        <f>IF(AND('Berekening trap 1'!$B$64=1,INVOER!$C$20=1),'Berekening trap 1'!U109,'Berekening trap 1'!V109)</f>
        <v>9.8682758625941639E-6</v>
      </c>
      <c r="L109" s="380">
        <f t="shared" si="24"/>
        <v>1.2267364827455603E-3</v>
      </c>
      <c r="M109" s="380">
        <f t="shared" ref="M109:M140" si="29">M108-L109</f>
        <v>99.995233709552963</v>
      </c>
      <c r="N109" s="375">
        <f>'Berekening trap 2'!H109*$L109</f>
        <v>4.7334964509221611E-4</v>
      </c>
      <c r="O109" s="376">
        <f>'Berekening trap 2'!I109*$L109</f>
        <v>4.7334964509221611E-4</v>
      </c>
      <c r="Q109" s="396">
        <f t="shared" si="25"/>
        <v>87.06687359634266</v>
      </c>
      <c r="R109" s="6">
        <f t="shared" si="10"/>
        <v>2.8980965857161074</v>
      </c>
      <c r="S109" s="380">
        <f>1/100*'Berekening trap 1'!T109*INVOER!$W$19*1000</f>
        <v>2.7212998242078889E-5</v>
      </c>
      <c r="T109" s="380">
        <f t="shared" si="26"/>
        <v>2.9465759641719343E-5</v>
      </c>
      <c r="U109" s="44">
        <f t="shared" si="16"/>
        <v>99.999898085395714</v>
      </c>
      <c r="V109" s="380">
        <f t="shared" si="27"/>
        <v>1.2267364827455603E-3</v>
      </c>
      <c r="W109" s="44">
        <f t="shared" si="21"/>
        <v>99.995233709552963</v>
      </c>
      <c r="X109" s="145">
        <f>IF(AND(INVOER!$T$36=1,INVOER!E52=1),1/100*N109*INVOER!$W$20*1000,1/100*O109*INVOER!$W$20*1000)</f>
        <v>3.519491460873113E-6</v>
      </c>
      <c r="Y109" s="6">
        <f t="shared" si="28"/>
        <v>1.5283771679663292E-2</v>
      </c>
      <c r="Z109" s="44">
        <f t="shared" si="18"/>
        <v>99.933354079420127</v>
      </c>
      <c r="AA109" s="6"/>
      <c r="AB109" s="6"/>
      <c r="AC109" s="6"/>
      <c r="AD109" s="6"/>
      <c r="AE109" s="6"/>
      <c r="AF109" s="6"/>
    </row>
    <row r="110" spans="1:32" x14ac:dyDescent="0.2">
      <c r="A110" s="271">
        <f>'Berekening trap 1'!A110</f>
        <v>3.1053843698388013</v>
      </c>
      <c r="B110" s="6">
        <f t="shared" si="19"/>
        <v>3.0352319184943948</v>
      </c>
      <c r="C110" s="168">
        <f t="shared" si="15"/>
        <v>2.4477481113829733</v>
      </c>
      <c r="D110" s="200">
        <f t="shared" si="22"/>
        <v>0.36984871790504015</v>
      </c>
      <c r="E110" s="197">
        <f t="shared" si="12"/>
        <v>0.30708973634536912</v>
      </c>
      <c r="F110" s="43">
        <f t="shared" si="23"/>
        <v>0.36984871790504015</v>
      </c>
      <c r="G110" s="155">
        <f t="shared" si="23"/>
        <v>0.30708973634536912</v>
      </c>
      <c r="H110" s="170">
        <f t="shared" si="20"/>
        <v>0.36984871790504015</v>
      </c>
      <c r="I110" s="179">
        <f t="shared" si="9"/>
        <v>0.36984871790504015</v>
      </c>
      <c r="J110" s="314">
        <f>IF(INVOER!$T$36=1,100-H110*100,100-I110*100)</f>
        <v>63.015128209495984</v>
      </c>
      <c r="K110" s="406">
        <f>IF(AND('Berekening trap 1'!$B$64=1,INVOER!$C$20=1),'Berekening trap 1'!U110,'Berekening trap 1'!V110)</f>
        <v>1.3220917540887665E-5</v>
      </c>
      <c r="L110" s="380">
        <f t="shared" si="24"/>
        <v>1.6435071443689948E-3</v>
      </c>
      <c r="M110" s="380">
        <f t="shared" si="29"/>
        <v>99.993590202408598</v>
      </c>
      <c r="N110" s="375">
        <f>'Berekening trap 2'!H110*$L110</f>
        <v>6.0784901021264642E-4</v>
      </c>
      <c r="O110" s="376">
        <f>'Berekening trap 2'!I110*$L110</f>
        <v>6.0784901021264642E-4</v>
      </c>
      <c r="Q110" s="396">
        <f t="shared" si="25"/>
        <v>88.193740854668661</v>
      </c>
      <c r="R110" s="6">
        <f t="shared" si="10"/>
        <v>3.0352319184943948</v>
      </c>
      <c r="S110" s="380">
        <f>1/100*'Berekening trap 1'!T110*INVOER!$W$19*1000</f>
        <v>3.8280822654135276E-5</v>
      </c>
      <c r="T110" s="380">
        <f t="shared" si="26"/>
        <v>4.1449806786444905E-5</v>
      </c>
      <c r="U110" s="44">
        <f t="shared" si="16"/>
        <v>99.999856635588927</v>
      </c>
      <c r="V110" s="380">
        <f t="shared" si="27"/>
        <v>1.6435071443689948E-3</v>
      </c>
      <c r="W110" s="44">
        <f t="shared" si="21"/>
        <v>99.993590202408598</v>
      </c>
      <c r="X110" s="145">
        <f>IF(AND(INVOER!$T$36=1,INVOER!E53=1),1/100*N110*INVOER!$W$20*1000,1/100*O110*INVOER!$W$20*1000)</f>
        <v>4.5195331255119216E-6</v>
      </c>
      <c r="Y110" s="6">
        <f t="shared" si="28"/>
        <v>1.962656058607485E-2</v>
      </c>
      <c r="Z110" s="44">
        <f t="shared" si="18"/>
        <v>99.913727518834051</v>
      </c>
      <c r="AA110" s="6"/>
      <c r="AB110" s="6"/>
      <c r="AC110" s="6"/>
      <c r="AD110" s="6"/>
      <c r="AE110" s="6"/>
      <c r="AF110" s="6"/>
    </row>
    <row r="111" spans="1:32" x14ac:dyDescent="0.2">
      <c r="A111" s="271">
        <f>'Berekening trap 1'!A111</f>
        <v>3.2523283747630227</v>
      </c>
      <c r="B111" s="46">
        <f t="shared" si="19"/>
        <v>3.178856372300912</v>
      </c>
      <c r="C111" s="182">
        <f t="shared" si="15"/>
        <v>2.5635733580177349</v>
      </c>
      <c r="D111" s="201">
        <f t="shared" si="22"/>
        <v>0.3540313979762475</v>
      </c>
      <c r="E111" s="167">
        <f t="shared" si="12"/>
        <v>0.29574314957333248</v>
      </c>
      <c r="F111" s="45">
        <f t="shared" si="23"/>
        <v>0.3540313979762475</v>
      </c>
      <c r="G111" s="183">
        <f t="shared" si="23"/>
        <v>0.29574314957333248</v>
      </c>
      <c r="H111" s="171">
        <f t="shared" si="20"/>
        <v>0.3540313979762475</v>
      </c>
      <c r="I111" s="235">
        <f t="shared" si="9"/>
        <v>0.3540313979762475</v>
      </c>
      <c r="J111" s="314">
        <f>IF(INVOER!$T$36=1,100-H111*100,100-I111*100)</f>
        <v>64.596860202375254</v>
      </c>
      <c r="K111" s="406">
        <f>IF(AND('Berekening trap 1'!$B$64=1,INVOER!$C$20=1),'Berekening trap 1'!U111,'Berekening trap 1'!V111)</f>
        <v>1.7685613767959729E-5</v>
      </c>
      <c r="L111" s="377">
        <f t="shared" si="24"/>
        <v>2.1985185589653809E-3</v>
      </c>
      <c r="M111" s="377">
        <f t="shared" si="29"/>
        <v>99.991391683849628</v>
      </c>
      <c r="N111" s="378">
        <f>'Berekening trap 2'!H111*$L111</f>
        <v>7.7834459890723895E-4</v>
      </c>
      <c r="O111" s="379">
        <f>'Berekening trap 2'!I111*$L111</f>
        <v>7.7834459890723895E-4</v>
      </c>
      <c r="Q111" s="396">
        <f t="shared" si="25"/>
        <v>89.253087621450987</v>
      </c>
      <c r="R111" s="6">
        <f t="shared" si="10"/>
        <v>3.178856372300912</v>
      </c>
      <c r="S111" s="380">
        <f>1/100*'Berekening trap 1'!T111*INVOER!$W$19*1000</f>
        <v>5.3850044695683103E-5</v>
      </c>
      <c r="T111" s="380">
        <f t="shared" si="26"/>
        <v>5.8307888736982712E-5</v>
      </c>
      <c r="U111" s="44">
        <f t="shared" si="16"/>
        <v>99.999798327700191</v>
      </c>
      <c r="V111" s="380">
        <f t="shared" si="27"/>
        <v>2.1985185589653809E-3</v>
      </c>
      <c r="W111" s="44">
        <f t="shared" si="21"/>
        <v>99.991391683849628</v>
      </c>
      <c r="X111" s="145">
        <f>IF(AND(INVOER!$T$36=1,INVOER!E54=1),1/100*N111*INVOER!$W$20*1000,1/100*O111*INVOER!$W$20*1000)</f>
        <v>5.7872171192545429E-6</v>
      </c>
      <c r="Y111" s="6">
        <f t="shared" si="28"/>
        <v>2.5131615204823491E-2</v>
      </c>
      <c r="Z111" s="44">
        <f t="shared" si="18"/>
        <v>99.888595903629223</v>
      </c>
      <c r="AA111" s="6"/>
      <c r="AB111" s="6"/>
      <c r="AC111" s="6"/>
      <c r="AD111" s="6"/>
      <c r="AE111" s="6"/>
      <c r="AF111" s="6"/>
    </row>
    <row r="112" spans="1:32" x14ac:dyDescent="0.2">
      <c r="A112" s="270">
        <f>'Berekening trap 1'!A112</f>
        <v>3.4062256382895892</v>
      </c>
      <c r="B112" s="6">
        <f t="shared" si="19"/>
        <v>3.329277006526306</v>
      </c>
      <c r="C112" s="168">
        <f t="shared" si="15"/>
        <v>2.6848793515053351</v>
      </c>
      <c r="D112" s="200">
        <f t="shared" si="22"/>
        <v>0.33842475018553891</v>
      </c>
      <c r="E112" s="197">
        <f t="shared" si="12"/>
        <v>0.28445343607304613</v>
      </c>
      <c r="F112" s="43">
        <f t="shared" si="23"/>
        <v>0.33842475018553891</v>
      </c>
      <c r="G112" s="155">
        <f t="shared" si="23"/>
        <v>0.28445343607304613</v>
      </c>
      <c r="H112" s="170">
        <f t="shared" si="20"/>
        <v>0.33842475018553891</v>
      </c>
      <c r="I112" s="179">
        <f t="shared" si="9"/>
        <v>0.33842475018553891</v>
      </c>
      <c r="J112" s="313">
        <f>IF(INVOER!$T$36=1,100-H112*100,100-I112*100)</f>
        <v>66.157524981446102</v>
      </c>
      <c r="K112" s="405">
        <f>IF(AND('Berekening trap 1'!$B$64=1,INVOER!$C$20=1),'Berekening trap 1'!U112,'Berekening trap 1'!V112)</f>
        <v>2.3620656154930565E-5</v>
      </c>
      <c r="L112" s="380">
        <f t="shared" si="24"/>
        <v>2.9363103600981533E-3</v>
      </c>
      <c r="M112" s="380">
        <f t="shared" si="29"/>
        <v>99.988455373489529</v>
      </c>
      <c r="N112" s="375">
        <f>'Berekening trap 2'!H112*$L112</f>
        <v>9.9372010008342724E-4</v>
      </c>
      <c r="O112" s="376">
        <f>'Berekening trap 2'!I112*$L112</f>
        <v>9.9372010008342724E-4</v>
      </c>
      <c r="Q112" s="396">
        <f t="shared" si="25"/>
        <v>90.246260590082315</v>
      </c>
      <c r="R112" s="6">
        <f t="shared" si="10"/>
        <v>3.329277006526306</v>
      </c>
      <c r="S112" s="380">
        <f>1/100*'Berekening trap 1'!T112*INVOER!$W$19*1000</f>
        <v>7.5751421346861102E-5</v>
      </c>
      <c r="T112" s="380">
        <f t="shared" si="26"/>
        <v>8.2022317205526042E-5</v>
      </c>
      <c r="U112" s="44">
        <f t="shared" si="16"/>
        <v>99.999716305382989</v>
      </c>
      <c r="V112" s="380">
        <f t="shared" si="27"/>
        <v>2.9363103600981533E-3</v>
      </c>
      <c r="W112" s="44">
        <f t="shared" si="21"/>
        <v>99.988455373489529</v>
      </c>
      <c r="X112" s="145">
        <f>IF(AND(INVOER!$T$36=1,INVOER!E55=1),1/100*N112*INVOER!$W$20*1000,1/100*O112*INVOER!$W$20*1000)</f>
        <v>7.3885962374815972E-6</v>
      </c>
      <c r="Y112" s="6">
        <f t="shared" si="28"/>
        <v>3.2085776931782488E-2</v>
      </c>
      <c r="Z112" s="44">
        <f t="shared" si="18"/>
        <v>99.856510126697444</v>
      </c>
      <c r="AA112" s="6"/>
      <c r="AB112" s="6"/>
      <c r="AC112" s="6"/>
      <c r="AD112" s="6"/>
      <c r="AE112" s="6"/>
      <c r="AF112" s="6"/>
    </row>
    <row r="113" spans="1:32" x14ac:dyDescent="0.2">
      <c r="A113" s="271">
        <f>'Berekening trap 1'!A113</f>
        <v>3.567405182383133</v>
      </c>
      <c r="B113" s="6">
        <f t="shared" si="19"/>
        <v>3.4868154103363613</v>
      </c>
      <c r="C113" s="168">
        <f t="shared" si="15"/>
        <v>2.8119254358742793</v>
      </c>
      <c r="D113" s="200">
        <f t="shared" si="22"/>
        <v>0.32304485607470601</v>
      </c>
      <c r="E113" s="197">
        <f t="shared" si="12"/>
        <v>0.27323509737986262</v>
      </c>
      <c r="F113" s="43">
        <f t="shared" si="23"/>
        <v>0.32304485607470601</v>
      </c>
      <c r="G113" s="155">
        <f t="shared" si="23"/>
        <v>0.27323509737986262</v>
      </c>
      <c r="H113" s="170">
        <f t="shared" si="20"/>
        <v>0.32304485607470601</v>
      </c>
      <c r="I113" s="179">
        <f t="shared" si="9"/>
        <v>0.32304485607470601</v>
      </c>
      <c r="J113" s="314">
        <f>IF(INVOER!$T$36=1,100-H113*100,100-I113*100)</f>
        <v>67.69551439252939</v>
      </c>
      <c r="K113" s="406">
        <f>IF(AND('Berekening trap 1'!$B$64=1,INVOER!$C$20=1),'Berekening trap 1'!U113,'Berekening trap 1'!V113)</f>
        <v>3.1495706674677864E-5</v>
      </c>
      <c r="L113" s="380">
        <f t="shared" si="24"/>
        <v>3.915266756387913E-3</v>
      </c>
      <c r="M113" s="380">
        <f t="shared" si="29"/>
        <v>99.984540106733135</v>
      </c>
      <c r="N113" s="375">
        <f>'Berekening trap 2'!H113*$L113</f>
        <v>1.2648067858114145E-3</v>
      </c>
      <c r="O113" s="376">
        <f>'Berekening trap 2'!I113*$L113</f>
        <v>1.2648067858114145E-3</v>
      </c>
      <c r="Q113" s="396">
        <f t="shared" si="25"/>
        <v>91.174757111908079</v>
      </c>
      <c r="R113" s="6">
        <f t="shared" si="10"/>
        <v>3.4868154103363613</v>
      </c>
      <c r="S113" s="380">
        <f>1/100*'Berekening trap 1'!T113*INVOER!$W$19*1000</f>
        <v>1.0656028665388766E-4</v>
      </c>
      <c r="T113" s="380">
        <f t="shared" si="26"/>
        <v>1.1538161895887815E-4</v>
      </c>
      <c r="U113" s="44">
        <f t="shared" si="16"/>
        <v>99.999600923764035</v>
      </c>
      <c r="V113" s="380">
        <f t="shared" si="27"/>
        <v>3.915266756387913E-3</v>
      </c>
      <c r="W113" s="44">
        <f t="shared" si="21"/>
        <v>99.984540106733135</v>
      </c>
      <c r="X113" s="145">
        <f>IF(AND(INVOER!$T$36=1,INVOER!E56=1),1/100*N113*INVOER!$W$20*1000,1/100*O113*INVOER!$W$20*1000)</f>
        <v>9.4042041194525925E-6</v>
      </c>
      <c r="Y113" s="6">
        <f t="shared" si="28"/>
        <v>4.0838771790912526E-2</v>
      </c>
      <c r="Z113" s="44">
        <f t="shared" si="18"/>
        <v>99.815671354906527</v>
      </c>
      <c r="AA113" s="6"/>
      <c r="AB113" s="6"/>
      <c r="AC113" s="6"/>
      <c r="AD113" s="6"/>
      <c r="AE113" s="6"/>
      <c r="AF113" s="6"/>
    </row>
    <row r="114" spans="1:32" x14ac:dyDescent="0.2">
      <c r="A114" s="271">
        <f>'Berekening trap 1'!A114</f>
        <v>3.7362115980327393</v>
      </c>
      <c r="B114" s="6">
        <f t="shared" si="19"/>
        <v>3.6518083902079361</v>
      </c>
      <c r="C114" s="168">
        <f t="shared" si="15"/>
        <v>2.9449832270800429</v>
      </c>
      <c r="D114" s="200">
        <f t="shared" si="22"/>
        <v>0.30790797382300888</v>
      </c>
      <c r="E114" s="197">
        <f t="shared" si="12"/>
        <v>0.26210282157996195</v>
      </c>
      <c r="F114" s="43">
        <f t="shared" si="23"/>
        <v>0.30790797382300888</v>
      </c>
      <c r="G114" s="155">
        <f t="shared" si="23"/>
        <v>0.26210282157996195</v>
      </c>
      <c r="H114" s="170">
        <f t="shared" si="20"/>
        <v>0.30790797382300888</v>
      </c>
      <c r="I114" s="179">
        <f t="shared" si="9"/>
        <v>0.30790797382300888</v>
      </c>
      <c r="J114" s="314">
        <f>IF(INVOER!$T$36=1,100-H114*100,100-I114*100)</f>
        <v>69.209202617699106</v>
      </c>
      <c r="K114" s="406">
        <f>IF(AND('Berekening trap 1'!$B$64=1,INVOER!$C$20=1),'Berekening trap 1'!U114,'Berekening trap 1'!V114)</f>
        <v>4.1924880298453517E-5</v>
      </c>
      <c r="L114" s="380">
        <f t="shared" si="24"/>
        <v>5.2117290713165586E-3</v>
      </c>
      <c r="M114" s="380">
        <f t="shared" si="29"/>
        <v>99.979328377661815</v>
      </c>
      <c r="N114" s="375">
        <f>'Berekening trap 2'!H114*$L114</f>
        <v>1.6047329384635534E-3</v>
      </c>
      <c r="O114" s="376">
        <f>'Berekening trap 2'!I114*$L114</f>
        <v>1.6047329384635534E-3</v>
      </c>
      <c r="Q114" s="396">
        <f t="shared" si="25"/>
        <v>92.040224352180061</v>
      </c>
      <c r="R114" s="6">
        <f t="shared" si="10"/>
        <v>3.6518083902079361</v>
      </c>
      <c r="S114" s="380">
        <f>1/100*'Berekening trap 1'!T114*INVOER!$W$19*1000</f>
        <v>1.4989936736945129E-4</v>
      </c>
      <c r="T114" s="380">
        <f t="shared" si="26"/>
        <v>1.6230841930986795E-4</v>
      </c>
      <c r="U114" s="44">
        <f t="shared" si="16"/>
        <v>99.999438615344729</v>
      </c>
      <c r="V114" s="380">
        <f t="shared" si="27"/>
        <v>5.2117290713165586E-3</v>
      </c>
      <c r="W114" s="44">
        <f t="shared" si="21"/>
        <v>99.979328377661815</v>
      </c>
      <c r="X114" s="145">
        <f>IF(AND(INVOER!$T$36=1,INVOER!E57=1),1/100*N114*INVOER!$W$20*1000,1/100*O114*INVOER!$W$20*1000)</f>
        <v>1.1931653340109728E-5</v>
      </c>
      <c r="Y114" s="6">
        <f t="shared" si="28"/>
        <v>5.1814492928444013E-2</v>
      </c>
      <c r="Z114" s="44">
        <f t="shared" si="18"/>
        <v>99.763856861978084</v>
      </c>
      <c r="AA114" s="6"/>
      <c r="AB114" s="6"/>
      <c r="AC114" s="6"/>
      <c r="AD114" s="6"/>
      <c r="AE114" s="6"/>
      <c r="AF114" s="6"/>
    </row>
    <row r="115" spans="1:32" x14ac:dyDescent="0.2">
      <c r="A115" s="271">
        <f>'Berekening trap 1'!A115</f>
        <v>3.9130057819642294</v>
      </c>
      <c r="B115" s="6">
        <f t="shared" si="19"/>
        <v>3.8246086899984846</v>
      </c>
      <c r="C115" s="168">
        <f t="shared" si="15"/>
        <v>3.084337193701657</v>
      </c>
      <c r="D115" s="200">
        <f t="shared" si="22"/>
        <v>0.29303043857535122</v>
      </c>
      <c r="E115" s="197">
        <f t="shared" si="12"/>
        <v>0.25107142865106652</v>
      </c>
      <c r="F115" s="43">
        <f t="shared" si="23"/>
        <v>0.29303043857535122</v>
      </c>
      <c r="G115" s="155">
        <f t="shared" si="23"/>
        <v>0.25107142865106652</v>
      </c>
      <c r="H115" s="170">
        <f t="shared" si="20"/>
        <v>0.29303043857535122</v>
      </c>
      <c r="I115" s="179">
        <f t="shared" si="9"/>
        <v>0.29303043857535122</v>
      </c>
      <c r="J115" s="314">
        <f>IF(INVOER!$T$36=1,100-H115*100,100-I115*100)</f>
        <v>70.69695614246487</v>
      </c>
      <c r="K115" s="406">
        <f>IF(AND('Berekening trap 1'!$B$64=1,INVOER!$C$20=1),'Berekening trap 1'!U115,'Berekening trap 1'!V115)</f>
        <v>5.5709086122234295E-5</v>
      </c>
      <c r="L115" s="380">
        <f t="shared" si="24"/>
        <v>6.9252592163139967E-3</v>
      </c>
      <c r="M115" s="380">
        <f t="shared" si="29"/>
        <v>99.972403118445499</v>
      </c>
      <c r="N115" s="375">
        <f>'Berekening trap 2'!H115*$L115</f>
        <v>2.0293117454044836E-3</v>
      </c>
      <c r="O115" s="376">
        <f>'Berekening trap 2'!I115*$L115</f>
        <v>2.0293117454044836E-3</v>
      </c>
      <c r="Q115" s="396">
        <f t="shared" si="25"/>
        <v>92.84445603825769</v>
      </c>
      <c r="R115" s="6">
        <f t="shared" si="10"/>
        <v>3.8246086899984846</v>
      </c>
      <c r="S115" s="380">
        <f>1/100*'Berekening trap 1'!T115*INVOER!$W$19*1000</f>
        <v>2.1086474487355352E-4</v>
      </c>
      <c r="T115" s="380">
        <f t="shared" si="26"/>
        <v>2.2832066625239108E-4</v>
      </c>
      <c r="U115" s="44">
        <f t="shared" si="16"/>
        <v>99.999210294678477</v>
      </c>
      <c r="V115" s="380">
        <f t="shared" si="27"/>
        <v>6.9252592163139967E-3</v>
      </c>
      <c r="W115" s="44">
        <f t="shared" si="21"/>
        <v>99.972403118445499</v>
      </c>
      <c r="X115" s="145">
        <f>IF(AND(INVOER!$T$36=1,INVOER!E58=1),1/100*N115*INVOER!$W$20*1000,1/100*O115*INVOER!$W$20*1000)</f>
        <v>1.5088519519242879E-5</v>
      </c>
      <c r="Y115" s="6">
        <f t="shared" si="28"/>
        <v>6.5523525168332611E-2</v>
      </c>
      <c r="Z115" s="44">
        <f t="shared" si="18"/>
        <v>99.698333336809753</v>
      </c>
      <c r="AA115" s="6"/>
      <c r="AB115" s="6"/>
      <c r="AC115" s="6"/>
      <c r="AD115" s="6"/>
      <c r="AE115" s="6"/>
      <c r="AF115" s="6"/>
    </row>
    <row r="116" spans="1:32" x14ac:dyDescent="0.2">
      <c r="A116" s="272">
        <f>'Berekening trap 1'!A116</f>
        <v>4.0981657082130063</v>
      </c>
      <c r="B116" s="46">
        <f t="shared" si="19"/>
        <v>4.0055857450886183</v>
      </c>
      <c r="C116" s="182">
        <f t="shared" si="15"/>
        <v>3.2302852651163341</v>
      </c>
      <c r="D116" s="201">
        <f t="shared" si="22"/>
        <v>0.27842855957447243</v>
      </c>
      <c r="E116" s="167">
        <f t="shared" si="12"/>
        <v>0.24015581169305025</v>
      </c>
      <c r="F116" s="45">
        <f t="shared" si="23"/>
        <v>0.27842855957447243</v>
      </c>
      <c r="G116" s="183">
        <f t="shared" si="23"/>
        <v>0.24015581169305025</v>
      </c>
      <c r="H116" s="171">
        <f t="shared" si="20"/>
        <v>0.27842855957447243</v>
      </c>
      <c r="I116" s="235">
        <f t="shared" si="9"/>
        <v>0.27842855957447243</v>
      </c>
      <c r="J116" s="315">
        <f>IF(INVOER!$T$36=1,100-H116*100,100-I116*100)</f>
        <v>72.157144042552758</v>
      </c>
      <c r="K116" s="407">
        <f>IF(AND('Berekening trap 1'!$B$64=1,INVOER!$C$20=1),'Berekening trap 1'!U116,'Berekening trap 1'!V116)</f>
        <v>7.3890011200409428E-5</v>
      </c>
      <c r="L116" s="380">
        <f t="shared" si="24"/>
        <v>9.1853504819019108E-3</v>
      </c>
      <c r="M116" s="380">
        <f t="shared" si="29"/>
        <v>99.963217767963599</v>
      </c>
      <c r="N116" s="375">
        <f>'Berekening trap 2'!H116*$L116</f>
        <v>2.5574639038626352E-3</v>
      </c>
      <c r="O116" s="376">
        <f>'Berekening trap 2'!I116*$L116</f>
        <v>2.5574639038626352E-3</v>
      </c>
      <c r="Q116" s="396">
        <f t="shared" si="25"/>
        <v>93.589386882295472</v>
      </c>
      <c r="R116" s="6">
        <f t="shared" si="10"/>
        <v>4.0055857450886183</v>
      </c>
      <c r="S116" s="380">
        <f>1/100*'Berekening trap 1'!T116*INVOER!$W$19*1000</f>
        <v>2.9662503666571296E-4</v>
      </c>
      <c r="T116" s="380">
        <f t="shared" si="26"/>
        <v>3.2118041372571619E-4</v>
      </c>
      <c r="U116" s="44">
        <f t="shared" si="16"/>
        <v>99.998889114264756</v>
      </c>
      <c r="V116" s="380">
        <f t="shared" si="27"/>
        <v>9.1853504819019108E-3</v>
      </c>
      <c r="W116" s="44">
        <f t="shared" si="21"/>
        <v>99.963217767963599</v>
      </c>
      <c r="X116" s="145">
        <f>IF(AND(INVOER!$T$36=1,INVOER!E59=1),1/100*N116*INVOER!$W$20*1000,1/100*O116*INVOER!$W$20*1000)</f>
        <v>1.9015483510888083E-5</v>
      </c>
      <c r="Y116" s="6">
        <f t="shared" si="28"/>
        <v>8.2576790308994452E-2</v>
      </c>
      <c r="Z116" s="44">
        <f t="shared" si="18"/>
        <v>99.615756546500762</v>
      </c>
      <c r="AA116" s="6"/>
      <c r="AB116" s="6"/>
      <c r="AC116" s="6"/>
      <c r="AD116" s="6"/>
      <c r="AE116" s="6"/>
      <c r="AF116" s="6"/>
    </row>
    <row r="117" spans="1:32" x14ac:dyDescent="0.2">
      <c r="A117" s="271">
        <f>'Berekening trap 1'!A117</f>
        <v>4.2920872362070392</v>
      </c>
      <c r="B117" s="6">
        <f t="shared" si="19"/>
        <v>4.1951264722100223</v>
      </c>
      <c r="C117" s="168">
        <f t="shared" si="15"/>
        <v>3.3831394684523715</v>
      </c>
      <c r="D117" s="200">
        <f t="shared" si="22"/>
        <v>0.26411851431052347</v>
      </c>
      <c r="E117" s="197">
        <f t="shared" si="12"/>
        <v>0.2293708742222251</v>
      </c>
      <c r="F117" s="43">
        <f t="shared" si="23"/>
        <v>0.26411851431052347</v>
      </c>
      <c r="G117" s="155">
        <f t="shared" si="23"/>
        <v>0.2293708742222251</v>
      </c>
      <c r="H117" s="170">
        <f t="shared" si="20"/>
        <v>0.26411851431052347</v>
      </c>
      <c r="I117" s="179">
        <f t="shared" si="9"/>
        <v>0.26411851431052347</v>
      </c>
      <c r="J117" s="314">
        <f>IF(INVOER!$T$36=1,100-H117*100,100-I117*100)</f>
        <v>73.588148568947645</v>
      </c>
      <c r="K117" s="406">
        <f>IF(AND('Berekening trap 1'!$B$64=1,INVOER!$C$20=1),'Berekening trap 1'!U117,'Berekening trap 1'!V117)</f>
        <v>9.7818670691695667E-5</v>
      </c>
      <c r="L117" s="381">
        <f t="shared" si="24"/>
        <v>1.2159949083510122E-2</v>
      </c>
      <c r="M117" s="381">
        <f t="shared" si="29"/>
        <v>99.951057818880088</v>
      </c>
      <c r="N117" s="372">
        <f>'Berekening trap 2'!H117*$L117</f>
        <v>3.211667686028305E-3</v>
      </c>
      <c r="O117" s="373">
        <f>'Berekening trap 2'!I117*$L117</f>
        <v>3.211667686028305E-3</v>
      </c>
      <c r="Q117" s="396">
        <f t="shared" si="25"/>
        <v>94.277084782929023</v>
      </c>
      <c r="R117" s="6">
        <f t="shared" si="10"/>
        <v>4.1951264722100223</v>
      </c>
      <c r="S117" s="380">
        <f>1/100*'Berekening trap 1'!T117*INVOER!$W$19*1000</f>
        <v>4.1726422394339316E-4</v>
      </c>
      <c r="T117" s="380">
        <f t="shared" si="26"/>
        <v>4.5180642060943749E-4</v>
      </c>
      <c r="U117" s="44">
        <f t="shared" si="16"/>
        <v>99.998437307844142</v>
      </c>
      <c r="V117" s="380">
        <f t="shared" si="27"/>
        <v>1.2159949083510122E-2</v>
      </c>
      <c r="W117" s="44">
        <f t="shared" si="21"/>
        <v>99.951057818880088</v>
      </c>
      <c r="X117" s="145">
        <f>IF(AND(INVOER!$T$36=1,INVOER!E60=1),1/100*N117*INVOER!$W$20*1000,1/100*O117*INVOER!$W$20*1000)</f>
        <v>2.3879677767449548E-5</v>
      </c>
      <c r="Y117" s="6">
        <f t="shared" si="28"/>
        <v>0.10370007907082368</v>
      </c>
      <c r="Z117" s="44">
        <f t="shared" si="18"/>
        <v>99.512056467429943</v>
      </c>
      <c r="AA117" s="6"/>
      <c r="AB117" s="6"/>
      <c r="AC117" s="6"/>
      <c r="AD117" s="6"/>
      <c r="AE117" s="6"/>
      <c r="AF117" s="6"/>
    </row>
    <row r="118" spans="1:32" x14ac:dyDescent="0.2">
      <c r="A118" s="271">
        <f>'Berekening trap 1'!A118</f>
        <v>4.4951849570876057</v>
      </c>
      <c r="B118" s="6">
        <f t="shared" si="19"/>
        <v>4.393636096647322</v>
      </c>
      <c r="C118" s="168">
        <f t="shared" si="15"/>
        <v>3.5432265956820994</v>
      </c>
      <c r="D118" s="200">
        <f t="shared" si="22"/>
        <v>0.25011624003277361</v>
      </c>
      <c r="E118" s="197">
        <f t="shared" si="12"/>
        <v>0.21873146376242009</v>
      </c>
      <c r="F118" s="43">
        <f t="shared" si="23"/>
        <v>0.25011624003277361</v>
      </c>
      <c r="G118" s="155">
        <f t="shared" si="23"/>
        <v>0.21873146376242009</v>
      </c>
      <c r="H118" s="170">
        <f t="shared" si="20"/>
        <v>0.25011624003277361</v>
      </c>
      <c r="I118" s="179">
        <f t="shared" si="9"/>
        <v>0.25011624003277361</v>
      </c>
      <c r="J118" s="314">
        <f>IF(INVOER!$T$36=1,100-H118*100,100-I118*100)</f>
        <v>74.988375996722638</v>
      </c>
      <c r="K118" s="406">
        <f>IF(AND('Berekening trap 1'!$B$64=1,INVOER!$C$20=1),'Berekening trap 1'!U118,'Berekening trap 1'!V118)</f>
        <v>1.2924208269346195E-4</v>
      </c>
      <c r="L118" s="380">
        <f t="shared" si="24"/>
        <v>1.6066228807714938E-2</v>
      </c>
      <c r="M118" s="380">
        <f t="shared" si="29"/>
        <v>99.934991590072372</v>
      </c>
      <c r="N118" s="375">
        <f>'Berekening trap 2'!H118*$L118</f>
        <v>4.0184247408918917E-3</v>
      </c>
      <c r="O118" s="376">
        <f>'Berekening trap 2'!I118*$L118</f>
        <v>4.0184247408918917E-3</v>
      </c>
      <c r="Q118" s="396">
        <f t="shared" si="25"/>
        <v>94.90974093609762</v>
      </c>
      <c r="R118" s="6">
        <f t="shared" si="10"/>
        <v>4.393636096647322</v>
      </c>
      <c r="S118" s="380">
        <f>1/100*'Berekening trap 1'!T118*INVOER!$W$19*1000</f>
        <v>5.8696717271063223E-4</v>
      </c>
      <c r="T118" s="380">
        <f t="shared" si="26"/>
        <v>6.3555781229307875E-4</v>
      </c>
      <c r="U118" s="44">
        <f t="shared" si="16"/>
        <v>99.997801750031854</v>
      </c>
      <c r="V118" s="380">
        <f t="shared" si="27"/>
        <v>1.6066228807714938E-2</v>
      </c>
      <c r="W118" s="44">
        <f t="shared" si="21"/>
        <v>99.934991590072372</v>
      </c>
      <c r="X118" s="145">
        <f>IF(AND(INVOER!$T$36=1,INVOER!E61=1),1/100*N118*INVOER!$W$20*1000,1/100*O118*INVOER!$W$20*1000)</f>
        <v>2.9878149711034464E-5</v>
      </c>
      <c r="Y118" s="6">
        <f t="shared" si="28"/>
        <v>0.1297490911601652</v>
      </c>
      <c r="Z118" s="44">
        <f t="shared" si="18"/>
        <v>99.382307376269779</v>
      </c>
      <c r="AA118" s="6"/>
      <c r="AB118" s="6"/>
      <c r="AC118" s="6"/>
      <c r="AD118" s="6"/>
      <c r="AE118" s="6"/>
      <c r="AF118" s="6"/>
    </row>
    <row r="119" spans="1:32" x14ac:dyDescent="0.2">
      <c r="A119" s="271">
        <f>'Berekening trap 1'!A119</f>
        <v>4.7078930800771781</v>
      </c>
      <c r="B119" s="6">
        <f t="shared" si="19"/>
        <v>4.6015390185823914</v>
      </c>
      <c r="C119" s="168">
        <f t="shared" si="15"/>
        <v>3.7108889022810629</v>
      </c>
      <c r="D119" s="200">
        <f t="shared" si="22"/>
        <v>0.23643732309642462</v>
      </c>
      <c r="E119" s="197">
        <f t="shared" si="12"/>
        <v>0.20825230202877651</v>
      </c>
      <c r="F119" s="43">
        <f t="shared" si="23"/>
        <v>0.23643732309642462</v>
      </c>
      <c r="G119" s="155">
        <f t="shared" si="23"/>
        <v>0.20825230202877651</v>
      </c>
      <c r="H119" s="170">
        <f t="shared" si="20"/>
        <v>0.23643732309642462</v>
      </c>
      <c r="I119" s="179">
        <f t="shared" si="9"/>
        <v>0.23643732309642462</v>
      </c>
      <c r="J119" s="314">
        <f>IF(INVOER!$T$36=1,100-H119*100,100-I119*100)</f>
        <v>76.356267690357541</v>
      </c>
      <c r="K119" s="406">
        <f>IF(AND('Berekening trap 1'!$B$64=1,INVOER!$C$20=1),'Berekening trap 1'!U119,'Berekening trap 1'!V119)</f>
        <v>1.7041236188867798E-4</v>
      </c>
      <c r="L119" s="380">
        <f t="shared" si="24"/>
        <v>2.1184152566315187E-2</v>
      </c>
      <c r="M119" s="380">
        <f t="shared" si="29"/>
        <v>99.913807437506051</v>
      </c>
      <c r="N119" s="375">
        <f>'Berekening trap 2'!H119*$L119</f>
        <v>5.0087243248458169E-3</v>
      </c>
      <c r="O119" s="376">
        <f>'Berekening trap 2'!I119*$L119</f>
        <v>5.0087243248458169E-3</v>
      </c>
      <c r="Q119" s="396">
        <f t="shared" si="25"/>
        <v>95.489658012982488</v>
      </c>
      <c r="R119" s="6">
        <f t="shared" si="10"/>
        <v>4.6015390185823914</v>
      </c>
      <c r="S119" s="380">
        <f>1/100*'Berekening trap 1'!T119*INVOER!$W$19*1000</f>
        <v>8.2568713258077315E-4</v>
      </c>
      <c r="T119" s="380">
        <f t="shared" si="26"/>
        <v>8.9403961928257206E-4</v>
      </c>
      <c r="U119" s="44">
        <f t="shared" si="16"/>
        <v>99.996907710412572</v>
      </c>
      <c r="V119" s="380">
        <f t="shared" si="27"/>
        <v>2.1184152566315187E-2</v>
      </c>
      <c r="W119" s="44">
        <f t="shared" si="21"/>
        <v>99.913807437506051</v>
      </c>
      <c r="X119" s="145">
        <f>IF(AND(INVOER!$T$36=1,INVOER!E62=1),1/100*N119*INVOER!$W$20*1000,1/100*O119*INVOER!$W$20*1000)</f>
        <v>3.7241313422191437E-5</v>
      </c>
      <c r="Y119" s="6">
        <f t="shared" si="28"/>
        <v>0.16172442460035127</v>
      </c>
      <c r="Z119" s="44">
        <f t="shared" si="18"/>
        <v>99.220582951669428</v>
      </c>
      <c r="AA119" s="6"/>
      <c r="AB119" s="6"/>
      <c r="AC119" s="6"/>
      <c r="AD119" s="6"/>
      <c r="AE119" s="6"/>
      <c r="AF119" s="6"/>
    </row>
    <row r="120" spans="1:32" x14ac:dyDescent="0.2">
      <c r="A120" s="271">
        <f>'Berekening trap 1'!A120</f>
        <v>4.9306663607894397</v>
      </c>
      <c r="B120" s="6">
        <f t="shared" si="19"/>
        <v>4.8192797204333093</v>
      </c>
      <c r="C120" s="168">
        <f t="shared" si="15"/>
        <v>3.8864848389471369</v>
      </c>
      <c r="D120" s="200">
        <f t="shared" si="22"/>
        <v>0.22309688674241468</v>
      </c>
      <c r="E120" s="197">
        <f t="shared" si="12"/>
        <v>0.19794791206586887</v>
      </c>
      <c r="F120" s="43">
        <f t="shared" si="23"/>
        <v>0.22309688674241468</v>
      </c>
      <c r="G120" s="155">
        <f t="shared" si="23"/>
        <v>0.19794791206586887</v>
      </c>
      <c r="H120" s="170">
        <f t="shared" si="20"/>
        <v>0.22309688674241468</v>
      </c>
      <c r="I120" s="179">
        <f t="shared" si="9"/>
        <v>0.22309688674241468</v>
      </c>
      <c r="J120" s="314">
        <f>IF(INVOER!$T$36=1,100-H120*100,100-I120*100)</f>
        <v>77.690311325758529</v>
      </c>
      <c r="K120" s="406">
        <f>IF(AND('Berekening trap 1'!$B$64=1,INVOER!$C$20=1),'Berekening trap 1'!U120,'Berekening trap 1'!V120)</f>
        <v>2.2422336569666526E-4</v>
      </c>
      <c r="L120" s="380">
        <f t="shared" si="24"/>
        <v>2.7873459033176066E-2</v>
      </c>
      <c r="M120" s="380">
        <f t="shared" si="29"/>
        <v>99.885933978472877</v>
      </c>
      <c r="N120" s="375">
        <f>'Berekening trap 2'!H120*$L120</f>
        <v>6.2184819330438163E-3</v>
      </c>
      <c r="O120" s="376">
        <f>'Berekening trap 2'!I120*$L120</f>
        <v>6.2184819330438163E-3</v>
      </c>
      <c r="Q120" s="396">
        <f t="shared" si="25"/>
        <v>96.019236591946111</v>
      </c>
      <c r="R120" s="6">
        <f t="shared" si="10"/>
        <v>4.8192797204333093</v>
      </c>
      <c r="S120" s="380">
        <f>1/100*'Berekening trap 1'!T120*INVOER!$W$19*1000</f>
        <v>1.1614910571508441E-3</v>
      </c>
      <c r="T120" s="380">
        <f t="shared" si="26"/>
        <v>1.2576422491768324E-3</v>
      </c>
      <c r="U120" s="44">
        <f t="shared" si="16"/>
        <v>99.9956500681634</v>
      </c>
      <c r="V120" s="380">
        <f t="shared" si="27"/>
        <v>2.7873459033176066E-2</v>
      </c>
      <c r="W120" s="44">
        <f t="shared" si="21"/>
        <v>99.885933978472877</v>
      </c>
      <c r="X120" s="145">
        <f>IF(AND(INVOER!$T$36=1,INVOER!E63=1),1/100*N120*INVOER!$W$20*1000,1/100*O120*INVOER!$W$20*1000)</f>
        <v>4.6236210990879101E-5</v>
      </c>
      <c r="Y120" s="6">
        <f t="shared" si="28"/>
        <v>0.20078573850042131</v>
      </c>
      <c r="Z120" s="44">
        <f t="shared" si="18"/>
        <v>99.019797213169014</v>
      </c>
      <c r="AA120" s="6"/>
      <c r="AB120" s="6"/>
      <c r="AC120" s="6"/>
      <c r="AD120" s="6"/>
      <c r="AE120" s="6"/>
      <c r="AF120" s="6"/>
    </row>
    <row r="121" spans="1:32" x14ac:dyDescent="0.2">
      <c r="A121" s="271">
        <f>'Berekening trap 1'!A121</f>
        <v>5.1639810734661014</v>
      </c>
      <c r="B121" s="46">
        <f t="shared" si="19"/>
        <v>5.0473237171277709</v>
      </c>
      <c r="C121" s="182">
        <f t="shared" si="15"/>
        <v>4.0703898179439255</v>
      </c>
      <c r="D121" s="201">
        <f t="shared" si="22"/>
        <v>0.21010947802901017</v>
      </c>
      <c r="E121" s="167">
        <f t="shared" si="12"/>
        <v>0.18783254276961101</v>
      </c>
      <c r="F121" s="45">
        <f t="shared" si="23"/>
        <v>0.21010947802901017</v>
      </c>
      <c r="G121" s="183">
        <f t="shared" si="23"/>
        <v>0.18783254276961101</v>
      </c>
      <c r="H121" s="171">
        <f t="shared" si="20"/>
        <v>0.21010947802901017</v>
      </c>
      <c r="I121" s="235">
        <f t="shared" si="9"/>
        <v>0.21010947802901017</v>
      </c>
      <c r="J121" s="314">
        <f>IF(INVOER!$T$36=1,100-H121*100,100-I121*100)</f>
        <v>78.989052197098985</v>
      </c>
      <c r="K121" s="406">
        <f>IF(AND('Berekening trap 1'!$B$64=1,INVOER!$C$20=1),'Berekening trap 1'!U121,'Berekening trap 1'!V121)</f>
        <v>2.9438096276243706E-4</v>
      </c>
      <c r="L121" s="377">
        <f t="shared" si="24"/>
        <v>3.6594828911836963E-2</v>
      </c>
      <c r="M121" s="377">
        <f t="shared" si="29"/>
        <v>99.849339149561047</v>
      </c>
      <c r="N121" s="378">
        <f>'Berekening trap 2'!H121*$L121</f>
        <v>7.6889204012269945E-3</v>
      </c>
      <c r="O121" s="379">
        <f>'Berekening trap 2'!I121*$L121</f>
        <v>7.6889204012269945E-3</v>
      </c>
      <c r="Q121" s="396">
        <f t="shared" si="25"/>
        <v>96.500960060148884</v>
      </c>
      <c r="R121" s="6">
        <f t="shared" si="10"/>
        <v>5.0473237171277709</v>
      </c>
      <c r="S121" s="380">
        <f>1/100*'Berekening trap 1'!T121*INVOER!$W$19*1000</f>
        <v>1.6338580611101952E-3</v>
      </c>
      <c r="T121" s="380">
        <f t="shared" si="26"/>
        <v>1.7691129984683679E-3</v>
      </c>
      <c r="U121" s="44">
        <f t="shared" si="16"/>
        <v>99.993880955164926</v>
      </c>
      <c r="V121" s="380">
        <f t="shared" si="27"/>
        <v>3.6594828911836963E-2</v>
      </c>
      <c r="W121" s="44">
        <f t="shared" si="21"/>
        <v>99.849339149561047</v>
      </c>
      <c r="X121" s="145">
        <f>IF(AND(INVOER!$T$36=1,INVOER!E64=1),1/100*N121*INVOER!$W$20*1000,1/100*O121*INVOER!$W$20*1000)</f>
        <v>5.7169346118722741E-5</v>
      </c>
      <c r="Y121" s="6">
        <f t="shared" si="28"/>
        <v>0.24826405827887435</v>
      </c>
      <c r="Z121" s="44">
        <f t="shared" si="18"/>
        <v>98.771533154890136</v>
      </c>
      <c r="AA121" s="6"/>
      <c r="AB121" s="6"/>
      <c r="AC121" s="6"/>
      <c r="AD121" s="6"/>
      <c r="AE121" s="6"/>
      <c r="AF121" s="6"/>
    </row>
    <row r="122" spans="1:32" x14ac:dyDescent="0.2">
      <c r="A122" s="270">
        <f>'Berekening trap 1'!A122</f>
        <v>5.4083360292190914</v>
      </c>
      <c r="B122" s="6">
        <f t="shared" si="19"/>
        <v>5.2861585513425968</v>
      </c>
      <c r="C122" s="168">
        <f t="shared" si="15"/>
        <v>4.2629970157068549</v>
      </c>
      <c r="D122" s="200">
        <f t="shared" si="22"/>
        <v>0.19748895474975139</v>
      </c>
      <c r="E122" s="197">
        <f t="shared" si="12"/>
        <v>0.17792009129150455</v>
      </c>
      <c r="F122" s="43">
        <f t="shared" si="23"/>
        <v>0.19748895474975139</v>
      </c>
      <c r="G122" s="155">
        <f t="shared" si="23"/>
        <v>0.17792009129150455</v>
      </c>
      <c r="H122" s="170">
        <f t="shared" si="20"/>
        <v>0.19748895474975139</v>
      </c>
      <c r="I122" s="179">
        <f t="shared" si="9"/>
        <v>0.19748895474975139</v>
      </c>
      <c r="J122" s="313">
        <f>IF(INVOER!$T$36=1,100-H122*100,100-I122*100)</f>
        <v>80.251104525024857</v>
      </c>
      <c r="K122" s="405">
        <f>IF(AND('Berekening trap 1'!$B$64=1,INVOER!$C$20=1),'Berekening trap 1'!U122,'Berekening trap 1'!V122)</f>
        <v>3.8561400940351936E-4</v>
      </c>
      <c r="L122" s="380">
        <f t="shared" si="24"/>
        <v>4.7936111655145053E-2</v>
      </c>
      <c r="M122" s="380">
        <f t="shared" si="29"/>
        <v>99.801403037905899</v>
      </c>
      <c r="N122" s="375">
        <f>'Berekening trap 2'!H122*$L122</f>
        <v>9.4668525855419721E-3</v>
      </c>
      <c r="O122" s="376">
        <f>'Berekening trap 2'!I122*$L122</f>
        <v>9.4668525855419721E-3</v>
      </c>
      <c r="Q122" s="396">
        <f t="shared" si="25"/>
        <v>96.937378228011795</v>
      </c>
      <c r="R122" s="6">
        <f t="shared" si="10"/>
        <v>5.2861585513425968</v>
      </c>
      <c r="S122" s="380">
        <f>1/100*'Berekening trap 1'!T122*INVOER!$W$19*1000</f>
        <v>2.2983179499665145E-3</v>
      </c>
      <c r="T122" s="380">
        <f t="shared" si="26"/>
        <v>2.4885785715903163E-3</v>
      </c>
      <c r="U122" s="44">
        <f t="shared" si="16"/>
        <v>99.991392376593339</v>
      </c>
      <c r="V122" s="380">
        <f t="shared" si="27"/>
        <v>4.7936111655145053E-2</v>
      </c>
      <c r="W122" s="44">
        <f t="shared" si="21"/>
        <v>99.801403037905899</v>
      </c>
      <c r="X122" s="145">
        <f>IF(AND(INVOER!$T$36=1,INVOER!E65=1),1/100*N122*INVOER!$W$20*1000,1/100*O122*INVOER!$W$20*1000)</f>
        <v>7.0388785925187591E-5</v>
      </c>
      <c r="Y122" s="6">
        <f t="shared" si="28"/>
        <v>0.30567090298391547</v>
      </c>
      <c r="Z122" s="44">
        <f t="shared" si="18"/>
        <v>98.465862251906216</v>
      </c>
      <c r="AA122" s="6"/>
      <c r="AB122" s="6"/>
      <c r="AC122" s="6"/>
      <c r="AD122" s="6"/>
      <c r="AE122" s="6"/>
      <c r="AF122" s="6"/>
    </row>
    <row r="123" spans="1:32" x14ac:dyDescent="0.2">
      <c r="A123" s="271">
        <f>'Berekening trap 1'!A123</f>
        <v>5.6642536424550549</v>
      </c>
      <c r="B123" s="6">
        <f t="shared" si="19"/>
        <v>5.5362948358370732</v>
      </c>
      <c r="C123" s="168">
        <f t="shared" si="15"/>
        <v>4.464718213427858</v>
      </c>
      <c r="D123" s="200">
        <f t="shared" si="22"/>
        <v>0.18524837328143293</v>
      </c>
      <c r="E123" s="197">
        <f t="shared" si="12"/>
        <v>0.16822402389311625</v>
      </c>
      <c r="F123" s="43">
        <f t="shared" si="23"/>
        <v>0.18524837328143293</v>
      </c>
      <c r="G123" s="155">
        <f t="shared" si="23"/>
        <v>0.16822402389311625</v>
      </c>
      <c r="H123" s="170">
        <f t="shared" si="20"/>
        <v>0.18524837328143293</v>
      </c>
      <c r="I123" s="179">
        <f t="shared" si="9"/>
        <v>0.18524837328143293</v>
      </c>
      <c r="J123" s="314">
        <f>IF(INVOER!$T$36=1,100-H123*100,100-I123*100)</f>
        <v>81.475162671856708</v>
      </c>
      <c r="K123" s="406">
        <f>IF(AND('Berekening trap 1'!$B$64=1,INVOER!$C$20=1),'Berekening trap 1'!U123,'Berekening trap 1'!V123)</f>
        <v>5.0393417729792975E-4</v>
      </c>
      <c r="L123" s="380">
        <f t="shared" si="24"/>
        <v>6.2644624937676738E-2</v>
      </c>
      <c r="M123" s="380">
        <f t="shared" si="29"/>
        <v>99.738758412968224</v>
      </c>
      <c r="N123" s="375">
        <f>'Berekening trap 2'!H123*$L123</f>
        <v>1.1604814864530102E-2</v>
      </c>
      <c r="O123" s="376">
        <f>'Berekening trap 2'!I123*$L123</f>
        <v>1.1604814864530102E-2</v>
      </c>
      <c r="Q123" s="396">
        <f t="shared" si="25"/>
        <v>97.331089924699413</v>
      </c>
      <c r="R123" s="6">
        <f t="shared" si="10"/>
        <v>5.5362948358370732</v>
      </c>
      <c r="S123" s="380">
        <f>1/100*'Berekening trap 1'!T123*INVOER!$W$19*1000</f>
        <v>3.2329734288161546E-3</v>
      </c>
      <c r="T123" s="380">
        <f t="shared" si="26"/>
        <v>3.5006072147632885E-3</v>
      </c>
      <c r="U123" s="44">
        <f t="shared" si="16"/>
        <v>99.987891769378578</v>
      </c>
      <c r="V123" s="380">
        <f t="shared" si="27"/>
        <v>6.2644624937676738E-2</v>
      </c>
      <c r="W123" s="44">
        <f t="shared" si="21"/>
        <v>99.738758412968224</v>
      </c>
      <c r="X123" s="145">
        <f>IF(AND(INVOER!$T$36=1,INVOER!E66=1),1/100*N123*INVOER!$W$20*1000,1/100*O123*INVOER!$W$20*1000)</f>
        <v>8.6285153573465093E-5</v>
      </c>
      <c r="Y123" s="6">
        <f t="shared" si="28"/>
        <v>0.37470259587854376</v>
      </c>
      <c r="Z123" s="44">
        <f t="shared" si="18"/>
        <v>98.091159656027671</v>
      </c>
      <c r="AA123" s="6"/>
      <c r="AB123" s="6"/>
      <c r="AC123" s="6"/>
      <c r="AD123" s="6"/>
      <c r="AE123" s="6"/>
      <c r="AF123" s="6"/>
    </row>
    <row r="124" spans="1:32" x14ac:dyDescent="0.2">
      <c r="A124" s="271">
        <f>'Berekening trap 1'!A124</f>
        <v>5.9322810477621024</v>
      </c>
      <c r="B124" s="6">
        <f t="shared" si="19"/>
        <v>5.7982673451085791</v>
      </c>
      <c r="C124" s="168">
        <f t="shared" si="15"/>
        <v>4.6759846774157801</v>
      </c>
      <c r="D124" s="200">
        <f t="shared" si="22"/>
        <v>0.17339987840635954</v>
      </c>
      <c r="E124" s="197">
        <f t="shared" si="12"/>
        <v>0.15875729588701581</v>
      </c>
      <c r="F124" s="43">
        <f t="shared" si="23"/>
        <v>0.17339987840635954</v>
      </c>
      <c r="G124" s="155">
        <f t="shared" si="23"/>
        <v>0.15875729588701581</v>
      </c>
      <c r="H124" s="170">
        <f t="shared" si="20"/>
        <v>0.17339987840635954</v>
      </c>
      <c r="I124" s="179">
        <f t="shared" si="9"/>
        <v>0.17339987840635954</v>
      </c>
      <c r="J124" s="314">
        <f>IF(INVOER!$T$36=1,100-H124*100,100-I124*100)</f>
        <v>82.660012159364044</v>
      </c>
      <c r="K124" s="406">
        <f>IF(AND('Berekening trap 1'!$B$64=1,INVOER!$C$20=1),'Berekening trap 1'!U124,'Berekening trap 1'!V124)</f>
        <v>6.5695380951864412E-4</v>
      </c>
      <c r="L124" s="380">
        <f t="shared" si="24"/>
        <v>8.1666667697242665E-2</v>
      </c>
      <c r="M124" s="380">
        <f t="shared" si="29"/>
        <v>99.657091745270975</v>
      </c>
      <c r="N124" s="375">
        <f>'Berekening trap 2'!H124*$L124</f>
        <v>1.4160990248554448E-2</v>
      </c>
      <c r="O124" s="376">
        <f>'Berekening trap 2'!I124*$L124</f>
        <v>1.4160990248554448E-2</v>
      </c>
      <c r="Q124" s="396">
        <f t="shared" si="25"/>
        <v>97.684724864171343</v>
      </c>
      <c r="R124" s="6">
        <f t="shared" si="10"/>
        <v>5.7982673451085791</v>
      </c>
      <c r="S124" s="380">
        <f>1/100*'Berekening trap 1'!T124*INVOER!$W$19*1000</f>
        <v>4.5476693001822669E-3</v>
      </c>
      <c r="T124" s="380">
        <f t="shared" si="26"/>
        <v>4.9241369634160518E-3</v>
      </c>
      <c r="U124" s="44">
        <f t="shared" si="16"/>
        <v>99.982967632415168</v>
      </c>
      <c r="V124" s="380">
        <f t="shared" si="27"/>
        <v>8.1666667697242665E-2</v>
      </c>
      <c r="W124" s="44">
        <f t="shared" si="21"/>
        <v>99.657091745270975</v>
      </c>
      <c r="X124" s="145">
        <f>IF(AND(INVOER!$T$36=1,INVOER!E67=1),1/100*N124*INVOER!$W$20*1000,1/100*O124*INVOER!$W$20*1000)</f>
        <v>1.0529105656683287E-4</v>
      </c>
      <c r="Y124" s="6">
        <f t="shared" si="28"/>
        <v>0.45723778175576701</v>
      </c>
      <c r="Z124" s="44">
        <f t="shared" si="18"/>
        <v>97.633921874271905</v>
      </c>
      <c r="AA124" s="6"/>
      <c r="AB124" s="6"/>
      <c r="AC124" s="6"/>
      <c r="AD124" s="6"/>
      <c r="AE124" s="6"/>
      <c r="AF124" s="6"/>
    </row>
    <row r="125" spans="1:32" x14ac:dyDescent="0.2">
      <c r="A125" s="271">
        <f>'Berekening trap 1'!A125</f>
        <v>6.2129912696466381</v>
      </c>
      <c r="B125" s="6">
        <f t="shared" si="19"/>
        <v>6.0726361587043698</v>
      </c>
      <c r="C125" s="168">
        <f t="shared" si="15"/>
        <v>4.8972480811146379</v>
      </c>
      <c r="D125" s="200">
        <f t="shared" si="22"/>
        <v>0.16195459624296574</v>
      </c>
      <c r="E125" s="197">
        <f t="shared" si="12"/>
        <v>0.1495322713664369</v>
      </c>
      <c r="F125" s="43">
        <f t="shared" si="23"/>
        <v>0.16195459624296574</v>
      </c>
      <c r="G125" s="155">
        <f t="shared" si="23"/>
        <v>0.1495322713664369</v>
      </c>
      <c r="H125" s="170">
        <f t="shared" si="20"/>
        <v>0.16195459624296574</v>
      </c>
      <c r="I125" s="179">
        <f t="shared" si="9"/>
        <v>0.16195459624296574</v>
      </c>
      <c r="J125" s="314">
        <f>IF(INVOER!$T$36=1,100-H125*100,100-I125*100)</f>
        <v>83.804540375703425</v>
      </c>
      <c r="K125" s="406">
        <f>IF(AND('Berekening trap 1'!$B$64=1,INVOER!$C$20=1),'Berekening trap 1'!U125,'Berekening trap 1'!V125)</f>
        <v>8.5427188317723868E-4</v>
      </c>
      <c r="L125" s="380">
        <f t="shared" si="24"/>
        <v>0.10619549958565742</v>
      </c>
      <c r="M125" s="380">
        <f t="shared" si="29"/>
        <v>99.550896245685323</v>
      </c>
      <c r="N125" s="375">
        <f>'Berekening trap 2'!H125*$L125</f>
        <v>1.7198849258215184E-2</v>
      </c>
      <c r="O125" s="376">
        <f>'Berekening trap 2'!I125*$L125</f>
        <v>1.7198849258215184E-2</v>
      </c>
      <c r="Q125" s="396">
        <f t="shared" si="25"/>
        <v>98.000925088003498</v>
      </c>
      <c r="R125" s="6">
        <f t="shared" si="10"/>
        <v>6.0726361587043698</v>
      </c>
      <c r="S125" s="380">
        <f>1/100*'Berekening trap 1'!T125*INVOER!$W$19*1000</f>
        <v>6.3968796671122988E-3</v>
      </c>
      <c r="T125" s="380">
        <f t="shared" si="26"/>
        <v>6.9264296808234883E-3</v>
      </c>
      <c r="U125" s="44">
        <f t="shared" si="16"/>
        <v>99.976041202734351</v>
      </c>
      <c r="V125" s="380">
        <f t="shared" si="27"/>
        <v>0.10619549958565742</v>
      </c>
      <c r="W125" s="44">
        <f t="shared" si="21"/>
        <v>99.550896245685323</v>
      </c>
      <c r="X125" s="145">
        <f>IF(AND(INVOER!$T$36=1,INVOER!E68=1),1/100*N125*INVOER!$W$20*1000,1/100*O125*INVOER!$W$20*1000)</f>
        <v>1.2787841657584798E-4</v>
      </c>
      <c r="Y125" s="6">
        <f t="shared" si="28"/>
        <v>0.5553258314248809</v>
      </c>
      <c r="Z125" s="44">
        <f t="shared" si="18"/>
        <v>97.078596042847025</v>
      </c>
      <c r="AA125" s="6"/>
      <c r="AB125" s="6"/>
      <c r="AC125" s="6"/>
      <c r="AD125" s="6"/>
      <c r="AE125" s="6"/>
      <c r="AF125" s="6"/>
    </row>
    <row r="126" spans="1:32" x14ac:dyDescent="0.2">
      <c r="A126" s="272">
        <f>'Berekening trap 1'!A126</f>
        <v>6.5069844476210896</v>
      </c>
      <c r="B126" s="46">
        <f t="shared" si="19"/>
        <v>6.3599878586338638</v>
      </c>
      <c r="C126" s="182">
        <f t="shared" si="15"/>
        <v>5.1289814707509738</v>
      </c>
      <c r="D126" s="201">
        <f t="shared" si="22"/>
        <v>0.15092253149559651</v>
      </c>
      <c r="E126" s="167">
        <f t="shared" si="12"/>
        <v>0.14056064348813924</v>
      </c>
      <c r="F126" s="45">
        <f t="shared" si="23"/>
        <v>0.15092253149559651</v>
      </c>
      <c r="G126" s="183">
        <f t="shared" si="23"/>
        <v>0.14056064348813924</v>
      </c>
      <c r="H126" s="171">
        <f t="shared" si="20"/>
        <v>0.15092253149559651</v>
      </c>
      <c r="I126" s="235">
        <f t="shared" si="9"/>
        <v>0.15092253149559651</v>
      </c>
      <c r="J126" s="315">
        <f>IF(INVOER!$T$36=1,100-H126*100,100-I126*100)</f>
        <v>84.907746850440347</v>
      </c>
      <c r="K126" s="407">
        <f>IF(AND('Berekening trap 1'!$B$64=1,INVOER!$C$20=1),'Berekening trap 1'!U126,'Berekening trap 1'!V126)</f>
        <v>1.1079387488682443E-3</v>
      </c>
      <c r="L126" s="380">
        <f t="shared" si="24"/>
        <v>0.13772911325229759</v>
      </c>
      <c r="M126" s="380">
        <f t="shared" si="29"/>
        <v>99.413167132433031</v>
      </c>
      <c r="N126" s="375">
        <f>'Berekening trap 2'!H126*$L126</f>
        <v>2.0786426432680461E-2</v>
      </c>
      <c r="O126" s="376">
        <f>'Berekening trap 2'!I126*$L126</f>
        <v>2.0786426432680461E-2</v>
      </c>
      <c r="Q126" s="396">
        <f t="shared" si="25"/>
        <v>98.282326302137747</v>
      </c>
      <c r="R126" s="6">
        <f t="shared" si="10"/>
        <v>6.3599878586338638</v>
      </c>
      <c r="S126" s="380">
        <f>1/100*'Berekening trap 1'!T126*INVOER!$W$19*1000</f>
        <v>8.9978143264911135E-3</v>
      </c>
      <c r="T126" s="380">
        <f t="shared" si="26"/>
        <v>9.7426763448374819E-3</v>
      </c>
      <c r="U126" s="44">
        <f t="shared" si="16"/>
        <v>99.966298526389508</v>
      </c>
      <c r="V126" s="380">
        <f t="shared" si="27"/>
        <v>0.13772911325229759</v>
      </c>
      <c r="W126" s="44">
        <f t="shared" si="21"/>
        <v>99.413167132433031</v>
      </c>
      <c r="X126" s="145">
        <f>IF(AND(INVOER!$T$36=1,INVOER!E69=1),1/100*N126*INVOER!$W$20*1000,1/100*O126*INVOER!$W$20*1000)</f>
        <v>1.5455309006861886E-4</v>
      </c>
      <c r="Y126" s="6">
        <f t="shared" si="28"/>
        <v>0.67116348121759772</v>
      </c>
      <c r="Z126" s="44">
        <f t="shared" si="18"/>
        <v>96.40743256162942</v>
      </c>
      <c r="AA126" s="6"/>
      <c r="AB126" s="6"/>
      <c r="AC126" s="6"/>
      <c r="AD126" s="6"/>
      <c r="AE126" s="6"/>
      <c r="AF126" s="6"/>
    </row>
    <row r="127" spans="1:32" x14ac:dyDescent="0.2">
      <c r="A127" s="271">
        <f>'Berekening trap 1'!A127</f>
        <v>6.8148891192616885</v>
      </c>
      <c r="B127" s="6">
        <f t="shared" si="19"/>
        <v>6.6609367834413895</v>
      </c>
      <c r="C127" s="168">
        <f t="shared" si="15"/>
        <v>5.3716802766747618</v>
      </c>
      <c r="D127" s="200">
        <f t="shared" si="22"/>
        <v>0.14031247029524485</v>
      </c>
      <c r="E127" s="197">
        <f t="shared" si="12"/>
        <v>0.13185335612975341</v>
      </c>
      <c r="F127" s="43">
        <f t="shared" si="23"/>
        <v>0.14031247029524485</v>
      </c>
      <c r="G127" s="155">
        <f t="shared" si="23"/>
        <v>0.13185335612975341</v>
      </c>
      <c r="H127" s="170">
        <f t="shared" si="20"/>
        <v>0.14031247029524485</v>
      </c>
      <c r="I127" s="179">
        <f t="shared" si="9"/>
        <v>0.14031247029524485</v>
      </c>
      <c r="J127" s="314">
        <f>IF(INVOER!$T$36=1,100-H127*100,100-I127*100)</f>
        <v>85.968752970475521</v>
      </c>
      <c r="K127" s="406">
        <f>IF(AND('Berekening trap 1'!$B$64=1,INVOER!$C$20=1),'Berekening trap 1'!U127,'Berekening trap 1'!V127)</f>
        <v>1.4330103232008124E-3</v>
      </c>
      <c r="L127" s="381">
        <f t="shared" si="24"/>
        <v>0.17813912664165438</v>
      </c>
      <c r="M127" s="381">
        <f t="shared" si="29"/>
        <v>99.235028005791378</v>
      </c>
      <c r="N127" s="372">
        <f>'Berekening trap 2'!H127*$L127</f>
        <v>2.499514091532799E-2</v>
      </c>
      <c r="O127" s="373">
        <f>'Berekening trap 2'!I127*$L127</f>
        <v>2.499514091532799E-2</v>
      </c>
      <c r="Q127" s="396">
        <f t="shared" si="25"/>
        <v>98.531539429144019</v>
      </c>
      <c r="R127" s="6">
        <f t="shared" si="10"/>
        <v>6.6609367834413895</v>
      </c>
      <c r="S127" s="380">
        <f>1/100*'Berekening trap 1'!T127*INVOER!$W$19*1000</f>
        <v>1.2655845360269995E-2</v>
      </c>
      <c r="T127" s="380">
        <f t="shared" si="26"/>
        <v>1.3703528517186885E-2</v>
      </c>
      <c r="U127" s="44">
        <f t="shared" si="16"/>
        <v>99.952594997872325</v>
      </c>
      <c r="V127" s="380">
        <f t="shared" si="27"/>
        <v>0.17813912664165438</v>
      </c>
      <c r="W127" s="44">
        <f t="shared" si="21"/>
        <v>99.235028005791378</v>
      </c>
      <c r="X127" s="145">
        <f>IF(AND(INVOER!$T$36=1,INVOER!E70=1),1/100*N127*INVOER!$W$20*1000,1/100*O127*INVOER!$W$20*1000)</f>
        <v>1.8584609902407131E-4</v>
      </c>
      <c r="Y127" s="6">
        <f t="shared" si="28"/>
        <v>0.80705675141355482</v>
      </c>
      <c r="Z127" s="44">
        <f t="shared" si="18"/>
        <v>95.600375810215866</v>
      </c>
      <c r="AA127" s="6"/>
      <c r="AB127" s="6"/>
      <c r="AC127" s="6"/>
      <c r="AD127" s="6"/>
      <c r="AE127" s="6"/>
      <c r="AF127" s="6"/>
    </row>
    <row r="128" spans="1:32" x14ac:dyDescent="0.2">
      <c r="A128" s="271">
        <f>'Berekening trap 1'!A128</f>
        <v>7.1373635639793944</v>
      </c>
      <c r="B128" s="6">
        <f t="shared" si="19"/>
        <v>6.9761263416205415</v>
      </c>
      <c r="C128" s="168">
        <f t="shared" si="15"/>
        <v>5.6258633725560649</v>
      </c>
      <c r="D128" s="200">
        <f t="shared" si="22"/>
        <v>0.13013188994563296</v>
      </c>
      <c r="E128" s="197">
        <f t="shared" si="12"/>
        <v>0.12342052779255053</v>
      </c>
      <c r="F128" s="43">
        <f t="shared" si="23"/>
        <v>0.13013188994563296</v>
      </c>
      <c r="G128" s="155">
        <f t="shared" si="23"/>
        <v>0.12342052779255053</v>
      </c>
      <c r="H128" s="170">
        <f t="shared" si="20"/>
        <v>0.13013188994563296</v>
      </c>
      <c r="I128" s="179">
        <f t="shared" si="9"/>
        <v>0.13013188994563296</v>
      </c>
      <c r="J128" s="314">
        <f>IF(INVOER!$T$36=1,100-H128*100,100-I128*100)</f>
        <v>86.986811005436707</v>
      </c>
      <c r="K128" s="406">
        <f>IF(AND('Berekening trap 1'!$B$64=1,INVOER!$C$20=1),'Berekening trap 1'!U128,'Berekening trap 1'!V128)</f>
        <v>1.8482013955937538E-3</v>
      </c>
      <c r="L128" s="380">
        <f t="shared" si="24"/>
        <v>0.22975199629655496</v>
      </c>
      <c r="M128" s="380">
        <f t="shared" si="29"/>
        <v>99.005276009494821</v>
      </c>
      <c r="N128" s="375">
        <f>'Berekening trap 2'!H128*$L128</f>
        <v>2.989806149685276E-2</v>
      </c>
      <c r="O128" s="376">
        <f>'Berekening trap 2'!I128*$L128</f>
        <v>2.989806149685276E-2</v>
      </c>
      <c r="Q128" s="396">
        <f t="shared" si="25"/>
        <v>98.751132694827263</v>
      </c>
      <c r="R128" s="6">
        <f t="shared" si="10"/>
        <v>6.9761263416205415</v>
      </c>
      <c r="S128" s="380">
        <f>1/100*'Berekening trap 1'!T128*INVOER!$W$19*1000</f>
        <v>1.7800188226972366E-2</v>
      </c>
      <c r="T128" s="380">
        <f t="shared" si="26"/>
        <v>1.9273733206740626E-2</v>
      </c>
      <c r="U128" s="44">
        <f t="shared" si="16"/>
        <v>99.93332126466558</v>
      </c>
      <c r="V128" s="380">
        <f t="shared" si="27"/>
        <v>0.22975199629655496</v>
      </c>
      <c r="W128" s="44">
        <f t="shared" si="21"/>
        <v>99.005276009494821</v>
      </c>
      <c r="X128" s="145">
        <f>IF(AND(INVOER!$T$36=1,INVOER!E71=1),1/100*N128*INVOER!$W$20*1000,1/100*O128*INVOER!$W$20*1000)</f>
        <v>2.2230073102586309E-4</v>
      </c>
      <c r="Y128" s="6">
        <f t="shared" si="28"/>
        <v>0.96536492700529553</v>
      </c>
      <c r="Z128" s="44">
        <f t="shared" si="18"/>
        <v>94.635010883210569</v>
      </c>
      <c r="AA128" s="6"/>
      <c r="AB128" s="6"/>
      <c r="AC128" s="6"/>
      <c r="AD128" s="6"/>
      <c r="AE128" s="6"/>
      <c r="AF128" s="6"/>
    </row>
    <row r="129" spans="1:32" x14ac:dyDescent="0.2">
      <c r="A129" s="271">
        <f>'Berekening trap 1'!A129</f>
        <v>7.4750972103768571</v>
      </c>
      <c r="B129" s="6">
        <f t="shared" si="19"/>
        <v>7.3062303871781253</v>
      </c>
      <c r="C129" s="168">
        <f t="shared" si="15"/>
        <v>5.8920741847019338</v>
      </c>
      <c r="D129" s="200">
        <f t="shared" si="22"/>
        <v>0.12038687691051719</v>
      </c>
      <c r="E129" s="197">
        <f t="shared" si="12"/>
        <v>0.11527137866131816</v>
      </c>
      <c r="F129" s="43">
        <f t="shared" si="23"/>
        <v>0.12038687691051719</v>
      </c>
      <c r="G129" s="155">
        <f t="shared" si="23"/>
        <v>0.11527137866131816</v>
      </c>
      <c r="H129" s="170">
        <f t="shared" si="20"/>
        <v>0.12038687691051719</v>
      </c>
      <c r="I129" s="179">
        <f t="shared" si="9"/>
        <v>0.12038687691051719</v>
      </c>
      <c r="J129" s="314">
        <f>IF(INVOER!$T$36=1,100-H129*100,100-I129*100)</f>
        <v>87.96131230894828</v>
      </c>
      <c r="K129" s="406">
        <f>IF(AND('Berekening trap 1'!$B$64=1,INVOER!$C$20=1),'Berekening trap 1'!U129,'Berekening trap 1'!V129)</f>
        <v>2.3766449927401035E-3</v>
      </c>
      <c r="L129" s="380">
        <f t="shared" si="24"/>
        <v>0.29544341480968828</v>
      </c>
      <c r="M129" s="380">
        <f t="shared" si="29"/>
        <v>98.709832594685139</v>
      </c>
      <c r="N129" s="375">
        <f>'Berekening trap 2'!H129*$L129</f>
        <v>3.5567510012716817E-2</v>
      </c>
      <c r="O129" s="376">
        <f>'Berekening trap 2'!I129*$L129</f>
        <v>3.5567510012716817E-2</v>
      </c>
      <c r="Q129" s="396">
        <f t="shared" si="25"/>
        <v>98.943614557667445</v>
      </c>
      <c r="R129" s="6">
        <f t="shared" si="10"/>
        <v>7.3062303871781253</v>
      </c>
      <c r="S129" s="380">
        <f>1/100*'Berekening trap 1'!T129*INVOER!$W$19*1000</f>
        <v>2.5033923152672111E-2</v>
      </c>
      <c r="T129" s="380">
        <f t="shared" si="26"/>
        <v>2.7106295158807848E-2</v>
      </c>
      <c r="U129" s="44">
        <f t="shared" si="16"/>
        <v>99.906214969506777</v>
      </c>
      <c r="V129" s="380">
        <f t="shared" si="27"/>
        <v>0.29544341480968828</v>
      </c>
      <c r="W129" s="44">
        <f t="shared" si="21"/>
        <v>98.709832594685139</v>
      </c>
      <c r="X129" s="145">
        <f>IF(AND(INVOER!$T$36=1,INVOER!E72=1),1/100*N129*INVOER!$W$20*1000,1/100*O129*INVOER!$W$20*1000)</f>
        <v>2.6445471982954332E-4</v>
      </c>
      <c r="Y129" s="6">
        <f t="shared" si="28"/>
        <v>1.1484231748871359</v>
      </c>
      <c r="Z129" s="44">
        <f t="shared" si="18"/>
        <v>93.486587708323427</v>
      </c>
      <c r="AA129" s="6"/>
      <c r="AB129" s="6"/>
      <c r="AC129" s="6"/>
      <c r="AD129" s="6"/>
      <c r="AE129" s="6"/>
      <c r="AF129" s="6"/>
    </row>
    <row r="130" spans="1:32" x14ac:dyDescent="0.2">
      <c r="A130" s="271">
        <f>'Berekening trap 1'!A130</f>
        <v>7.8288121102002464</v>
      </c>
      <c r="B130" s="6">
        <f t="shared" si="19"/>
        <v>7.6519546602885518</v>
      </c>
      <c r="C130" s="168">
        <f t="shared" si="15"/>
        <v>6.1708818538651755</v>
      </c>
      <c r="D130" s="200">
        <f t="shared" si="22"/>
        <v>0.11108205437587292</v>
      </c>
      <c r="E130" s="197">
        <f t="shared" si="12"/>
        <v>0.10741416176300382</v>
      </c>
      <c r="F130" s="43">
        <f t="shared" si="23"/>
        <v>0.11108205437587292</v>
      </c>
      <c r="G130" s="155">
        <f t="shared" si="23"/>
        <v>0.10741416176300382</v>
      </c>
      <c r="H130" s="170">
        <f t="shared" si="20"/>
        <v>0.11108205437587292</v>
      </c>
      <c r="I130" s="179">
        <f t="shared" si="9"/>
        <v>0.11108205437587292</v>
      </c>
      <c r="J130" s="314">
        <f>IF(INVOER!$T$36=1,100-H130*100,100-I130*100)</f>
        <v>88.891794562412713</v>
      </c>
      <c r="K130" s="406">
        <f>IF(AND('Berekening trap 1'!$B$64=1,INVOER!$C$20=1),'Berekening trap 1'!U130,'Berekening trap 1'!V130)</f>
        <v>3.0467592516969762E-3</v>
      </c>
      <c r="L130" s="380">
        <f t="shared" si="24"/>
        <v>0.37874607279337991</v>
      </c>
      <c r="M130" s="380">
        <f t="shared" si="29"/>
        <v>98.331086521891763</v>
      </c>
      <c r="N130" s="375">
        <f>'Berekening trap 2'!H130*$L130</f>
        <v>4.207189185268255E-2</v>
      </c>
      <c r="O130" s="376">
        <f>'Berekening trap 2'!I130*$L130</f>
        <v>4.207189185268255E-2</v>
      </c>
      <c r="Q130" s="396">
        <f t="shared" si="25"/>
        <v>99.111417771482678</v>
      </c>
      <c r="R130" s="6">
        <f t="shared" si="10"/>
        <v>7.6519546602885518</v>
      </c>
      <c r="S130" s="380">
        <f>1/100*'Berekening trap 1'!T130*INVOER!$W$19*1000</f>
        <v>3.5204021557641428E-2</v>
      </c>
      <c r="T130" s="380">
        <f t="shared" si="26"/>
        <v>3.8118300247981969E-2</v>
      </c>
      <c r="U130" s="44">
        <f t="shared" si="16"/>
        <v>99.86809666925879</v>
      </c>
      <c r="V130" s="380">
        <f t="shared" si="27"/>
        <v>0.37874607279337991</v>
      </c>
      <c r="W130" s="44">
        <f t="shared" si="21"/>
        <v>98.331086521891763</v>
      </c>
      <c r="X130" s="145">
        <f>IF(AND(INVOER!$T$36=1,INVOER!E73=1),1/100*N130*INVOER!$W$20*1000,1/100*O130*INVOER!$W$20*1000)</f>
        <v>3.1281667928460491E-4</v>
      </c>
      <c r="Y130" s="6">
        <f t="shared" si="28"/>
        <v>1.3584402056171738</v>
      </c>
      <c r="Z130" s="44">
        <f t="shared" si="18"/>
        <v>92.128147502706256</v>
      </c>
      <c r="AA130" s="6"/>
      <c r="AB130" s="6"/>
      <c r="AC130" s="6"/>
      <c r="AD130" s="6"/>
      <c r="AE130" s="6"/>
      <c r="AF130" s="6"/>
    </row>
    <row r="131" spans="1:32" x14ac:dyDescent="0.2">
      <c r="A131" s="271">
        <f>'Berekening trap 1'!A131</f>
        <v>8.1992644820371616</v>
      </c>
      <c r="B131" s="46">
        <f t="shared" si="19"/>
        <v>8.014038296118704</v>
      </c>
      <c r="C131" s="182">
        <f t="shared" si="15"/>
        <v>6.4628824520288815</v>
      </c>
      <c r="D131" s="201">
        <f t="shared" si="22"/>
        <v>0.10222052069224219</v>
      </c>
      <c r="E131" s="167">
        <f t="shared" si="12"/>
        <v>9.9856099183179586E-2</v>
      </c>
      <c r="F131" s="45">
        <f t="shared" si="23"/>
        <v>0.10222052069224219</v>
      </c>
      <c r="G131" s="183">
        <f t="shared" si="23"/>
        <v>9.9856099183179586E-2</v>
      </c>
      <c r="H131" s="171">
        <f t="shared" si="20"/>
        <v>0.10222052069224219</v>
      </c>
      <c r="I131" s="235">
        <f t="shared" si="9"/>
        <v>0.10222052069224219</v>
      </c>
      <c r="J131" s="314">
        <f>IF(INVOER!$T$36=1,100-H131*100,100-I131*100)</f>
        <v>89.777947930775781</v>
      </c>
      <c r="K131" s="406">
        <f>IF(AND('Berekening trap 1'!$B$64=1,INVOER!$C$20=1),'Berekening trap 1'!U131,'Berekening trap 1'!V131)</f>
        <v>3.8932132916092814E-3</v>
      </c>
      <c r="L131" s="377">
        <f t="shared" si="24"/>
        <v>0.4839697274810007</v>
      </c>
      <c r="M131" s="377">
        <f t="shared" si="29"/>
        <v>97.847116794410766</v>
      </c>
      <c r="N131" s="378">
        <f>'Berekening trap 2'!H131*$L131</f>
        <v>4.9471637542390444E-2</v>
      </c>
      <c r="O131" s="379">
        <f>'Berekening trap 2'!I131*$L131</f>
        <v>4.9471637542390444E-2</v>
      </c>
      <c r="Q131" s="396">
        <f t="shared" si="25"/>
        <v>99.256884845991351</v>
      </c>
      <c r="R131" s="6">
        <f t="shared" si="10"/>
        <v>8.014038296118704</v>
      </c>
      <c r="S131" s="380">
        <f>1/100*'Berekening trap 1'!T131*INVOER!$W$19*1000</f>
        <v>4.949918270889022E-2</v>
      </c>
      <c r="T131" s="380">
        <f t="shared" si="26"/>
        <v>5.3596851298303966E-2</v>
      </c>
      <c r="U131" s="44">
        <f t="shared" si="16"/>
        <v>99.814499817960481</v>
      </c>
      <c r="V131" s="380">
        <f t="shared" si="27"/>
        <v>0.4839697274810007</v>
      </c>
      <c r="W131" s="44">
        <f t="shared" si="21"/>
        <v>97.847116794410766</v>
      </c>
      <c r="X131" s="145">
        <f>IF(AND(INVOER!$T$36=1,INVOER!E74=1),1/100*N131*INVOER!$W$20*1000,1/100*O131*INVOER!$W$20*1000)</f>
        <v>3.6783592782018988E-4</v>
      </c>
      <c r="Y131" s="6">
        <f t="shared" si="28"/>
        <v>1.5973672329883155</v>
      </c>
      <c r="Z131" s="44">
        <f t="shared" si="18"/>
        <v>90.530780269717937</v>
      </c>
      <c r="AA131" s="6"/>
      <c r="AB131" s="6"/>
      <c r="AC131" s="6"/>
      <c r="AD131" s="6"/>
      <c r="AE131" s="6"/>
      <c r="AF131" s="6"/>
    </row>
    <row r="132" spans="1:32" x14ac:dyDescent="0.2">
      <c r="A132" s="270">
        <f>'Berekening trap 1'!A132</f>
        <v>8.5872463280609441</v>
      </c>
      <c r="B132" s="6">
        <f t="shared" si="19"/>
        <v>8.3932554050490538</v>
      </c>
      <c r="C132" s="168">
        <f t="shared" si="15"/>
        <v>6.7687002567681036</v>
      </c>
      <c r="D132" s="200">
        <f t="shared" si="22"/>
        <v>9.3803799945874455E-2</v>
      </c>
      <c r="E132" s="197">
        <f t="shared" si="12"/>
        <v>9.2603324302419091E-2</v>
      </c>
      <c r="F132" s="43">
        <f t="shared" si="23"/>
        <v>9.3803799945874455E-2</v>
      </c>
      <c r="G132" s="155">
        <f t="shared" si="23"/>
        <v>9.2603324302419091E-2</v>
      </c>
      <c r="H132" s="170">
        <f t="shared" si="20"/>
        <v>9.3803799945874455E-2</v>
      </c>
      <c r="I132" s="179">
        <f t="shared" si="9"/>
        <v>9.3803799945874455E-2</v>
      </c>
      <c r="J132" s="313">
        <f>IF(INVOER!$T$36=1,100-H132*100,100-I132*100)</f>
        <v>90.619620005412557</v>
      </c>
      <c r="K132" s="405">
        <f>IF(AND('Berekening trap 1'!$B$64=1,INVOER!$C$20=1),'Berekening trap 1'!U132,'Berekening trap 1'!V132)</f>
        <v>4.9579664587076555E-3</v>
      </c>
      <c r="L132" s="380">
        <f t="shared" si="24"/>
        <v>0.61633039244270049</v>
      </c>
      <c r="M132" s="380">
        <f t="shared" si="29"/>
        <v>97.230786401968061</v>
      </c>
      <c r="N132" s="375">
        <f>'Berekening trap 2'!H132*$L132</f>
        <v>5.781413283325737E-2</v>
      </c>
      <c r="O132" s="376">
        <f>'Berekening trap 2'!I132*$L132</f>
        <v>5.781413283325737E-2</v>
      </c>
      <c r="Q132" s="396">
        <f t="shared" si="25"/>
        <v>99.382255137051729</v>
      </c>
      <c r="R132" s="6">
        <f t="shared" si="10"/>
        <v>8.3932554050490538</v>
      </c>
      <c r="S132" s="380">
        <f>1/100*'Berekening trap 1'!T132*INVOER!$W$19*1000</f>
        <v>6.9586137899413231E-2</v>
      </c>
      <c r="T132" s="380">
        <f t="shared" si="26"/>
        <v>7.5346655870103418E-2</v>
      </c>
      <c r="U132" s="44">
        <f t="shared" si="16"/>
        <v>99.739153162090375</v>
      </c>
      <c r="V132" s="380">
        <f t="shared" si="27"/>
        <v>0.61633039244270049</v>
      </c>
      <c r="W132" s="44">
        <f t="shared" si="21"/>
        <v>97.230786401968061</v>
      </c>
      <c r="X132" s="145">
        <f>IF(AND(INVOER!$T$36=1,INVOER!E75=1),1/100*N132*INVOER!$W$20*1000,1/100*O132*INVOER!$W$20*1000)</f>
        <v>4.2986479219772676E-4</v>
      </c>
      <c r="Y132" s="6">
        <f t="shared" si="28"/>
        <v>1.8667342740039188</v>
      </c>
      <c r="Z132" s="44">
        <f t="shared" si="18"/>
        <v>88.664045995714019</v>
      </c>
      <c r="AA132" s="6"/>
      <c r="AB132" s="6"/>
      <c r="AC132" s="6"/>
      <c r="AD132" s="6"/>
      <c r="AE132" s="6"/>
      <c r="AF132" s="6"/>
    </row>
    <row r="133" spans="1:32" x14ac:dyDescent="0.2">
      <c r="A133" s="271">
        <f>'Berekening trap 1'!A133</f>
        <v>8.9935871272778822</v>
      </c>
      <c r="B133" s="6">
        <f t="shared" si="19"/>
        <v>8.7904167276694132</v>
      </c>
      <c r="C133" s="168">
        <f t="shared" si="15"/>
        <v>7.0889890859131857</v>
      </c>
      <c r="D133" s="200">
        <f t="shared" si="22"/>
        <v>8.5831805820655041E-2</v>
      </c>
      <c r="E133" s="197">
        <f t="shared" si="12"/>
        <v>8.5660831001685533E-2</v>
      </c>
      <c r="F133" s="43">
        <f t="shared" si="23"/>
        <v>8.5831805820655041E-2</v>
      </c>
      <c r="G133" s="155">
        <f t="shared" si="23"/>
        <v>8.5660831001685533E-2</v>
      </c>
      <c r="H133" s="170">
        <f t="shared" si="20"/>
        <v>8.5831805820655041E-2</v>
      </c>
      <c r="I133" s="179">
        <f t="shared" si="9"/>
        <v>8.5831805820655041E-2</v>
      </c>
      <c r="J133" s="314">
        <f>IF(INVOER!$T$36=1,100-H133*100,100-I133*100)</f>
        <v>91.416819417934491</v>
      </c>
      <c r="K133" s="406">
        <f>IF(AND('Berekening trap 1'!$B$64=1,INVOER!$C$20=1),'Berekening trap 1'!U133,'Berekening trap 1'!V133)</f>
        <v>6.2913267838922617E-3</v>
      </c>
      <c r="L133" s="380">
        <f t="shared" si="24"/>
        <v>0.78208191563932228</v>
      </c>
      <c r="M133" s="380">
        <f t="shared" si="29"/>
        <v>96.448704486328737</v>
      </c>
      <c r="N133" s="375">
        <f>'Berekening trap 2'!H133*$L133</f>
        <v>6.7127503119000231E-2</v>
      </c>
      <c r="O133" s="376">
        <f>'Berekening trap 2'!I133*$L133</f>
        <v>6.7127503119000231E-2</v>
      </c>
      <c r="Q133" s="396">
        <f t="shared" si="25"/>
        <v>99.489653759023966</v>
      </c>
      <c r="R133" s="6">
        <f t="shared" si="10"/>
        <v>8.7904167276694132</v>
      </c>
      <c r="S133" s="380">
        <f>1/100*'Berekening trap 1'!T133*INVOER!$W$19*1000</f>
        <v>9.7798779098724892E-2</v>
      </c>
      <c r="T133" s="380">
        <f t="shared" si="26"/>
        <v>0.10589481146258618</v>
      </c>
      <c r="U133" s="44">
        <f t="shared" si="16"/>
        <v>99.633258350627784</v>
      </c>
      <c r="V133" s="380">
        <f t="shared" si="27"/>
        <v>0.78208191563932228</v>
      </c>
      <c r="W133" s="44">
        <f t="shared" si="21"/>
        <v>96.448704486328737</v>
      </c>
      <c r="X133" s="145">
        <f>IF(AND(INVOER!$T$36=1,INVOER!E76=1),1/100*N133*INVOER!$W$20*1000,1/100*O133*INVOER!$W$20*1000)</f>
        <v>4.9911239285080344E-4</v>
      </c>
      <c r="Y133" s="6">
        <f t="shared" si="28"/>
        <v>2.1674494567262457</v>
      </c>
      <c r="Z133" s="44">
        <f t="shared" si="18"/>
        <v>86.496596538987774</v>
      </c>
      <c r="AA133" s="6"/>
      <c r="AB133" s="6"/>
      <c r="AC133" s="6"/>
      <c r="AD133" s="6"/>
      <c r="AE133" s="6"/>
      <c r="AF133" s="6"/>
    </row>
    <row r="134" spans="1:32" x14ac:dyDescent="0.2">
      <c r="A134" s="271">
        <f>'Berekening trap 1'!A134</f>
        <v>9.419155608897352</v>
      </c>
      <c r="B134" s="6">
        <f t="shared" si="19"/>
        <v>9.2063713680876162</v>
      </c>
      <c r="C134" s="168">
        <f t="shared" si="15"/>
        <v>7.4244336953681644</v>
      </c>
      <c r="D134" s="200">
        <f t="shared" si="22"/>
        <v>7.8302819795031994E-2</v>
      </c>
      <c r="E134" s="197">
        <f t="shared" si="12"/>
        <v>7.9032430755326649E-2</v>
      </c>
      <c r="F134" s="43">
        <f t="shared" si="23"/>
        <v>7.8302819795031994E-2</v>
      </c>
      <c r="G134" s="155">
        <f t="shared" si="23"/>
        <v>7.9032430755326649E-2</v>
      </c>
      <c r="H134" s="170">
        <f t="shared" si="20"/>
        <v>7.8302819795031994E-2</v>
      </c>
      <c r="I134" s="179">
        <f t="shared" si="9"/>
        <v>7.8302819795031994E-2</v>
      </c>
      <c r="J134" s="314">
        <f>IF(INVOER!$T$36=1,100-H134*100,100-I134*100)</f>
        <v>92.169718020496802</v>
      </c>
      <c r="K134" s="406">
        <f>IF(AND('Berekening trap 1'!$B$64=1,INVOER!$C$20=1),'Berekening trap 1'!U134,'Berekening trap 1'!V134)</f>
        <v>7.9529277837641493E-3</v>
      </c>
      <c r="L134" s="380">
        <f t="shared" si="24"/>
        <v>0.98863740665834898</v>
      </c>
      <c r="M134" s="380">
        <f t="shared" si="29"/>
        <v>95.460067079670381</v>
      </c>
      <c r="N134" s="375">
        <f>'Berekening trap 2'!H134*$L134</f>
        <v>7.7413096696196462E-2</v>
      </c>
      <c r="O134" s="376">
        <f>'Berekening trap 2'!I134*$L134</f>
        <v>7.7413096696196462E-2</v>
      </c>
      <c r="Q134" s="396">
        <f t="shared" si="25"/>
        <v>99.581082466970955</v>
      </c>
      <c r="R134" s="6">
        <f t="shared" si="10"/>
        <v>9.2063713680876162</v>
      </c>
      <c r="S134" s="380">
        <f>1/100*'Berekening trap 1'!T134*INVOER!$W$19*1000</f>
        <v>0.13739906052449113</v>
      </c>
      <c r="T134" s="380">
        <f t="shared" si="26"/>
        <v>0.14877330518298013</v>
      </c>
      <c r="U134" s="44">
        <f t="shared" si="16"/>
        <v>99.484485045444799</v>
      </c>
      <c r="V134" s="380">
        <f t="shared" si="27"/>
        <v>0.98863740665834898</v>
      </c>
      <c r="W134" s="44">
        <f t="shared" si="21"/>
        <v>95.460067079670381</v>
      </c>
      <c r="X134" s="145">
        <f>IF(AND(INVOER!$T$36=1,INVOER!E77=1),1/100*N134*INVOER!$W$20*1000,1/100*O134*INVOER!$W$20*1000)</f>
        <v>5.7558875475427788E-4</v>
      </c>
      <c r="Y134" s="6">
        <f t="shared" si="28"/>
        <v>2.499556315691045</v>
      </c>
      <c r="Z134" s="44">
        <f t="shared" si="18"/>
        <v>83.997040223296722</v>
      </c>
      <c r="AA134" s="6"/>
      <c r="AB134" s="6"/>
      <c r="AC134" s="6"/>
      <c r="AD134" s="6"/>
      <c r="AE134" s="6"/>
      <c r="AF134" s="6"/>
    </row>
    <row r="135" spans="1:32" x14ac:dyDescent="0.2">
      <c r="A135" s="271">
        <f>'Berekening trap 1'!A135</f>
        <v>9.8648616096162467</v>
      </c>
      <c r="B135" s="6">
        <f t="shared" si="19"/>
        <v>9.6420086092567985</v>
      </c>
      <c r="C135" s="168">
        <f t="shared" si="15"/>
        <v>7.7757512430726905</v>
      </c>
      <c r="D135" s="200">
        <f t="shared" si="22"/>
        <v>7.1213484568740479E-2</v>
      </c>
      <c r="E135" s="197">
        <f t="shared" si="12"/>
        <v>7.2720718481004781E-2</v>
      </c>
      <c r="F135" s="43">
        <f t="shared" si="23"/>
        <v>7.1213484568740479E-2</v>
      </c>
      <c r="G135" s="155">
        <f t="shared" si="23"/>
        <v>7.2720718481004781E-2</v>
      </c>
      <c r="H135" s="170">
        <f t="shared" si="20"/>
        <v>7.1213484568740479E-2</v>
      </c>
      <c r="I135" s="179">
        <f t="shared" si="9"/>
        <v>7.1213484568740479E-2</v>
      </c>
      <c r="J135" s="314">
        <f>IF(INVOER!$T$36=1,100-H135*100,100-I135*100)</f>
        <v>92.878651543125955</v>
      </c>
      <c r="K135" s="406">
        <f>IF(AND('Berekening trap 1'!$B$64=1,INVOER!$C$20=1),'Berekening trap 1'!U135,'Berekening trap 1'!V135)</f>
        <v>1.0012447255390416E-2</v>
      </c>
      <c r="L135" s="380">
        <f t="shared" si="24"/>
        <v>1.2446585909004195</v>
      </c>
      <c r="M135" s="380">
        <f t="shared" si="29"/>
        <v>94.215408488769967</v>
      </c>
      <c r="N135" s="375">
        <f>'Berekening trap 2'!H135*$L135</f>
        <v>8.8636475356437289E-2</v>
      </c>
      <c r="O135" s="376">
        <f>'Berekening trap 2'!I135*$L135</f>
        <v>8.8636475356437289E-2</v>
      </c>
      <c r="Q135" s="396">
        <f t="shared" si="25"/>
        <v>99.658412607600766</v>
      </c>
      <c r="R135" s="6">
        <f t="shared" si="10"/>
        <v>9.6420086092567985</v>
      </c>
      <c r="S135" s="380">
        <f>1/100*'Berekening trap 1'!T135*INVOER!$W$19*1000</f>
        <v>0.19293388296426517</v>
      </c>
      <c r="T135" s="380">
        <f t="shared" si="26"/>
        <v>0.20890544186263676</v>
      </c>
      <c r="U135" s="44">
        <f t="shared" si="16"/>
        <v>99.275579603582159</v>
      </c>
      <c r="V135" s="380">
        <f t="shared" si="27"/>
        <v>1.2446585909004195</v>
      </c>
      <c r="W135" s="44">
        <f t="shared" si="21"/>
        <v>94.215408488769967</v>
      </c>
      <c r="X135" s="145">
        <f>IF(AND(INVOER!$T$36=1,INVOER!E78=1),1/100*N135*INVOER!$W$20*1000,1/100*O135*INVOER!$W$20*1000)</f>
        <v>6.5903781987223685E-4</v>
      </c>
      <c r="Y135" s="6">
        <f t="shared" si="28"/>
        <v>2.8619428912299543</v>
      </c>
      <c r="Z135" s="44">
        <f t="shared" si="18"/>
        <v>81.135097332066763</v>
      </c>
      <c r="AA135" s="6"/>
      <c r="AB135" s="6"/>
      <c r="AC135" s="6"/>
      <c r="AD135" s="6"/>
      <c r="AE135" s="6"/>
      <c r="AF135" s="6"/>
    </row>
    <row r="136" spans="1:32" x14ac:dyDescent="0.2">
      <c r="A136" s="272">
        <f>'Berekening trap 1'!A136</f>
        <v>10.331658018788442</v>
      </c>
      <c r="B136" s="46">
        <f t="shared" si="19"/>
        <v>10.098259814202343</v>
      </c>
      <c r="C136" s="182">
        <f t="shared" si="15"/>
        <v>8.1436928222373037</v>
      </c>
      <c r="D136" s="201">
        <f t="shared" si="22"/>
        <v>6.4558813433391413E-2</v>
      </c>
      <c r="E136" s="167">
        <f t="shared" si="12"/>
        <v>6.6727047946924828E-2</v>
      </c>
      <c r="F136" s="45">
        <f t="shared" si="23"/>
        <v>6.4558813433391413E-2</v>
      </c>
      <c r="G136" s="183">
        <f t="shared" si="23"/>
        <v>6.6727047946924828E-2</v>
      </c>
      <c r="H136" s="171">
        <f t="shared" si="20"/>
        <v>6.6727047946924828E-2</v>
      </c>
      <c r="I136" s="235">
        <f t="shared" si="9"/>
        <v>6.6727047946924828E-2</v>
      </c>
      <c r="J136" s="315">
        <f>IF(INVOER!$T$36=1,100-H136*100,100-I136*100)</f>
        <v>93.327295205307522</v>
      </c>
      <c r="K136" s="407">
        <f>IF(AND('Berekening trap 1'!$B$64=1,INVOER!$C$20=1),'Berekening trap 1'!U136,'Berekening trap 1'!V136)</f>
        <v>1.3002123141951051E-2</v>
      </c>
      <c r="L136" s="380">
        <f t="shared" si="24"/>
        <v>1.6163085663060004</v>
      </c>
      <c r="M136" s="380">
        <f t="shared" si="29"/>
        <v>92.599099922463964</v>
      </c>
      <c r="N136" s="375">
        <f>'Berekening trap 2'!H136*$L136</f>
        <v>0.10785149920092582</v>
      </c>
      <c r="O136" s="376">
        <f>'Berekening trap 2'!I136*$L136</f>
        <v>0.10785149920092582</v>
      </c>
      <c r="Q136" s="396">
        <f t="shared" si="25"/>
        <v>99.703784263844085</v>
      </c>
      <c r="R136" s="6">
        <f t="shared" si="10"/>
        <v>10.098259814202343</v>
      </c>
      <c r="S136" s="380">
        <f>1/100*'Berekening trap 1'!T136*INVOER!$W$19*1000</f>
        <v>0.27071724405925679</v>
      </c>
      <c r="T136" s="380">
        <f t="shared" si="26"/>
        <v>0.29312790797098709</v>
      </c>
      <c r="U136" s="44">
        <f t="shared" si="16"/>
        <v>98.982451695611175</v>
      </c>
      <c r="V136" s="380">
        <f t="shared" si="27"/>
        <v>1.6163085663060004</v>
      </c>
      <c r="W136" s="44">
        <f t="shared" si="21"/>
        <v>92.599099922463964</v>
      </c>
      <c r="X136" s="145">
        <f>IF(AND(INVOER!$T$36=1,INVOER!E79=1),1/100*N136*INVOER!$W$20*1000,1/100*O136*INVOER!$W$20*1000)</f>
        <v>8.0190707739111753E-4</v>
      </c>
      <c r="Y136" s="6">
        <f t="shared" si="28"/>
        <v>3.4823680680593045</v>
      </c>
      <c r="Z136" s="44">
        <f t="shared" si="18"/>
        <v>77.652729264007462</v>
      </c>
      <c r="AA136" s="6"/>
      <c r="AB136" s="6"/>
      <c r="AC136" s="6"/>
      <c r="AD136" s="6"/>
      <c r="AE136" s="6"/>
      <c r="AF136" s="6"/>
    </row>
    <row r="137" spans="1:32" x14ac:dyDescent="0.2">
      <c r="A137" s="271">
        <f>'Berekening trap 1'!A137</f>
        <v>10.82054281563793</v>
      </c>
      <c r="B137" s="6">
        <f t="shared" si="19"/>
        <v>10.576100417213187</v>
      </c>
      <c r="C137" s="168">
        <f t="shared" si="15"/>
        <v>8.5290450671300366</v>
      </c>
      <c r="D137" s="200">
        <f t="shared" si="22"/>
        <v>5.8332216090144919E-2</v>
      </c>
      <c r="E137" s="197">
        <f t="shared" si="12"/>
        <v>6.1051517447504908E-2</v>
      </c>
      <c r="F137" s="43">
        <f t="shared" si="23"/>
        <v>5.8332216090144919E-2</v>
      </c>
      <c r="G137" s="155">
        <f t="shared" si="23"/>
        <v>6.1051517447504908E-2</v>
      </c>
      <c r="H137" s="170">
        <f t="shared" si="20"/>
        <v>6.1051517447504908E-2</v>
      </c>
      <c r="I137" s="179">
        <f t="shared" si="9"/>
        <v>6.1051517447504908E-2</v>
      </c>
      <c r="J137" s="314">
        <f>IF(INVOER!$T$36=1,100-H137*100,100-I137*100)</f>
        <v>93.894848255249514</v>
      </c>
      <c r="K137" s="406">
        <f>IF(AND('Berekening trap 1'!$B$64=1,INVOER!$C$20=1),'Berekening trap 1'!U137,'Berekening trap 1'!V137)</f>
        <v>1.6453688976809568E-2</v>
      </c>
      <c r="L137" s="381">
        <f t="shared" si="24"/>
        <v>2.0453766012064767</v>
      </c>
      <c r="M137" s="381">
        <f t="shared" si="29"/>
        <v>90.553723321257493</v>
      </c>
      <c r="N137" s="372">
        <f>'Berekening trap 2'!H137*$L137</f>
        <v>0.12487334525527551</v>
      </c>
      <c r="O137" s="373">
        <f>'Berekening trap 2'!I137*$L137</f>
        <v>0.12487334525527551</v>
      </c>
      <c r="Q137" s="396">
        <f t="shared" si="25"/>
        <v>99.75532441491417</v>
      </c>
      <c r="R137" s="6">
        <f t="shared" si="10"/>
        <v>10.576100417213187</v>
      </c>
      <c r="S137" s="380">
        <f>1/100*'Berekening trap 1'!T137*INVOER!$W$19*1000</f>
        <v>0.37946958363145228</v>
      </c>
      <c r="T137" s="380">
        <f t="shared" si="26"/>
        <v>0.41088304357945343</v>
      </c>
      <c r="U137" s="44">
        <f t="shared" si="16"/>
        <v>98.571568652031715</v>
      </c>
      <c r="V137" s="380">
        <f t="shared" si="27"/>
        <v>2.0453766012064767</v>
      </c>
      <c r="W137" s="44">
        <f t="shared" si="21"/>
        <v>90.553723321257493</v>
      </c>
      <c r="X137" s="145">
        <f>IF(AND(INVOER!$T$36=1,INVOER!E80=1),1/100*N137*INVOER!$W$20*1000,1/100*O137*INVOER!$W$20*1000)</f>
        <v>9.2846942397301763E-4</v>
      </c>
      <c r="Y137" s="6">
        <f t="shared" si="28"/>
        <v>4.0319787234351532</v>
      </c>
      <c r="Z137" s="44">
        <f t="shared" si="18"/>
        <v>73.620750540572303</v>
      </c>
      <c r="AA137" s="6"/>
      <c r="AB137" s="6"/>
      <c r="AC137" s="6"/>
      <c r="AD137" s="6"/>
      <c r="AE137" s="6"/>
      <c r="AF137" s="6"/>
    </row>
    <row r="138" spans="1:32" x14ac:dyDescent="0.2">
      <c r="A138" s="271">
        <f>'Berekening trap 1'!A138</f>
        <v>11.332561202871064</v>
      </c>
      <c r="B138" s="6">
        <f t="shared" si="19"/>
        <v>11.076552009254497</v>
      </c>
      <c r="C138" s="168">
        <f t="shared" si="15"/>
        <v>8.932631834847399</v>
      </c>
      <c r="D138" s="200">
        <f t="shared" si="22"/>
        <v>5.2525541178952542E-2</v>
      </c>
      <c r="E138" s="197">
        <f t="shared" si="12"/>
        <v>5.5692966349075272E-2</v>
      </c>
      <c r="F138" s="43">
        <f t="shared" si="23"/>
        <v>5.2525541178952542E-2</v>
      </c>
      <c r="G138" s="155">
        <f t="shared" si="23"/>
        <v>5.5692966349075272E-2</v>
      </c>
      <c r="H138" s="170">
        <f t="shared" si="20"/>
        <v>5.5692966349075272E-2</v>
      </c>
      <c r="I138" s="179">
        <f t="shared" si="9"/>
        <v>5.5692966349075272E-2</v>
      </c>
      <c r="J138" s="314">
        <f>IF(INVOER!$T$36=1,100-H138*100,100-I138*100)</f>
        <v>94.430703365092469</v>
      </c>
      <c r="K138" s="406">
        <f>IF(AND('Berekening trap 1'!$B$64=1,INVOER!$C$20=1),'Berekening trap 1'!U138,'Berekening trap 1'!V138)</f>
        <v>2.0720468412710094E-2</v>
      </c>
      <c r="L138" s="380">
        <f t="shared" si="24"/>
        <v>2.5757847566663439</v>
      </c>
      <c r="M138" s="380">
        <f t="shared" si="29"/>
        <v>87.977938564591156</v>
      </c>
      <c r="N138" s="375">
        <f>'Berekening trap 2'!H138*$L138</f>
        <v>0.14345309377547974</v>
      </c>
      <c r="O138" s="376">
        <f>'Berekening trap 2'!I138*$L138</f>
        <v>0.14345309377547974</v>
      </c>
      <c r="Q138" s="396">
        <f t="shared" si="25"/>
        <v>99.799184320041164</v>
      </c>
      <c r="R138" s="6">
        <f t="shared" si="10"/>
        <v>11.076552009254497</v>
      </c>
      <c r="S138" s="380">
        <f>1/100*'Berekening trap 1'!T138*INVOER!$W$19*1000</f>
        <v>0.53114140589554837</v>
      </c>
      <c r="T138" s="380">
        <f t="shared" si="26"/>
        <v>0.57511064612068741</v>
      </c>
      <c r="U138" s="44">
        <f t="shared" si="16"/>
        <v>97.996458005911023</v>
      </c>
      <c r="V138" s="380">
        <f t="shared" si="27"/>
        <v>2.5757847566663439</v>
      </c>
      <c r="W138" s="44">
        <f t="shared" si="21"/>
        <v>87.977938564591156</v>
      </c>
      <c r="X138" s="145">
        <f>IF(AND(INVOER!$T$36=1,INVOER!E81=1),1/100*N138*INVOER!$W$20*1000,1/100*O138*INVOER!$W$20*1000)</f>
        <v>1.0666152257920712E-3</v>
      </c>
      <c r="Y138" s="6">
        <f t="shared" si="28"/>
        <v>4.6318917838812883</v>
      </c>
      <c r="Z138" s="44">
        <f t="shared" si="18"/>
        <v>68.988858756691016</v>
      </c>
      <c r="AA138" s="6"/>
      <c r="AB138" s="6"/>
      <c r="AC138" s="6"/>
      <c r="AD138" s="6"/>
      <c r="AE138" s="6"/>
      <c r="AF138" s="6"/>
    </row>
    <row r="139" spans="1:32" x14ac:dyDescent="0.2">
      <c r="A139" s="271">
        <f>'Berekening trap 1'!A139</f>
        <v>11.868807841249414</v>
      </c>
      <c r="B139" s="6">
        <f t="shared" si="19"/>
        <v>11.600684522060238</v>
      </c>
      <c r="C139" s="168">
        <f t="shared" si="15"/>
        <v>9.355315966665259</v>
      </c>
      <c r="D139" s="200">
        <f t="shared" si="22"/>
        <v>4.7129135520481306E-2</v>
      </c>
      <c r="E139" s="197">
        <f t="shared" si="12"/>
        <v>5.0648982977712288E-2</v>
      </c>
      <c r="F139" s="43">
        <f t="shared" ref="F139:G175" si="30">D139^($B$54*$B$63)</f>
        <v>4.7129135520481306E-2</v>
      </c>
      <c r="G139" s="155">
        <f t="shared" si="30"/>
        <v>5.0648982977712288E-2</v>
      </c>
      <c r="H139" s="170">
        <f t="shared" si="20"/>
        <v>5.0648982977712288E-2</v>
      </c>
      <c r="I139" s="179">
        <f t="shared" si="9"/>
        <v>5.0648982977712288E-2</v>
      </c>
      <c r="J139" s="314">
        <f>IF(INVOER!$T$36=1,100-H139*100,100-I139*100)</f>
        <v>94.935101702228778</v>
      </c>
      <c r="K139" s="406">
        <f>IF(AND('Berekening trap 1'!$B$64=1,INVOER!$C$20=1),'Berekening trap 1'!U139,'Berekening trap 1'!V139)</f>
        <v>2.5948877078939954E-2</v>
      </c>
      <c r="L139" s="380">
        <f t="shared" si="24"/>
        <v>3.225734124405355</v>
      </c>
      <c r="M139" s="380">
        <f t="shared" si="29"/>
        <v>84.752204440185807</v>
      </c>
      <c r="N139" s="375">
        <f>'Berekening trap 2'!H139*$L139</f>
        <v>0.16338015275763249</v>
      </c>
      <c r="O139" s="376">
        <f>'Berekening trap 2'!I139*$L139</f>
        <v>0.16338015275763249</v>
      </c>
      <c r="Q139" s="396">
        <f t="shared" si="25"/>
        <v>99.836266726082073</v>
      </c>
      <c r="R139" s="6">
        <f t="shared" si="10"/>
        <v>11.600684522060238</v>
      </c>
      <c r="S139" s="380">
        <f>1/100*'Berekening trap 1'!T139*INVOER!$W$19*1000</f>
        <v>0.74192535295187745</v>
      </c>
      <c r="T139" s="380">
        <f t="shared" si="26"/>
        <v>0.80334382590647413</v>
      </c>
      <c r="U139" s="44">
        <f t="shared" si="16"/>
        <v>97.193114180004542</v>
      </c>
      <c r="V139" s="380">
        <f t="shared" si="27"/>
        <v>3.225734124405355</v>
      </c>
      <c r="W139" s="44">
        <f t="shared" si="21"/>
        <v>84.752204440185807</v>
      </c>
      <c r="X139" s="145">
        <f>IF(AND(INVOER!$T$36=1,INVOER!E82=1),1/100*N139*INVOER!$W$20*1000,1/100*O139*INVOER!$W$20*1000)</f>
        <v>1.2147786704152068E-3</v>
      </c>
      <c r="Y139" s="6">
        <f t="shared" si="28"/>
        <v>5.2753075398412888</v>
      </c>
      <c r="Z139" s="44">
        <f t="shared" si="18"/>
        <v>63.71355121684973</v>
      </c>
      <c r="AA139" s="6"/>
      <c r="AB139" s="6"/>
      <c r="AC139" s="6"/>
      <c r="AD139" s="6"/>
      <c r="AE139" s="6"/>
      <c r="AF139" s="6"/>
    </row>
    <row r="140" spans="1:32" x14ac:dyDescent="0.2">
      <c r="A140" s="271">
        <f>'Berekening trap 1'!A140</f>
        <v>12.430429189900602</v>
      </c>
      <c r="B140" s="6">
        <f t="shared" si="19"/>
        <v>12.149618515575007</v>
      </c>
      <c r="C140" s="168">
        <f t="shared" si="15"/>
        <v>9.798001132735271</v>
      </c>
      <c r="D140" s="200">
        <f t="shared" si="22"/>
        <v>4.2131919788220798E-2</v>
      </c>
      <c r="E140" s="197">
        <f t="shared" si="12"/>
        <v>4.5915924172928835E-2</v>
      </c>
      <c r="F140" s="43">
        <f t="shared" si="30"/>
        <v>4.2131919788220798E-2</v>
      </c>
      <c r="G140" s="155">
        <f t="shared" si="30"/>
        <v>4.5915924172928835E-2</v>
      </c>
      <c r="H140" s="170">
        <f t="shared" si="20"/>
        <v>4.5915924172928835E-2</v>
      </c>
      <c r="I140" s="179">
        <f t="shared" si="9"/>
        <v>4.5915924172928835E-2</v>
      </c>
      <c r="J140" s="314">
        <f>IF(INVOER!$T$36=1,100-H140*100,100-I140*100)</f>
        <v>95.408407582707113</v>
      </c>
      <c r="K140" s="406">
        <f>IF(AND('Berekening trap 1'!$B$64=1,INVOER!$C$20=1),'Berekening trap 1'!U140,'Berekening trap 1'!V140)</f>
        <v>3.2285710113003491E-2</v>
      </c>
      <c r="L140" s="380">
        <f t="shared" ref="L140:L171" si="31">100*K140/$K$187</f>
        <v>4.0134729732369943</v>
      </c>
      <c r="M140" s="380">
        <f t="shared" si="29"/>
        <v>80.738731466948806</v>
      </c>
      <c r="N140" s="375">
        <f>'Berekening trap 2'!H140*$L140</f>
        <v>0.18428232070924908</v>
      </c>
      <c r="O140" s="376">
        <f>'Berekening trap 2'!I140*$L140</f>
        <v>0.18428232070924908</v>
      </c>
      <c r="Q140" s="396">
        <f t="shared" ref="Q140:Q171" si="32">IF(S140=0,100,100*(S140-X140)/S140)</f>
        <v>99.867409193529454</v>
      </c>
      <c r="R140" s="6">
        <f t="shared" si="10"/>
        <v>12.149618515575007</v>
      </c>
      <c r="S140" s="380">
        <f>1/100*'Berekening trap 1'!T140*INVOER!$W$19*1000</f>
        <v>1.0333991990941258</v>
      </c>
      <c r="T140" s="380">
        <f t="shared" ref="T140:T171" si="33">100*S140/$S$187</f>
        <v>1.1189466204193832</v>
      </c>
      <c r="U140" s="44">
        <f t="shared" si="16"/>
        <v>96.074167559585163</v>
      </c>
      <c r="V140" s="380">
        <f t="shared" ref="V140:V171" si="34">L140</f>
        <v>4.0134729732369943</v>
      </c>
      <c r="W140" s="44">
        <f t="shared" si="21"/>
        <v>80.738731466948806</v>
      </c>
      <c r="X140" s="145">
        <f>IF(AND(INVOER!$T$36=1,INVOER!E83=1),1/100*N140*INVOER!$W$20*1000,1/100*O140*INVOER!$W$20*1000)</f>
        <v>1.3701923321390232E-3</v>
      </c>
      <c r="Y140" s="6">
        <f t="shared" ref="Y140:Y171" si="35">100*X140/$X$187</f>
        <v>5.9502081463902741</v>
      </c>
      <c r="Z140" s="44">
        <f t="shared" si="18"/>
        <v>57.763343070459456</v>
      </c>
      <c r="AA140" s="6"/>
      <c r="AB140" s="6"/>
      <c r="AC140" s="6"/>
      <c r="AD140" s="6"/>
      <c r="AE140" s="6"/>
      <c r="AF140" s="6"/>
    </row>
    <row r="141" spans="1:32" x14ac:dyDescent="0.2">
      <c r="A141" s="271">
        <f>'Berekening trap 1'!A141</f>
        <v>13.018625957370567</v>
      </c>
      <c r="B141" s="46">
        <f t="shared" si="19"/>
        <v>12.724527573635584</v>
      </c>
      <c r="C141" s="182">
        <f t="shared" si="15"/>
        <v>10.261633764070668</v>
      </c>
      <c r="D141" s="201">
        <f t="shared" si="22"/>
        <v>3.7521480029884605E-2</v>
      </c>
      <c r="E141" s="167">
        <f t="shared" si="12"/>
        <v>4.1488946665281176E-2</v>
      </c>
      <c r="F141" s="45">
        <f t="shared" si="30"/>
        <v>3.7521480029884605E-2</v>
      </c>
      <c r="G141" s="183">
        <f t="shared" si="30"/>
        <v>4.1488946665281176E-2</v>
      </c>
      <c r="H141" s="171">
        <f t="shared" si="20"/>
        <v>4.1488946665281176E-2</v>
      </c>
      <c r="I141" s="235">
        <f t="shared" ref="I141:I185" si="36">IF(C141&lt;$K$41,F141,G141)</f>
        <v>4.1488946665281176E-2</v>
      </c>
      <c r="J141" s="314">
        <f>IF(INVOER!$T$36=1,100-H141*100,100-I141*100)</f>
        <v>95.851105333471878</v>
      </c>
      <c r="K141" s="406">
        <f>IF(AND('Berekening trap 1'!$B$64=1,INVOER!$C$20=1),'Berekening trap 1'!U141,'Berekening trap 1'!V141)</f>
        <v>3.9858175127713003E-2</v>
      </c>
      <c r="L141" s="377">
        <f t="shared" si="31"/>
        <v>4.9548146247275264</v>
      </c>
      <c r="M141" s="377">
        <f t="shared" ref="M141:M172" si="37">M140-L141</f>
        <v>75.783916842221274</v>
      </c>
      <c r="N141" s="378">
        <f>'Berekening trap 2'!H141*$L141</f>
        <v>0.20557003970167551</v>
      </c>
      <c r="O141" s="379">
        <f>'Berekening trap 2'!I141*$L141</f>
        <v>0.20557003970167551</v>
      </c>
      <c r="Q141" s="396">
        <f t="shared" si="32"/>
        <v>99.893382461822483</v>
      </c>
      <c r="R141" s="6">
        <f t="shared" ref="R141:R186" si="38">B141</f>
        <v>12.724527573635584</v>
      </c>
      <c r="S141" s="380">
        <f>1/100*'Berekening trap 1'!T141*INVOER!$W$19*1000</f>
        <v>1.4336034234561359</v>
      </c>
      <c r="T141" s="380">
        <f t="shared" si="33"/>
        <v>1.5522807711715589</v>
      </c>
      <c r="U141" s="44">
        <f t="shared" si="16"/>
        <v>94.52188678841361</v>
      </c>
      <c r="V141" s="380">
        <f t="shared" si="34"/>
        <v>4.9548146247275264</v>
      </c>
      <c r="W141" s="44">
        <f t="shared" si="21"/>
        <v>75.783916842221274</v>
      </c>
      <c r="X141" s="145">
        <f>IF(AND(INVOER!$T$36=1,INVOER!E84=1),1/100*N141*INVOER!$W$20*1000,1/100*O141*INVOER!$W$20*1000)</f>
        <v>1.5284726773175121E-3</v>
      </c>
      <c r="Y141" s="6">
        <f t="shared" si="35"/>
        <v>6.6375576353662131</v>
      </c>
      <c r="Z141" s="44">
        <f t="shared" si="18"/>
        <v>51.125785435093242</v>
      </c>
      <c r="AA141" s="6"/>
      <c r="AB141" s="6"/>
      <c r="AC141" s="6"/>
      <c r="AD141" s="6"/>
      <c r="AE141" s="6"/>
      <c r="AF141" s="6"/>
    </row>
    <row r="142" spans="1:32" x14ac:dyDescent="0.2">
      <c r="A142" s="270">
        <f>'Berekening trap 1'!A142</f>
        <v>13.634655668657405</v>
      </c>
      <c r="B142" s="6">
        <f t="shared" si="19"/>
        <v>13.326640813013986</v>
      </c>
      <c r="C142" s="168">
        <f t="shared" si="15"/>
        <v>10.747205075951918</v>
      </c>
      <c r="D142" s="200">
        <f t="shared" si="22"/>
        <v>3.3284174150585516E-2</v>
      </c>
      <c r="E142" s="197">
        <f t="shared" ref="E142:E185" si="39">IF(C142-$K$36&gt;0,EXP(-(((C142-$K$36)/$K$38)^$K$40)),1)</f>
        <v>3.7362050255311065E-2</v>
      </c>
      <c r="F142" s="43">
        <f t="shared" si="30"/>
        <v>3.3284174150585516E-2</v>
      </c>
      <c r="G142" s="155">
        <f t="shared" si="30"/>
        <v>3.7362050255311065E-2</v>
      </c>
      <c r="H142" s="170">
        <f t="shared" si="20"/>
        <v>3.7362050255311065E-2</v>
      </c>
      <c r="I142" s="179">
        <f t="shared" si="36"/>
        <v>3.7362050255311065E-2</v>
      </c>
      <c r="J142" s="313">
        <f>IF(INVOER!$T$36=1,100-H142*100,100-I142*100)</f>
        <v>96.263794974468894</v>
      </c>
      <c r="K142" s="405">
        <f>IF(AND('Berekening trap 1'!$B$64=1,INVOER!$C$20=1),'Berekening trap 1'!U142,'Berekening trap 1'!V142)</f>
        <v>4.8738879690801505E-2</v>
      </c>
      <c r="L142" s="380">
        <f t="shared" si="31"/>
        <v>6.0587850073675753</v>
      </c>
      <c r="M142" s="380">
        <f t="shared" si="37"/>
        <v>69.725131834853698</v>
      </c>
      <c r="N142" s="375">
        <f>'Berekening trap 2'!H142*$L142</f>
        <v>0.22636862993139256</v>
      </c>
      <c r="O142" s="376">
        <f>'Berekening trap 2'!I142*$L142</f>
        <v>0.22636862993139256</v>
      </c>
      <c r="Q142" s="396">
        <f t="shared" si="32"/>
        <v>99.914889916254921</v>
      </c>
      <c r="R142" s="6">
        <f t="shared" si="38"/>
        <v>13.326640813013986</v>
      </c>
      <c r="S142" s="380">
        <f>1/100*'Berekening trap 1'!T142*INVOER!$W$19*1000</f>
        <v>1.9775755523577785</v>
      </c>
      <c r="T142" s="380">
        <f t="shared" si="33"/>
        <v>2.1412843002727944</v>
      </c>
      <c r="U142" s="44">
        <f t="shared" ref="U142:U186" si="40">U141-T142</f>
        <v>92.380602488140809</v>
      </c>
      <c r="V142" s="380">
        <f t="shared" si="34"/>
        <v>6.0587850073675753</v>
      </c>
      <c r="W142" s="44">
        <f t="shared" si="21"/>
        <v>69.725131834853698</v>
      </c>
      <c r="X142" s="145">
        <f>IF(AND(INVOER!$T$36=1,INVOER!E85=1),1/100*N142*INVOER!$W$20*1000,1/100*O142*INVOER!$W$20*1000)</f>
        <v>1.6831162087337604E-3</v>
      </c>
      <c r="Y142" s="6">
        <f t="shared" si="35"/>
        <v>7.3091138679011349</v>
      </c>
      <c r="Z142" s="44">
        <f t="shared" ref="Z142:Z186" si="41">Z141-Y142</f>
        <v>43.81667156719211</v>
      </c>
      <c r="AA142" s="6"/>
      <c r="AB142" s="6"/>
      <c r="AC142" s="6"/>
      <c r="AD142" s="6"/>
      <c r="AE142" s="6"/>
      <c r="AF142" s="6"/>
    </row>
    <row r="143" spans="1:32" x14ac:dyDescent="0.2">
      <c r="A143" s="271">
        <f>'Berekening trap 1'!A143</f>
        <v>14.279835353714962</v>
      </c>
      <c r="B143" s="6">
        <f t="shared" si="19"/>
        <v>13.957245511186184</v>
      </c>
      <c r="C143" s="168">
        <f t="shared" ref="C143:C185" si="42">B143/$B$51</f>
        <v>11.255753187078101</v>
      </c>
      <c r="D143" s="200">
        <f t="shared" si="22"/>
        <v>2.940525216287105E-2</v>
      </c>
      <c r="E143" s="197">
        <f t="shared" si="39"/>
        <v>3.3528132578582788E-2</v>
      </c>
      <c r="F143" s="43">
        <f t="shared" si="30"/>
        <v>2.940525216287105E-2</v>
      </c>
      <c r="G143" s="155">
        <f t="shared" si="30"/>
        <v>3.3528132578582788E-2</v>
      </c>
      <c r="H143" s="170">
        <f t="shared" si="20"/>
        <v>3.3528132578582788E-2</v>
      </c>
      <c r="I143" s="179">
        <f t="shared" si="36"/>
        <v>3.3528132578582788E-2</v>
      </c>
      <c r="J143" s="314">
        <f>IF(INVOER!$T$36=1,100-H143*100,100-I143*100)</f>
        <v>96.647186742141727</v>
      </c>
      <c r="K143" s="406">
        <f>IF(AND('Berekening trap 1'!$B$64=1,INVOER!$C$20=1),'Berekening trap 1'!U143,'Berekening trap 1'!V143)</f>
        <v>5.8888521095948602E-2</v>
      </c>
      <c r="L143" s="380">
        <f t="shared" si="31"/>
        <v>7.3204983574852287</v>
      </c>
      <c r="M143" s="380">
        <f t="shared" si="37"/>
        <v>62.404633477368471</v>
      </c>
      <c r="N143" s="375">
        <f>'Berekening trap 2'!H143*$L143</f>
        <v>0.24544263947106229</v>
      </c>
      <c r="O143" s="376">
        <f>'Berekening trap 2'!I143*$L143</f>
        <v>0.24544263947106229</v>
      </c>
      <c r="Q143" s="396">
        <f t="shared" si="32"/>
        <v>99.932568085592621</v>
      </c>
      <c r="R143" s="6">
        <f t="shared" si="38"/>
        <v>13.957245511186184</v>
      </c>
      <c r="S143" s="380">
        <f>1/100*'Berekening trap 1'!T143*INVOER!$W$19*1000</f>
        <v>2.7063401657296473</v>
      </c>
      <c r="T143" s="380">
        <f t="shared" si="33"/>
        <v>2.9303779070111298</v>
      </c>
      <c r="U143" s="44">
        <f t="shared" si="40"/>
        <v>89.450224581129675</v>
      </c>
      <c r="V143" s="380">
        <f t="shared" si="34"/>
        <v>7.3204983574852287</v>
      </c>
      <c r="W143" s="44">
        <f t="shared" si="21"/>
        <v>62.404633477368471</v>
      </c>
      <c r="X143" s="145">
        <f>IF(AND(INVOER!$T$36=1,INVOER!E86=1),1/100*N143*INVOER!$W$20*1000,1/100*O143*INVOER!$W$20*1000)</f>
        <v>1.824936984127818E-3</v>
      </c>
      <c r="Y143" s="6">
        <f t="shared" si="35"/>
        <v>7.9249858978954517</v>
      </c>
      <c r="Z143" s="44">
        <f t="shared" si="41"/>
        <v>35.891685669296656</v>
      </c>
      <c r="AA143" s="6"/>
      <c r="AB143" s="6"/>
      <c r="AC143" s="6"/>
      <c r="AD143" s="6"/>
      <c r="AE143" s="6"/>
      <c r="AF143" s="6"/>
    </row>
    <row r="144" spans="1:32" x14ac:dyDescent="0.2">
      <c r="A144" s="271">
        <f>'Berekening trap 1'!A144</f>
        <v>14.955544363174001</v>
      </c>
      <c r="B144" s="6">
        <f t="shared" ref="B144:B174" si="43">(A143+A144)/2</f>
        <v>14.617689858444482</v>
      </c>
      <c r="C144" s="168">
        <f t="shared" si="42"/>
        <v>11.788365338994639</v>
      </c>
      <c r="D144" s="200">
        <f t="shared" si="22"/>
        <v>2.5868988708834386E-2</v>
      </c>
      <c r="E144" s="197">
        <f t="shared" si="39"/>
        <v>2.9979055040514447E-2</v>
      </c>
      <c r="F144" s="43">
        <f t="shared" si="30"/>
        <v>2.5868988708834386E-2</v>
      </c>
      <c r="G144" s="155">
        <f t="shared" si="30"/>
        <v>2.9979055040514447E-2</v>
      </c>
      <c r="H144" s="170">
        <f t="shared" si="20"/>
        <v>2.9979055040514447E-2</v>
      </c>
      <c r="I144" s="179">
        <f t="shared" si="36"/>
        <v>2.9979055040514447E-2</v>
      </c>
      <c r="J144" s="314">
        <f>IF(INVOER!$T$36=1,100-H144*100,100-I144*100)</f>
        <v>97.002094495948555</v>
      </c>
      <c r="K144" s="406">
        <f>IF(AND('Berekening trap 1'!$B$64=1,INVOER!$C$20=1),'Berekening trap 1'!U144,'Berekening trap 1'!V144)</f>
        <v>7.0068401449336778E-2</v>
      </c>
      <c r="L144" s="380">
        <f t="shared" si="31"/>
        <v>8.71028187116036</v>
      </c>
      <c r="M144" s="380">
        <f t="shared" si="37"/>
        <v>53.694351606208109</v>
      </c>
      <c r="N144" s="375">
        <f>'Berekening trap 2'!H144*$L144</f>
        <v>0.26112601963391158</v>
      </c>
      <c r="O144" s="376">
        <f>'Berekening trap 2'!I144*$L144</f>
        <v>0.26112601963391158</v>
      </c>
      <c r="Q144" s="396">
        <f t="shared" si="32"/>
        <v>99.946988078603482</v>
      </c>
      <c r="R144" s="6">
        <f t="shared" si="38"/>
        <v>14.617689858444482</v>
      </c>
      <c r="S144" s="380">
        <f>1/100*'Berekening trap 1'!T144*INVOER!$W$19*1000</f>
        <v>3.6624732677046836</v>
      </c>
      <c r="T144" s="380">
        <f t="shared" si="33"/>
        <v>3.9656621457292411</v>
      </c>
      <c r="U144" s="44">
        <f t="shared" si="40"/>
        <v>85.484562435400434</v>
      </c>
      <c r="V144" s="380">
        <f t="shared" si="34"/>
        <v>8.71028187116036</v>
      </c>
      <c r="W144" s="44">
        <f t="shared" si="21"/>
        <v>53.694351606208109</v>
      </c>
      <c r="X144" s="145">
        <f>IF(AND(INVOER!$T$36=1,INVOER!E87=1),1/100*N144*INVOER!$W$20*1000,1/100*O144*INVOER!$W$20*1000)</f>
        <v>1.9415474498439616E-3</v>
      </c>
      <c r="Y144" s="6">
        <f t="shared" si="35"/>
        <v>8.431379436075142</v>
      </c>
      <c r="Z144" s="44">
        <f t="shared" si="41"/>
        <v>27.460306233221516</v>
      </c>
      <c r="AA144" s="6"/>
      <c r="AB144" s="6"/>
      <c r="AC144" s="6"/>
      <c r="AD144" s="6"/>
      <c r="AE144" s="6"/>
      <c r="AF144" s="6"/>
    </row>
    <row r="145" spans="1:32" x14ac:dyDescent="0.2">
      <c r="A145" s="271">
        <f>'Berekening trap 1'!A145</f>
        <v>15.66322731730078</v>
      </c>
      <c r="B145" s="6">
        <f t="shared" si="43"/>
        <v>15.30938584023739</v>
      </c>
      <c r="C145" s="168">
        <f t="shared" si="42"/>
        <v>12.346180220542349</v>
      </c>
      <c r="D145" s="200">
        <f t="shared" si="22"/>
        <v>2.2658826076047939E-2</v>
      </c>
      <c r="E145" s="197">
        <f t="shared" si="39"/>
        <v>2.670571929948001E-2</v>
      </c>
      <c r="F145" s="43">
        <f t="shared" si="30"/>
        <v>2.2658826076047939E-2</v>
      </c>
      <c r="G145" s="155">
        <f t="shared" si="30"/>
        <v>2.670571929948001E-2</v>
      </c>
      <c r="H145" s="170">
        <f t="shared" ref="H145:H185" si="44">IF(C145&lt;$K$41,D145,E145)</f>
        <v>2.670571929948001E-2</v>
      </c>
      <c r="I145" s="179">
        <f t="shared" si="36"/>
        <v>2.670571929948001E-2</v>
      </c>
      <c r="J145" s="314">
        <f>IF(INVOER!$T$36=1,100-H145*100,100-I145*100)</f>
        <v>97.329428070052003</v>
      </c>
      <c r="K145" s="406">
        <f>IF(AND('Berekening trap 1'!$B$64=1,INVOER!$C$20=1),'Berekening trap 1'!U145,'Berekening trap 1'!V145)</f>
        <v>4.7185362642024449E-2</v>
      </c>
      <c r="L145" s="380">
        <f t="shared" si="31"/>
        <v>5.8656655539962097</v>
      </c>
      <c r="M145" s="380">
        <f t="shared" si="37"/>
        <v>47.8286860522119</v>
      </c>
      <c r="N145" s="375">
        <f>'Berekening trap 2'!H145*$L145</f>
        <v>0.15664681778965167</v>
      </c>
      <c r="O145" s="376">
        <f>'Berekening trap 2'!I145*$L145</f>
        <v>0.15664681778965167</v>
      </c>
      <c r="Q145" s="396">
        <f t="shared" si="32"/>
        <v>99.958657850450223</v>
      </c>
      <c r="R145" s="6">
        <f t="shared" si="38"/>
        <v>15.30938584023739</v>
      </c>
      <c r="S145" s="380">
        <f>1/100*'Berekening trap 1'!T145*INVOER!$W$19*1000</f>
        <v>2.8172564584694118</v>
      </c>
      <c r="T145" s="380">
        <f t="shared" si="33"/>
        <v>3.0504761333494121</v>
      </c>
      <c r="U145" s="44">
        <f t="shared" si="40"/>
        <v>82.434086302051028</v>
      </c>
      <c r="V145" s="380">
        <f t="shared" si="34"/>
        <v>5.8656655539962097</v>
      </c>
      <c r="W145" s="44">
        <f t="shared" si="21"/>
        <v>47.8286860522119</v>
      </c>
      <c r="X145" s="145">
        <f>IF(AND(INVOER!$T$36=1,INVOER!E88=1),1/100*N145*INVOER!$W$20*1000,1/100*O145*INVOER!$W$20*1000)</f>
        <v>1.1647143782609576E-3</v>
      </c>
      <c r="Y145" s="6">
        <f t="shared" si="35"/>
        <v>5.0578979455586879</v>
      </c>
      <c r="Z145" s="44">
        <f t="shared" si="41"/>
        <v>22.40240828766283</v>
      </c>
      <c r="AA145" s="6"/>
      <c r="AB145" s="6"/>
      <c r="AC145" s="6"/>
      <c r="AD145" s="6"/>
      <c r="AE145" s="6"/>
      <c r="AF145" s="6"/>
    </row>
    <row r="146" spans="1:32" x14ac:dyDescent="0.2">
      <c r="A146" s="272">
        <f>'Berekening trap 1'!A146</f>
        <v>16.404397194497694</v>
      </c>
      <c r="B146" s="46">
        <f t="shared" si="43"/>
        <v>16.033812255899235</v>
      </c>
      <c r="C146" s="182">
        <f t="shared" si="42"/>
        <v>12.930390402297361</v>
      </c>
      <c r="D146" s="201">
        <f t="shared" si="22"/>
        <v>1.9757525671202134E-2</v>
      </c>
      <c r="E146" s="167">
        <f t="shared" si="39"/>
        <v>2.3698153472058111E-2</v>
      </c>
      <c r="F146" s="45">
        <f t="shared" si="30"/>
        <v>1.9757525671202134E-2</v>
      </c>
      <c r="G146" s="183">
        <f t="shared" si="30"/>
        <v>2.3698153472058111E-2</v>
      </c>
      <c r="H146" s="171">
        <f t="shared" si="44"/>
        <v>2.3698153472058111E-2</v>
      </c>
      <c r="I146" s="235">
        <f t="shared" si="36"/>
        <v>2.3698153472058111E-2</v>
      </c>
      <c r="J146" s="315">
        <f>IF(INVOER!$T$36=1,100-H146*100,100-I146*100)</f>
        <v>97.630184652794185</v>
      </c>
      <c r="K146" s="407">
        <f>IF(AND('Berekening trap 1'!$B$64=1,INVOER!$C$20=1),'Berekening trap 1'!U146,'Berekening trap 1'!V146)</f>
        <v>4.6346413571512896E-2</v>
      </c>
      <c r="L146" s="380">
        <f t="shared" si="31"/>
        <v>5.7613748505043176</v>
      </c>
      <c r="M146" s="380">
        <f t="shared" si="37"/>
        <v>42.067311201707582</v>
      </c>
      <c r="N146" s="375">
        <f>'Berekening trap 2'!H146*$L146</f>
        <v>0.13653394541730718</v>
      </c>
      <c r="O146" s="376">
        <f>'Berekening trap 2'!I146*$L146</f>
        <v>0.13653394541730718</v>
      </c>
      <c r="Q146" s="396">
        <f t="shared" si="32"/>
        <v>99.968025176821612</v>
      </c>
      <c r="R146" s="6">
        <f t="shared" si="38"/>
        <v>16.033812255899235</v>
      </c>
      <c r="S146" s="380">
        <f>1/100*'Berekening trap 1'!T146*INVOER!$W$19*1000</f>
        <v>3.1749021775583683</v>
      </c>
      <c r="T146" s="380">
        <f t="shared" si="33"/>
        <v>3.4377286772190518</v>
      </c>
      <c r="U146" s="44">
        <f t="shared" si="40"/>
        <v>78.996357624831973</v>
      </c>
      <c r="V146" s="380">
        <f t="shared" si="34"/>
        <v>5.7613748505043176</v>
      </c>
      <c r="W146" s="44">
        <f t="shared" si="21"/>
        <v>42.067311201707582</v>
      </c>
      <c r="X146" s="145">
        <f>IF(AND(INVOER!$T$36=1,INVOER!E89=1),1/100*N146*INVOER!$W$20*1000,1/100*O146*INVOER!$W$20*1000)</f>
        <v>1.0151693573614349E-3</v>
      </c>
      <c r="Y146" s="6">
        <f t="shared" si="35"/>
        <v>4.4084825454452385</v>
      </c>
      <c r="Z146" s="44">
        <f t="shared" si="41"/>
        <v>17.993925742217591</v>
      </c>
      <c r="AA146" s="6"/>
      <c r="AB146" s="6"/>
      <c r="AC146" s="6"/>
      <c r="AD146" s="6"/>
      <c r="AE146" s="6"/>
      <c r="AF146" s="6"/>
    </row>
    <row r="147" spans="1:32" x14ac:dyDescent="0.2">
      <c r="A147" s="271">
        <f>'Berekening trap 1'!A147</f>
        <v>17.18063856594901</v>
      </c>
      <c r="B147" s="6">
        <f t="shared" si="43"/>
        <v>16.79251788022335</v>
      </c>
      <c r="C147" s="168">
        <f t="shared" si="42"/>
        <v>13.542244886206518</v>
      </c>
      <c r="D147" s="200">
        <f t="shared" si="22"/>
        <v>1.7147325692293488E-2</v>
      </c>
      <c r="E147" s="197">
        <f t="shared" si="39"/>
        <v>2.0945607035566149E-2</v>
      </c>
      <c r="F147" s="43">
        <f t="shared" si="30"/>
        <v>1.7147325692293488E-2</v>
      </c>
      <c r="G147" s="155">
        <f t="shared" si="30"/>
        <v>2.0945607035566149E-2</v>
      </c>
      <c r="H147" s="170">
        <f t="shared" si="44"/>
        <v>2.0945607035566149E-2</v>
      </c>
      <c r="I147" s="179">
        <f t="shared" si="36"/>
        <v>2.0945607035566149E-2</v>
      </c>
      <c r="J147" s="314">
        <f>IF(INVOER!$T$36=1,100-H147*100,100-I147*100)</f>
        <v>97.90543929644339</v>
      </c>
      <c r="K147" s="406">
        <f>IF(AND('Berekening trap 1'!$B$64=1,INVOER!$C$20=1),'Berekening trap 1'!U147,'Berekening trap 1'!V147)</f>
        <v>4.6812372648969473E-2</v>
      </c>
      <c r="L147" s="381">
        <f t="shared" si="31"/>
        <v>5.8192987480261884</v>
      </c>
      <c r="M147" s="381">
        <f t="shared" si="37"/>
        <v>36.248012453681397</v>
      </c>
      <c r="N147" s="372">
        <f>'Berekening trap 2'!H147*$L147</f>
        <v>0.12188874479871861</v>
      </c>
      <c r="O147" s="373">
        <f>'Berekening trap 2'!I147*$L147</f>
        <v>0.12188874479871861</v>
      </c>
      <c r="Q147" s="396">
        <f t="shared" si="32"/>
        <v>99.975481205124311</v>
      </c>
      <c r="R147" s="6">
        <f t="shared" si="38"/>
        <v>16.79251788022335</v>
      </c>
      <c r="S147" s="380">
        <f>1/100*'Berekening trap 1'!T147*INVOER!$W$19*1000</f>
        <v>3.6962585693900252</v>
      </c>
      <c r="T147" s="380">
        <f t="shared" si="33"/>
        <v>4.0022442808555319</v>
      </c>
      <c r="U147" s="44">
        <f t="shared" si="40"/>
        <v>74.994113343976437</v>
      </c>
      <c r="V147" s="380">
        <f t="shared" si="34"/>
        <v>5.8192987480261884</v>
      </c>
      <c r="W147" s="44">
        <f t="shared" si="21"/>
        <v>36.248012453681397</v>
      </c>
      <c r="X147" s="145">
        <f>IF(AND(INVOER!$T$36=1,INVOER!E90=1),1/100*N147*INVOER!$W$20*1000,1/100*O147*INVOER!$W$20*1000)</f>
        <v>9.0627805670385304E-4</v>
      </c>
      <c r="Y147" s="6">
        <f t="shared" si="35"/>
        <v>3.9356103149954511</v>
      </c>
      <c r="Z147" s="44">
        <f t="shared" si="41"/>
        <v>14.058315427222141</v>
      </c>
      <c r="AA147" s="6"/>
      <c r="AB147" s="6"/>
      <c r="AC147" s="6"/>
      <c r="AD147" s="6"/>
      <c r="AE147" s="6"/>
      <c r="AF147" s="6"/>
    </row>
    <row r="148" spans="1:32" x14ac:dyDescent="0.2">
      <c r="A148" s="271">
        <f>'Berekening trap 1'!A148</f>
        <v>17.99361098332713</v>
      </c>
      <c r="B148" s="6">
        <f t="shared" si="43"/>
        <v>17.58712477463807</v>
      </c>
      <c r="C148" s="168">
        <f t="shared" si="42"/>
        <v>14.183051775869277</v>
      </c>
      <c r="D148" s="200">
        <f t="shared" si="22"/>
        <v>1.481010256085981E-2</v>
      </c>
      <c r="E148" s="197">
        <f t="shared" si="39"/>
        <v>1.8436653215690373E-2</v>
      </c>
      <c r="F148" s="43">
        <f t="shared" si="30"/>
        <v>1.481010256085981E-2</v>
      </c>
      <c r="G148" s="155">
        <f t="shared" si="30"/>
        <v>1.8436653215690373E-2</v>
      </c>
      <c r="H148" s="170">
        <f t="shared" si="44"/>
        <v>1.8436653215690373E-2</v>
      </c>
      <c r="I148" s="179">
        <f t="shared" si="36"/>
        <v>1.8436653215690373E-2</v>
      </c>
      <c r="J148" s="314">
        <f>IF(INVOER!$T$36=1,100-H148*100,100-I148*100)</f>
        <v>98.156334678430966</v>
      </c>
      <c r="K148" s="406">
        <f>IF(AND('Berekening trap 1'!$B$64=1,INVOER!$C$20=1),'Berekening trap 1'!U148,'Berekening trap 1'!V148)</f>
        <v>4.6572577692148259E-2</v>
      </c>
      <c r="L148" s="380">
        <f t="shared" si="31"/>
        <v>5.7894895669689355</v>
      </c>
      <c r="M148" s="380">
        <f t="shared" si="37"/>
        <v>30.458522886712462</v>
      </c>
      <c r="N148" s="375">
        <f>'Berekening trap 2'!H148*$L148</f>
        <v>0.10673881144206368</v>
      </c>
      <c r="O148" s="376">
        <f>'Berekening trap 2'!I148*$L148</f>
        <v>0.10673881144206368</v>
      </c>
      <c r="Q148" s="396">
        <f t="shared" si="32"/>
        <v>99.981364448154054</v>
      </c>
      <c r="R148" s="6">
        <f t="shared" si="38"/>
        <v>17.58712477463807</v>
      </c>
      <c r="S148" s="380">
        <f>1/100*'Berekening trap 1'!T148*INVOER!$W$19*1000</f>
        <v>4.2587089922346575</v>
      </c>
      <c r="T148" s="380">
        <f t="shared" si="33"/>
        <v>4.611255784200166</v>
      </c>
      <c r="U148" s="44">
        <f t="shared" si="40"/>
        <v>70.382857559776269</v>
      </c>
      <c r="V148" s="380">
        <f t="shared" si="34"/>
        <v>5.7894895669689355</v>
      </c>
      <c r="W148" s="44">
        <f t="shared" ref="W148:W186" si="45">W147-V148</f>
        <v>30.458522886712462</v>
      </c>
      <c r="X148" s="145">
        <f>IF(AND(INVOER!$T$36=1,INVOER!E91=1),1/100*N148*INVOER!$W$20*1000,1/100*O148*INVOER!$W$20*1000)</f>
        <v>7.9363392221600297E-4</v>
      </c>
      <c r="Y148" s="6">
        <f t="shared" si="35"/>
        <v>3.4464409984321751</v>
      </c>
      <c r="Z148" s="44">
        <f t="shared" si="41"/>
        <v>10.611874428789966</v>
      </c>
      <c r="AA148" s="6"/>
      <c r="AB148" s="6"/>
      <c r="AC148" s="6"/>
      <c r="AD148" s="6"/>
      <c r="AE148" s="6"/>
      <c r="AF148" s="6"/>
    </row>
    <row r="149" spans="1:32" x14ac:dyDescent="0.2">
      <c r="A149" s="271">
        <f>'Berekening trap 1'!A149</f>
        <v>18.845052526802082</v>
      </c>
      <c r="B149" s="6">
        <f t="shared" si="43"/>
        <v>18.419331755064604</v>
      </c>
      <c r="C149" s="168">
        <f t="shared" si="42"/>
        <v>14.854181073174912</v>
      </c>
      <c r="D149" s="200">
        <f t="shared" si="22"/>
        <v>1.2727533548244534E-2</v>
      </c>
      <c r="E149" s="197">
        <f t="shared" si="39"/>
        <v>1.6159297476831626E-2</v>
      </c>
      <c r="F149" s="43">
        <f t="shared" si="30"/>
        <v>1.2727533548244534E-2</v>
      </c>
      <c r="G149" s="155">
        <f t="shared" si="30"/>
        <v>1.6159297476831626E-2</v>
      </c>
      <c r="H149" s="170">
        <f t="shared" si="44"/>
        <v>1.6159297476831626E-2</v>
      </c>
      <c r="I149" s="179">
        <f t="shared" si="36"/>
        <v>1.6159297476831626E-2</v>
      </c>
      <c r="J149" s="314">
        <f>IF(INVOER!$T$36=1,100-H149*100,100-I149*100)</f>
        <v>98.384070252316832</v>
      </c>
      <c r="K149" s="406">
        <f>IF(AND('Berekening trap 1'!$B$64=1,INVOER!$C$20=1),'Berekening trap 1'!U149,'Berekening trap 1'!V149)</f>
        <v>4.552635805041557E-2</v>
      </c>
      <c r="L149" s="380">
        <f t="shared" si="31"/>
        <v>5.6594328254115425</v>
      </c>
      <c r="M149" s="380">
        <f t="shared" si="37"/>
        <v>24.79909006130092</v>
      </c>
      <c r="N149" s="375">
        <f>'Berekening trap 2'!H149*$L149</f>
        <v>9.1452458575970813E-2</v>
      </c>
      <c r="O149" s="376">
        <f>'Berekening trap 2'!I149*$L149</f>
        <v>9.1452458575970813E-2</v>
      </c>
      <c r="Q149" s="396">
        <f t="shared" si="32"/>
        <v>99.985965086338368</v>
      </c>
      <c r="R149" s="6">
        <f t="shared" si="38"/>
        <v>18.419331755064604</v>
      </c>
      <c r="S149" s="380">
        <f>1/100*'Berekening trap 1'!T149*INVOER!$W$19*1000</f>
        <v>4.8448853026708703</v>
      </c>
      <c r="T149" s="380">
        <f t="shared" si="33"/>
        <v>5.2459572646227004</v>
      </c>
      <c r="U149" s="44">
        <f t="shared" si="40"/>
        <v>65.136900295153566</v>
      </c>
      <c r="V149" s="380">
        <f t="shared" si="34"/>
        <v>5.6594328254115425</v>
      </c>
      <c r="W149" s="44">
        <f t="shared" si="45"/>
        <v>24.79909006130092</v>
      </c>
      <c r="X149" s="145">
        <f>IF(AND(INVOER!$T$36=1,INVOER!E92=1),1/100*N149*INVOER!$W$20*1000,1/100*O149*INVOER!$W$20*1000)</f>
        <v>6.799754692353823E-4</v>
      </c>
      <c r="Y149" s="6">
        <f t="shared" si="35"/>
        <v>2.95286689429481</v>
      </c>
      <c r="Z149" s="44">
        <f t="shared" si="41"/>
        <v>7.6590075344951556</v>
      </c>
      <c r="AA149" s="6"/>
      <c r="AB149" s="6"/>
      <c r="AC149" s="6"/>
      <c r="AD149" s="6"/>
      <c r="AE149" s="6"/>
      <c r="AF149" s="6"/>
    </row>
    <row r="150" spans="1:32" x14ac:dyDescent="0.2">
      <c r="A150" s="271">
        <f>'Berekening trap 1'!A150</f>
        <v>19.73678352093965</v>
      </c>
      <c r="B150" s="6">
        <f t="shared" si="43"/>
        <v>19.290918023870866</v>
      </c>
      <c r="C150" s="168">
        <f t="shared" si="42"/>
        <v>15.557067607274133</v>
      </c>
      <c r="D150" s="200">
        <f t="shared" si="22"/>
        <v>1.0881257961176258E-2</v>
      </c>
      <c r="E150" s="197">
        <f t="shared" si="39"/>
        <v>1.410109058540255E-2</v>
      </c>
      <c r="F150" s="43">
        <f t="shared" si="30"/>
        <v>1.0881257961176258E-2</v>
      </c>
      <c r="G150" s="155">
        <f t="shared" si="30"/>
        <v>1.410109058540255E-2</v>
      </c>
      <c r="H150" s="170">
        <f t="shared" si="44"/>
        <v>1.410109058540255E-2</v>
      </c>
      <c r="I150" s="179">
        <f t="shared" si="36"/>
        <v>1.410109058540255E-2</v>
      </c>
      <c r="J150" s="314">
        <f>IF(INVOER!$T$36=1,100-H150*100,100-I150*100)</f>
        <v>98.589890941459743</v>
      </c>
      <c r="K150" s="406">
        <f>IF(AND('Berekening trap 1'!$B$64=1,INVOER!$C$20=1),'Berekening trap 1'!U150,'Berekening trap 1'!V150)</f>
        <v>4.3598958918986012E-2</v>
      </c>
      <c r="L150" s="380">
        <f t="shared" si="31"/>
        <v>5.4198356694079211</v>
      </c>
      <c r="M150" s="380">
        <f t="shared" si="37"/>
        <v>19.379254391892999</v>
      </c>
      <c r="N150" s="375">
        <f>'Berekening trap 2'!H150*$L150</f>
        <v>7.6425593732316957E-2</v>
      </c>
      <c r="O150" s="376">
        <f>'Berekening trap 2'!I150*$L150</f>
        <v>7.6425593732316957E-2</v>
      </c>
      <c r="Q150" s="396">
        <f t="shared" si="32"/>
        <v>99.989529449615446</v>
      </c>
      <c r="R150" s="6">
        <f t="shared" si="38"/>
        <v>19.290918023870866</v>
      </c>
      <c r="S150" s="380">
        <f>1/100*'Berekening trap 1'!T150*INVOER!$W$19*1000</f>
        <v>5.4270918323502464</v>
      </c>
      <c r="T150" s="380">
        <f t="shared" si="33"/>
        <v>5.8763603357126541</v>
      </c>
      <c r="U150" s="44">
        <f t="shared" si="40"/>
        <v>59.260539959440912</v>
      </c>
      <c r="V150" s="380">
        <f t="shared" si="34"/>
        <v>5.4198356694079211</v>
      </c>
      <c r="W150" s="44">
        <f t="shared" si="45"/>
        <v>19.379254391892999</v>
      </c>
      <c r="X150" s="145">
        <f>IF(AND(INVOER!$T$36=1,INVOER!E93=1),1/100*N150*INVOER!$W$20*1000,1/100*O150*INVOER!$W$20*1000)</f>
        <v>5.6824638472190202E-4</v>
      </c>
      <c r="Y150" s="6">
        <f t="shared" si="35"/>
        <v>2.4676712810461265</v>
      </c>
      <c r="Z150" s="44">
        <f t="shared" si="41"/>
        <v>5.1913362534490286</v>
      </c>
      <c r="AA150" s="6"/>
      <c r="AB150" s="6"/>
      <c r="AC150" s="6"/>
      <c r="AD150" s="6"/>
      <c r="AE150" s="6"/>
      <c r="AF150" s="6"/>
    </row>
    <row r="151" spans="1:32" x14ac:dyDescent="0.2">
      <c r="A151" s="271">
        <f>'Berekening trap 1'!A151</f>
        <v>20.670710426432443</v>
      </c>
      <c r="B151" s="46">
        <f t="shared" si="43"/>
        <v>20.203746973686044</v>
      </c>
      <c r="C151" s="182">
        <f t="shared" si="42"/>
        <v>16.293214102146973</v>
      </c>
      <c r="D151" s="201">
        <f t="shared" si="22"/>
        <v>9.2530342475257328E-3</v>
      </c>
      <c r="E151" s="167">
        <f t="shared" si="39"/>
        <v>1.2249244597188029E-2</v>
      </c>
      <c r="F151" s="45">
        <f t="shared" si="30"/>
        <v>9.2530342475257328E-3</v>
      </c>
      <c r="G151" s="183">
        <f t="shared" si="30"/>
        <v>1.2249244597188029E-2</v>
      </c>
      <c r="H151" s="171">
        <f t="shared" si="44"/>
        <v>1.2249244597188029E-2</v>
      </c>
      <c r="I151" s="235">
        <f t="shared" si="36"/>
        <v>1.2249244597188029E-2</v>
      </c>
      <c r="J151" s="314">
        <f>IF(INVOER!$T$36=1,100-H151*100,100-I151*100)</f>
        <v>98.775075540281193</v>
      </c>
      <c r="K151" s="406">
        <f>IF(AND('Berekening trap 1'!$B$64=1,INVOER!$C$20=1),'Berekening trap 1'!U151,'Berekening trap 1'!V151)</f>
        <v>3.1664550751344882E-2</v>
      </c>
      <c r="L151" s="377">
        <f t="shared" si="31"/>
        <v>3.9362559536526582</v>
      </c>
      <c r="M151" s="377">
        <f t="shared" si="37"/>
        <v>15.442998438240341</v>
      </c>
      <c r="N151" s="378">
        <f>'Berekening trap 2'!H151*$L151</f>
        <v>4.8216161973429039E-2</v>
      </c>
      <c r="O151" s="379">
        <f>'Berekening trap 2'!I151*$L151</f>
        <v>4.8216161973429039E-2</v>
      </c>
      <c r="Q151" s="396">
        <f t="shared" si="32"/>
        <v>99.992264558818107</v>
      </c>
      <c r="R151" s="6">
        <f t="shared" si="38"/>
        <v>20.203746973686044</v>
      </c>
      <c r="S151" s="380">
        <f>1/100*'Berekening trap 1'!T151*INVOER!$W$19*1000</f>
        <v>4.6345269205184252</v>
      </c>
      <c r="T151" s="380">
        <f t="shared" si="33"/>
        <v>5.0181848790889205</v>
      </c>
      <c r="U151" s="44">
        <f t="shared" si="40"/>
        <v>54.242355080351992</v>
      </c>
      <c r="V151" s="380">
        <f t="shared" si="34"/>
        <v>3.9362559536526582</v>
      </c>
      <c r="W151" s="44">
        <f t="shared" si="45"/>
        <v>15.442998438240341</v>
      </c>
      <c r="X151" s="145">
        <f>IF(AND(INVOER!$T$36=1,INVOER!E94=1),1/100*N151*INVOER!$W$20*1000,1/100*O151*INVOER!$W$20*1000)</f>
        <v>3.5850110399575521E-4</v>
      </c>
      <c r="Y151" s="6">
        <f t="shared" si="35"/>
        <v>1.5568297526197323</v>
      </c>
      <c r="Z151" s="44">
        <f t="shared" si="41"/>
        <v>3.6345065008292963</v>
      </c>
      <c r="AA151" s="6"/>
      <c r="AB151" s="6"/>
      <c r="AC151" s="6"/>
      <c r="AD151" s="6"/>
      <c r="AE151" s="6"/>
      <c r="AF151" s="6"/>
    </row>
    <row r="152" spans="1:32" x14ac:dyDescent="0.2">
      <c r="A152" s="270">
        <f>'Berekening trap 1'!A152</f>
        <v>21.648829915984233</v>
      </c>
      <c r="B152" s="6">
        <f t="shared" si="43"/>
        <v>21.159770171208336</v>
      </c>
      <c r="C152" s="168">
        <f t="shared" si="42"/>
        <v>17.064194389325255</v>
      </c>
      <c r="D152" s="200">
        <f t="shared" si="22"/>
        <v>7.8248904464745077E-3</v>
      </c>
      <c r="E152" s="197">
        <f t="shared" si="39"/>
        <v>1.0590750033983725E-2</v>
      </c>
      <c r="F152" s="43">
        <f t="shared" si="30"/>
        <v>7.8248904464745077E-3</v>
      </c>
      <c r="G152" s="155">
        <f t="shared" si="30"/>
        <v>1.0590750033983725E-2</v>
      </c>
      <c r="H152" s="170">
        <f t="shared" si="44"/>
        <v>1.0590750033983725E-2</v>
      </c>
      <c r="I152" s="179">
        <f t="shared" si="36"/>
        <v>1.0590750033983725E-2</v>
      </c>
      <c r="J152" s="313">
        <f>IF(INVOER!$T$36=1,100-H152*100,100-I152*100)</f>
        <v>98.940924996601623</v>
      </c>
      <c r="K152" s="405">
        <f>IF(AND('Berekening trap 1'!$B$64=1,INVOER!$C$20=1),'Berekening trap 1'!U152,'Berekening trap 1'!V152)</f>
        <v>2.5231911317285766E-2</v>
      </c>
      <c r="L152" s="380">
        <f t="shared" si="31"/>
        <v>3.1366073033732724</v>
      </c>
      <c r="M152" s="380">
        <f t="shared" si="37"/>
        <v>12.306391134867068</v>
      </c>
      <c r="N152" s="375">
        <f>'Berekening trap 2'!H152*$L152</f>
        <v>3.3219023904794087E-2</v>
      </c>
      <c r="O152" s="376">
        <f>'Berekening trap 2'!I152*$L152</f>
        <v>3.3219023904794087E-2</v>
      </c>
      <c r="Q152" s="396">
        <f t="shared" si="32"/>
        <v>99.994342618450659</v>
      </c>
      <c r="R152" s="6">
        <f t="shared" si="38"/>
        <v>21.159770171208336</v>
      </c>
      <c r="S152" s="380">
        <f>1/100*'Berekening trap 1'!T152*INVOER!$W$19*1000</f>
        <v>4.3658544946093869</v>
      </c>
      <c r="T152" s="380">
        <f t="shared" si="33"/>
        <v>4.7272710645298153</v>
      </c>
      <c r="U152" s="44">
        <f t="shared" si="40"/>
        <v>49.515084015822175</v>
      </c>
      <c r="V152" s="380">
        <f t="shared" si="34"/>
        <v>3.1366073033732724</v>
      </c>
      <c r="W152" s="44">
        <f t="shared" si="45"/>
        <v>12.306391134867068</v>
      </c>
      <c r="X152" s="145">
        <f>IF(AND(INVOER!$T$36=1,INVOER!E95=1),1/100*N152*INVOER!$W$20*1000,1/100*O152*INVOER!$W$20*1000)</f>
        <v>2.4699304664881679E-4</v>
      </c>
      <c r="Y152" s="6">
        <f t="shared" si="35"/>
        <v>1.0725939737067709</v>
      </c>
      <c r="Z152" s="44">
        <f t="shared" si="41"/>
        <v>2.5619125271225256</v>
      </c>
      <c r="AA152" s="6"/>
      <c r="AB152" s="6"/>
      <c r="AC152" s="6"/>
      <c r="AD152" s="6"/>
      <c r="AE152" s="6"/>
      <c r="AF152" s="6"/>
    </row>
    <row r="153" spans="1:32" x14ac:dyDescent="0.2">
      <c r="A153" s="271">
        <f>'Berekening trap 1'!A153</f>
        <v>22.673233143061449</v>
      </c>
      <c r="B153" s="6">
        <f t="shared" si="43"/>
        <v>22.161031529522841</v>
      </c>
      <c r="C153" s="168">
        <f t="shared" si="42"/>
        <v>17.871656772638225</v>
      </c>
      <c r="D153" s="200">
        <f t="shared" si="22"/>
        <v>6.5792655397861211E-3</v>
      </c>
      <c r="E153" s="197">
        <f t="shared" si="39"/>
        <v>9.1124924663318115E-3</v>
      </c>
      <c r="F153" s="43">
        <f t="shared" si="30"/>
        <v>6.5792655397861211E-3</v>
      </c>
      <c r="G153" s="155">
        <f t="shared" si="30"/>
        <v>9.1124924663318115E-3</v>
      </c>
      <c r="H153" s="170">
        <f t="shared" si="44"/>
        <v>9.1124924663318115E-3</v>
      </c>
      <c r="I153" s="179">
        <f t="shared" si="36"/>
        <v>9.1124924663318115E-3</v>
      </c>
      <c r="J153" s="314">
        <f>IF(INVOER!$T$36=1,100-H153*100,100-I153*100)</f>
        <v>99.088750753366824</v>
      </c>
      <c r="K153" s="406">
        <f>IF(AND('Berekening trap 1'!$B$64=1,INVOER!$C$20=1),'Berekening trap 1'!U153,'Berekening trap 1'!V153)</f>
        <v>2.2116774130308416E-2</v>
      </c>
      <c r="L153" s="380">
        <f t="shared" si="31"/>
        <v>2.7493610924614185</v>
      </c>
      <c r="M153" s="380">
        <f t="shared" si="37"/>
        <v>9.5570300424056498</v>
      </c>
      <c r="N153" s="375">
        <f>'Berekening trap 2'!H153*$L153</f>
        <v>2.5053532242280473E-2</v>
      </c>
      <c r="O153" s="376">
        <f>'Berekening trap 2'!I153*$L153</f>
        <v>2.5053532242280473E-2</v>
      </c>
      <c r="Q153" s="396">
        <f t="shared" si="32"/>
        <v>99.995905367244305</v>
      </c>
      <c r="R153" s="6">
        <f t="shared" si="38"/>
        <v>22.161031529522841</v>
      </c>
      <c r="S153" s="380">
        <f>1/100*'Berekening trap 1'!T153*INVOER!$W$19*1000</f>
        <v>4.5493763796711164</v>
      </c>
      <c r="T153" s="380">
        <f t="shared" si="33"/>
        <v>4.925985359298795</v>
      </c>
      <c r="U153" s="44">
        <f t="shared" si="40"/>
        <v>44.589098656523383</v>
      </c>
      <c r="V153" s="380">
        <f t="shared" si="34"/>
        <v>2.7493610924614185</v>
      </c>
      <c r="W153" s="44">
        <f t="shared" si="45"/>
        <v>9.5570300424056498</v>
      </c>
      <c r="X153" s="145">
        <f>IF(AND(INVOER!$T$36=1,INVOER!E96=1),1/100*N153*INVOER!$W$20*1000,1/100*O153*INVOER!$W$20*1000)</f>
        <v>1.8628025542141751E-4</v>
      </c>
      <c r="Y153" s="6">
        <f t="shared" si="35"/>
        <v>0.80894212244629438</v>
      </c>
      <c r="Z153" s="44">
        <f t="shared" si="41"/>
        <v>1.7529704046762311</v>
      </c>
      <c r="AA153" s="6"/>
      <c r="AB153" s="6"/>
      <c r="AC153" s="6"/>
      <c r="AD153" s="6"/>
      <c r="AE153" s="6"/>
      <c r="AF153" s="6"/>
    </row>
    <row r="154" spans="1:32" x14ac:dyDescent="0.2">
      <c r="A154" s="271">
        <f>'Berekening trap 1'!A154</f>
        <v>23.746110212638179</v>
      </c>
      <c r="B154" s="6">
        <f t="shared" si="43"/>
        <v>23.209671677849812</v>
      </c>
      <c r="C154" s="168">
        <f t="shared" si="42"/>
        <v>18.717327552174883</v>
      </c>
      <c r="D154" s="200">
        <f t="shared" ref="D154:D185" si="46">IF(C154-$K$35&gt;0,EXP(-(((C154-$K$35)/$K$37)^$K$39)),1)</f>
        <v>5.4991394611915451E-3</v>
      </c>
      <c r="E154" s="197">
        <f t="shared" si="39"/>
        <v>7.8013667116203838E-3</v>
      </c>
      <c r="F154" s="43">
        <f t="shared" si="30"/>
        <v>5.4991394611915451E-3</v>
      </c>
      <c r="G154" s="155">
        <f t="shared" si="30"/>
        <v>7.8013667116203838E-3</v>
      </c>
      <c r="H154" s="170">
        <f t="shared" si="44"/>
        <v>7.8013667116203838E-3</v>
      </c>
      <c r="I154" s="179">
        <f t="shared" si="36"/>
        <v>7.8013667116203838E-3</v>
      </c>
      <c r="J154" s="314">
        <f>IF(INVOER!$T$36=1,100-H154*100,100-I154*100)</f>
        <v>99.21986332883796</v>
      </c>
      <c r="K154" s="406">
        <f>IF(AND('Berekening trap 1'!$B$64=1,INVOER!$C$20=1),'Berekening trap 1'!U154,'Berekening trap 1'!V154)</f>
        <v>1.8996517654583614E-2</v>
      </c>
      <c r="L154" s="380">
        <f t="shared" si="31"/>
        <v>2.3614784970017828</v>
      </c>
      <c r="M154" s="380">
        <f t="shared" si="37"/>
        <v>7.195551545403867</v>
      </c>
      <c r="N154" s="375">
        <f>'Berekening trap 2'!H154*$L154</f>
        <v>1.8422759736717045E-2</v>
      </c>
      <c r="O154" s="376">
        <f>'Berekening trap 2'!I154*$L154</f>
        <v>1.8422759736717045E-2</v>
      </c>
      <c r="Q154" s="396">
        <f t="shared" si="32"/>
        <v>99.997068209043505</v>
      </c>
      <c r="R154" s="6">
        <f t="shared" si="38"/>
        <v>23.209671677849812</v>
      </c>
      <c r="S154" s="380">
        <f>1/100*'Berekening trap 1'!T154*INVOER!$W$19*1000</f>
        <v>4.6721797992826364</v>
      </c>
      <c r="T154" s="380">
        <f t="shared" si="33"/>
        <v>5.0589547591886985</v>
      </c>
      <c r="U154" s="44">
        <f t="shared" si="40"/>
        <v>39.530143897334682</v>
      </c>
      <c r="V154" s="380">
        <f t="shared" si="34"/>
        <v>2.3614784970017828</v>
      </c>
      <c r="W154" s="44">
        <f t="shared" si="45"/>
        <v>7.195551545403867</v>
      </c>
      <c r="X154" s="145">
        <f>IF(AND(INVOER!$T$36=1,INVOER!E97=1),1/100*N154*INVOER!$W$20*1000,1/100*O154*INVOER!$W$20*1000)</f>
        <v>1.3697854482696615E-4</v>
      </c>
      <c r="Y154" s="6">
        <f t="shared" si="35"/>
        <v>0.59484412092550087</v>
      </c>
      <c r="Z154" s="44">
        <f t="shared" si="41"/>
        <v>1.1581262837507302</v>
      </c>
      <c r="AA154" s="6"/>
      <c r="AB154" s="6"/>
      <c r="AC154" s="6"/>
      <c r="AD154" s="6"/>
      <c r="AE154" s="6"/>
      <c r="AF154" s="6"/>
    </row>
    <row r="155" spans="1:32" x14ac:dyDescent="0.2">
      <c r="A155" s="271">
        <f>'Berekening trap 1'!A155</f>
        <v>24.86975486349283</v>
      </c>
      <c r="B155" s="6">
        <f t="shared" si="43"/>
        <v>24.307932538065504</v>
      </c>
      <c r="C155" s="168">
        <f t="shared" si="42"/>
        <v>19.603014714997123</v>
      </c>
      <c r="D155" s="200">
        <f t="shared" si="46"/>
        <v>4.5681497852238006E-3</v>
      </c>
      <c r="E155" s="197">
        <f t="shared" si="39"/>
        <v>6.6443868922909152E-3</v>
      </c>
      <c r="F155" s="43">
        <f t="shared" si="30"/>
        <v>4.5681497852238006E-3</v>
      </c>
      <c r="G155" s="155">
        <f t="shared" si="30"/>
        <v>6.6443868922909152E-3</v>
      </c>
      <c r="H155" s="170">
        <f t="shared" si="44"/>
        <v>6.6443868922909152E-3</v>
      </c>
      <c r="I155" s="179">
        <f t="shared" si="36"/>
        <v>6.6443868922909152E-3</v>
      </c>
      <c r="J155" s="314">
        <f>IF(INVOER!$T$36=1,100-H155*100,100-I155*100)</f>
        <v>99.335561310770913</v>
      </c>
      <c r="K155" s="406">
        <f>IF(AND('Berekening trap 1'!$B$64=1,INVOER!$C$20=1),'Berekening trap 1'!U155,'Berekening trap 1'!V155)</f>
        <v>1.5950903033529855E-2</v>
      </c>
      <c r="L155" s="380">
        <f t="shared" si="31"/>
        <v>1.9828747145323518</v>
      </c>
      <c r="M155" s="380">
        <f t="shared" si="37"/>
        <v>5.2126768308715157</v>
      </c>
      <c r="N155" s="375">
        <f>'Berekening trap 2'!H155*$L155</f>
        <v>1.3174986762293847E-2</v>
      </c>
      <c r="O155" s="376">
        <f>'Berekening trap 2'!I155*$L155</f>
        <v>1.3174986762293847E-2</v>
      </c>
      <c r="Q155" s="396">
        <f t="shared" si="32"/>
        <v>99.997924063584904</v>
      </c>
      <c r="R155" s="6">
        <f t="shared" si="38"/>
        <v>24.307932538065504</v>
      </c>
      <c r="S155" s="380">
        <f>1/100*'Berekening trap 1'!T155*INVOER!$W$19*1000</f>
        <v>4.7188263990735937</v>
      </c>
      <c r="T155" s="380">
        <f t="shared" si="33"/>
        <v>5.1094628834797771</v>
      </c>
      <c r="U155" s="44">
        <f t="shared" si="40"/>
        <v>34.420681013854903</v>
      </c>
      <c r="V155" s="380">
        <f t="shared" si="34"/>
        <v>1.9828747145323518</v>
      </c>
      <c r="W155" s="44">
        <f t="shared" si="45"/>
        <v>5.2126768308715157</v>
      </c>
      <c r="X155" s="145">
        <f>IF(AND(INVOER!$T$36=1,INVOER!E98=1),1/100*N155*INVOER!$W$20*1000,1/100*O155*INVOER!$W$20*1000)</f>
        <v>9.7959835584066039E-5</v>
      </c>
      <c r="Y155" s="6">
        <f t="shared" si="35"/>
        <v>0.42540116306257425</v>
      </c>
      <c r="Z155" s="44">
        <f t="shared" si="41"/>
        <v>0.73272512068815598</v>
      </c>
      <c r="AA155" s="6"/>
      <c r="AB155" s="6"/>
      <c r="AC155" s="6"/>
      <c r="AD155" s="6"/>
      <c r="AE155" s="6"/>
      <c r="AF155" s="6"/>
    </row>
    <row r="156" spans="1:32" x14ac:dyDescent="0.2">
      <c r="A156" s="272">
        <f>'Berekening trap 1'!A156</f>
        <v>26.046569372066841</v>
      </c>
      <c r="B156" s="46">
        <f t="shared" si="43"/>
        <v>25.458162117779835</v>
      </c>
      <c r="C156" s="182">
        <f t="shared" si="42"/>
        <v>20.530611800494029</v>
      </c>
      <c r="D156" s="201">
        <f t="shared" si="46"/>
        <v>3.7706934386100813E-3</v>
      </c>
      <c r="E156" s="167">
        <f t="shared" si="39"/>
        <v>5.6287906782748103E-3</v>
      </c>
      <c r="F156" s="45">
        <f t="shared" si="30"/>
        <v>3.7706934386100813E-3</v>
      </c>
      <c r="G156" s="183">
        <f t="shared" si="30"/>
        <v>5.6287906782748103E-3</v>
      </c>
      <c r="H156" s="171">
        <f t="shared" si="44"/>
        <v>5.6287906782748103E-3</v>
      </c>
      <c r="I156" s="235">
        <f t="shared" si="36"/>
        <v>5.6287906782748103E-3</v>
      </c>
      <c r="J156" s="315">
        <f>IF(INVOER!$T$36=1,100-H156*100,100-I156*100)</f>
        <v>99.437120932172519</v>
      </c>
      <c r="K156" s="407">
        <f>IF(AND('Berekening trap 1'!$B$64=1,INVOER!$C$20=1),'Berekening trap 1'!U156,'Berekening trap 1'!V156)</f>
        <v>1.305847234018051E-2</v>
      </c>
      <c r="L156" s="380">
        <f t="shared" si="31"/>
        <v>1.6233133985790384</v>
      </c>
      <c r="M156" s="380">
        <f t="shared" si="37"/>
        <v>3.589363432292477</v>
      </c>
      <c r="N156" s="375">
        <f>'Berekening trap 2'!H156*$L156</f>
        <v>9.1372913258402928E-3</v>
      </c>
      <c r="O156" s="376">
        <f>'Berekening trap 2'!I156*$L156</f>
        <v>9.1372913258402928E-3</v>
      </c>
      <c r="Q156" s="396">
        <f t="shared" si="32"/>
        <v>99.998546893775085</v>
      </c>
      <c r="R156" s="6">
        <f t="shared" si="38"/>
        <v>25.458162117779835</v>
      </c>
      <c r="S156" s="380">
        <f>1/100*'Berekening trap 1'!T156*INVOER!$W$19*1000</f>
        <v>4.6753913455124607</v>
      </c>
      <c r="T156" s="380">
        <f t="shared" si="33"/>
        <v>5.0624321654062889</v>
      </c>
      <c r="U156" s="44">
        <f t="shared" si="40"/>
        <v>29.358248848448614</v>
      </c>
      <c r="V156" s="380">
        <f t="shared" si="34"/>
        <v>1.6233133985790384</v>
      </c>
      <c r="W156" s="44">
        <f t="shared" si="45"/>
        <v>3.589363432292477</v>
      </c>
      <c r="X156" s="145">
        <f>IF(AND(INVOER!$T$36=1,INVOER!E99=1),1/100*N156*INVOER!$W$20*1000,1/100*O156*INVOER!$W$20*1000)</f>
        <v>6.79384026802003E-5</v>
      </c>
      <c r="Y156" s="6">
        <f t="shared" si="35"/>
        <v>0.29502984916679176</v>
      </c>
      <c r="Z156" s="44">
        <f t="shared" si="41"/>
        <v>0.43769527152136423</v>
      </c>
      <c r="AA156" s="6"/>
      <c r="AB156" s="6"/>
      <c r="AC156" s="6"/>
      <c r="AD156" s="6"/>
      <c r="AE156" s="6"/>
      <c r="AF156" s="6"/>
    </row>
    <row r="157" spans="1:32" x14ac:dyDescent="0.2">
      <c r="A157" s="271">
        <f>'Berekening trap 1'!A157</f>
        <v>27.279069688369631</v>
      </c>
      <c r="B157" s="6">
        <f t="shared" si="43"/>
        <v>26.662819530218236</v>
      </c>
      <c r="C157" s="168">
        <f t="shared" si="42"/>
        <v>21.50210194864135</v>
      </c>
      <c r="D157" s="200">
        <f t="shared" si="46"/>
        <v>3.0920121474188674E-3</v>
      </c>
      <c r="E157" s="197">
        <f t="shared" si="39"/>
        <v>4.7421361604340368E-3</v>
      </c>
      <c r="F157" s="43">
        <f t="shared" si="30"/>
        <v>3.0920121474188674E-3</v>
      </c>
      <c r="G157" s="155">
        <f t="shared" si="30"/>
        <v>4.7421361604340368E-3</v>
      </c>
      <c r="H157" s="170">
        <f t="shared" si="44"/>
        <v>4.7421361604340368E-3</v>
      </c>
      <c r="I157" s="179">
        <f t="shared" si="36"/>
        <v>4.7421361604340368E-3</v>
      </c>
      <c r="J157" s="314">
        <f>IF(INVOER!$T$36=1,100-H157*100,100-I157*100)</f>
        <v>99.5257863839566</v>
      </c>
      <c r="K157" s="406">
        <f>IF(AND('Berekening trap 1'!$B$64=1,INVOER!$C$20=1),'Berekening trap 1'!U157,'Berekening trap 1'!V157)</f>
        <v>1.0391297536105982E-2</v>
      </c>
      <c r="L157" s="381">
        <f t="shared" si="31"/>
        <v>1.2917538958273747</v>
      </c>
      <c r="M157" s="381">
        <f t="shared" si="37"/>
        <v>2.2976095364651021</v>
      </c>
      <c r="N157" s="372">
        <f>'Berekening trap 2'!H157*$L157</f>
        <v>6.1256728597845348E-3</v>
      </c>
      <c r="O157" s="373">
        <f>'Berekening trap 2'!I157*$L157</f>
        <v>6.1256728597845348E-3</v>
      </c>
      <c r="Q157" s="396">
        <f t="shared" si="32"/>
        <v>99.998994882419538</v>
      </c>
      <c r="R157" s="6">
        <f t="shared" si="38"/>
        <v>26.662819530218236</v>
      </c>
      <c r="S157" s="380">
        <f>1/100*'Berekening trap 1'!T157*INVOER!$W$19*1000</f>
        <v>4.5314249381921927</v>
      </c>
      <c r="T157" s="380">
        <f t="shared" si="33"/>
        <v>4.906547851710144</v>
      </c>
      <c r="U157" s="44">
        <f t="shared" si="40"/>
        <v>24.45170099673847</v>
      </c>
      <c r="V157" s="380">
        <f t="shared" si="34"/>
        <v>1.2917538958273747</v>
      </c>
      <c r="W157" s="44">
        <f t="shared" si="45"/>
        <v>2.2976095364651021</v>
      </c>
      <c r="X157" s="145">
        <f>IF(AND(INVOER!$T$36=1,INVOER!E100=1),1/100*N157*INVOER!$W$20*1000,1/100*O157*INVOER!$W$20*1000)</f>
        <v>4.5546148699263861E-5</v>
      </c>
      <c r="Y157" s="6">
        <f t="shared" si="35"/>
        <v>0.1977890684908353</v>
      </c>
      <c r="Z157" s="44">
        <f t="shared" si="41"/>
        <v>0.23990620303052893</v>
      </c>
      <c r="AA157" s="6"/>
      <c r="AB157" s="6"/>
      <c r="AC157" s="6"/>
      <c r="AD157" s="6"/>
      <c r="AE157" s="6"/>
      <c r="AF157" s="6"/>
    </row>
    <row r="158" spans="1:32" x14ac:dyDescent="0.2">
      <c r="A158" s="271">
        <f>'Berekening trap 1'!A158</f>
        <v>28.569890814909932</v>
      </c>
      <c r="B158" s="6">
        <f t="shared" si="43"/>
        <v>27.924480251639782</v>
      </c>
      <c r="C158" s="168">
        <f t="shared" si="42"/>
        <v>22.519562139820927</v>
      </c>
      <c r="D158" s="200">
        <f t="shared" si="46"/>
        <v>2.5182607400911516E-3</v>
      </c>
      <c r="E158" s="197">
        <f t="shared" si="39"/>
        <v>3.9723899655352635E-3</v>
      </c>
      <c r="F158" s="43">
        <f t="shared" si="30"/>
        <v>2.5182607400911516E-3</v>
      </c>
      <c r="G158" s="155">
        <f t="shared" si="30"/>
        <v>3.9723899655352635E-3</v>
      </c>
      <c r="H158" s="170">
        <f t="shared" si="44"/>
        <v>3.9723899655352635E-3</v>
      </c>
      <c r="I158" s="179">
        <f t="shared" si="36"/>
        <v>3.9723899655352635E-3</v>
      </c>
      <c r="J158" s="314">
        <f>IF(INVOER!$T$36=1,100-H158*100,100-I158*100)</f>
        <v>99.602761003446474</v>
      </c>
      <c r="K158" s="406">
        <f>IF(AND('Berekening trap 1'!$B$64=1,INVOER!$C$20=1),'Berekening trap 1'!U158,'Berekening trap 1'!V158)</f>
        <v>8.0095151551584642E-3</v>
      </c>
      <c r="L158" s="380">
        <f t="shared" si="31"/>
        <v>0.99567184650565876</v>
      </c>
      <c r="M158" s="380">
        <f t="shared" si="37"/>
        <v>1.3019376899594435</v>
      </c>
      <c r="N158" s="375">
        <f>'Berekening trap 2'!H158*$L158</f>
        <v>3.9551968520250462E-3</v>
      </c>
      <c r="O158" s="376">
        <f>'Berekening trap 2'!I158*$L158</f>
        <v>3.9551968520250462E-3</v>
      </c>
      <c r="Q158" s="396">
        <f t="shared" si="32"/>
        <v>99.999313246376175</v>
      </c>
      <c r="R158" s="6">
        <f t="shared" si="38"/>
        <v>27.924480251639782</v>
      </c>
      <c r="S158" s="380">
        <f>1/100*'Berekening trap 1'!T158*INVOER!$W$19*1000</f>
        <v>4.2821808372105696</v>
      </c>
      <c r="T158" s="380">
        <f t="shared" si="33"/>
        <v>4.6366706883667526</v>
      </c>
      <c r="U158" s="44">
        <f t="shared" si="40"/>
        <v>19.815030308371718</v>
      </c>
      <c r="V158" s="380">
        <f t="shared" si="34"/>
        <v>0.99567184650565876</v>
      </c>
      <c r="W158" s="44">
        <f t="shared" si="45"/>
        <v>1.3019376899594435</v>
      </c>
      <c r="X158" s="145">
        <f>IF(AND(INVOER!$T$36=1,INVOER!E101=1),1/100*N158*INVOER!$W$20*1000,1/100*O158*INVOER!$W$20*1000)</f>
        <v>2.9408032077561761E-5</v>
      </c>
      <c r="Y158" s="6">
        <f t="shared" si="35"/>
        <v>0.12770755457669586</v>
      </c>
      <c r="Z158" s="44">
        <f t="shared" si="41"/>
        <v>0.11219864845383307</v>
      </c>
      <c r="AA158" s="6"/>
      <c r="AB158" s="6"/>
      <c r="AC158" s="6"/>
      <c r="AD158" s="6"/>
      <c r="AE158" s="6"/>
      <c r="AF158" s="6"/>
    </row>
    <row r="159" spans="1:32" x14ac:dyDescent="0.2">
      <c r="A159" s="271">
        <f>'Berekening trap 1'!A159</f>
        <v>29.921792440153354</v>
      </c>
      <c r="B159" s="6">
        <f t="shared" si="43"/>
        <v>29.245841627531643</v>
      </c>
      <c r="C159" s="168">
        <f t="shared" si="42"/>
        <v>23.585167635264614</v>
      </c>
      <c r="D159" s="200">
        <f t="shared" si="46"/>
        <v>2.0365578568393048E-3</v>
      </c>
      <c r="E159" s="197">
        <f t="shared" si="39"/>
        <v>3.3080054243686706E-3</v>
      </c>
      <c r="F159" s="43">
        <f t="shared" si="30"/>
        <v>2.0365578568393048E-3</v>
      </c>
      <c r="G159" s="155">
        <f t="shared" si="30"/>
        <v>3.3080054243686706E-3</v>
      </c>
      <c r="H159" s="170">
        <f t="shared" si="44"/>
        <v>3.3080054243686706E-3</v>
      </c>
      <c r="I159" s="179">
        <f t="shared" si="36"/>
        <v>3.3080054243686706E-3</v>
      </c>
      <c r="J159" s="314">
        <f>IF(INVOER!$T$36=1,100-H159*100,100-I159*100)</f>
        <v>99.669199457563138</v>
      </c>
      <c r="K159" s="406">
        <f>IF(AND('Berekening trap 1'!$B$64=1,INVOER!$C$20=1),'Berekening trap 1'!U159,'Berekening trap 1'!V159)</f>
        <v>5.9563172300778535E-3</v>
      </c>
      <c r="L159" s="380">
        <f t="shared" si="31"/>
        <v>0.74043650083183521</v>
      </c>
      <c r="M159" s="380">
        <f t="shared" si="37"/>
        <v>0.56150118912760827</v>
      </c>
      <c r="N159" s="375">
        <f>'Berekening trap 2'!H159*$L159</f>
        <v>2.4493679611522685E-3</v>
      </c>
      <c r="O159" s="376">
        <f>'Berekening trap 2'!I159*$L159</f>
        <v>2.4493679611522685E-3</v>
      </c>
      <c r="Q159" s="396">
        <f t="shared" si="32"/>
        <v>99.999536689311299</v>
      </c>
      <c r="R159" s="6">
        <f t="shared" si="38"/>
        <v>29.245841627531643</v>
      </c>
      <c r="S159" s="380">
        <f>1/100*'Berekening trap 1'!T159*INVOER!$W$19*1000</f>
        <v>3.9307875621521573</v>
      </c>
      <c r="T159" s="380">
        <f t="shared" si="33"/>
        <v>4.256188181790999</v>
      </c>
      <c r="U159" s="44">
        <f t="shared" si="40"/>
        <v>15.558842126580718</v>
      </c>
      <c r="V159" s="380">
        <f t="shared" si="34"/>
        <v>0.74043650083183521</v>
      </c>
      <c r="W159" s="44">
        <f t="shared" si="45"/>
        <v>0.56150118912760827</v>
      </c>
      <c r="X159" s="145">
        <f>IF(AND(INVOER!$T$36=1,INVOER!E102=1),1/100*N159*INVOER!$W$20*1000,1/100*O159*INVOER!$W$20*1000)</f>
        <v>1.8211758925333468E-5</v>
      </c>
      <c r="Y159" s="6">
        <f t="shared" si="35"/>
        <v>7.9086529515492957E-2</v>
      </c>
      <c r="Z159" s="44">
        <f t="shared" si="41"/>
        <v>3.311211893834011E-2</v>
      </c>
      <c r="AA159" s="6"/>
      <c r="AB159" s="6"/>
      <c r="AC159" s="6"/>
      <c r="AD159" s="6"/>
      <c r="AE159" s="6"/>
      <c r="AF159" s="6"/>
    </row>
    <row r="160" spans="1:32" x14ac:dyDescent="0.2">
      <c r="A160" s="271">
        <f>'Berekening trap 1'!A160</f>
        <v>31.337664838550097</v>
      </c>
      <c r="B160" s="6">
        <f t="shared" si="43"/>
        <v>30.629728639351725</v>
      </c>
      <c r="C160" s="168">
        <f t="shared" si="42"/>
        <v>24.701196627615989</v>
      </c>
      <c r="D160" s="200">
        <f t="shared" si="46"/>
        <v>1.6350190548311671E-3</v>
      </c>
      <c r="E160" s="197">
        <f t="shared" si="39"/>
        <v>2.737989837721179E-3</v>
      </c>
      <c r="F160" s="43">
        <f t="shared" si="30"/>
        <v>1.6350190548311671E-3</v>
      </c>
      <c r="G160" s="155">
        <f t="shared" si="30"/>
        <v>2.737989837721179E-3</v>
      </c>
      <c r="H160" s="170">
        <f t="shared" si="44"/>
        <v>2.737989837721179E-3</v>
      </c>
      <c r="I160" s="179">
        <f t="shared" si="36"/>
        <v>2.737989837721179E-3</v>
      </c>
      <c r="J160" s="314">
        <f>IF(INVOER!$T$36=1,100-H160*100,100-I160*100)</f>
        <v>99.726201016227876</v>
      </c>
      <c r="K160" s="406">
        <f>IF(AND('Berekening trap 1'!$B$64=1,INVOER!$C$20=1),'Berekening trap 1'!U160,'Berekening trap 1'!V160)</f>
        <v>1.2634137838390307E-3</v>
      </c>
      <c r="L160" s="380">
        <f t="shared" si="31"/>
        <v>0.15705638989215712</v>
      </c>
      <c r="M160" s="380">
        <f t="shared" si="37"/>
        <v>0.40444479923545118</v>
      </c>
      <c r="N160" s="375">
        <f>'Berekening trap 2'!H160*$L160</f>
        <v>4.3001879947390147E-4</v>
      </c>
      <c r="O160" s="376">
        <f>'Berekening trap 2'!I160*$L160</f>
        <v>4.3001879947390147E-4</v>
      </c>
      <c r="Q160" s="396">
        <f t="shared" si="32"/>
        <v>99.999691505280666</v>
      </c>
      <c r="R160" s="6">
        <f t="shared" si="38"/>
        <v>30.629728639351725</v>
      </c>
      <c r="S160" s="380">
        <f>1/100*'Berekening trap 1'!T160*INVOER!$W$19*1000</f>
        <v>1.0364242549090521</v>
      </c>
      <c r="T160" s="380">
        <f t="shared" si="33"/>
        <v>1.1222220980698969</v>
      </c>
      <c r="U160" s="44">
        <f t="shared" si="40"/>
        <v>14.43662002851082</v>
      </c>
      <c r="V160" s="380">
        <f t="shared" si="34"/>
        <v>0.15705638989215712</v>
      </c>
      <c r="W160" s="44">
        <f t="shared" si="45"/>
        <v>0.40444479923545118</v>
      </c>
      <c r="X160" s="145">
        <f>IF(AND(INVOER!$T$36=1,INVOER!E103=1),1/100*N160*INVOER!$W$20*1000,1/100*O160*INVOER!$W$20*1000)</f>
        <v>3.1973140963662488E-6</v>
      </c>
      <c r="Y160" s="6">
        <f t="shared" si="35"/>
        <v>1.3884681687765143E-2</v>
      </c>
      <c r="Z160" s="44">
        <f t="shared" si="41"/>
        <v>1.9227437250574967E-2</v>
      </c>
      <c r="AA160" s="6"/>
      <c r="AB160" s="6"/>
      <c r="AC160" s="6"/>
      <c r="AD160" s="6"/>
      <c r="AE160" s="6"/>
      <c r="AF160" s="6"/>
    </row>
    <row r="161" spans="1:32" x14ac:dyDescent="0.2">
      <c r="A161" s="271">
        <f>'Berekening trap 1'!A161</f>
        <v>32.820535049746702</v>
      </c>
      <c r="B161" s="46">
        <f t="shared" si="43"/>
        <v>32.079099944148396</v>
      </c>
      <c r="C161" s="182">
        <f t="shared" si="42"/>
        <v>25.870035111552511</v>
      </c>
      <c r="D161" s="201">
        <f t="shared" si="46"/>
        <v>1.3027727304738446E-3</v>
      </c>
      <c r="E161" s="167">
        <f t="shared" si="39"/>
        <v>2.2519601433062734E-3</v>
      </c>
      <c r="F161" s="45">
        <f t="shared" si="30"/>
        <v>1.3027727304738446E-3</v>
      </c>
      <c r="G161" s="183">
        <f t="shared" si="30"/>
        <v>2.2519601433062734E-3</v>
      </c>
      <c r="H161" s="171">
        <f t="shared" si="44"/>
        <v>2.2519601433062734E-3</v>
      </c>
      <c r="I161" s="235">
        <f t="shared" si="36"/>
        <v>2.2519601433062734E-3</v>
      </c>
      <c r="J161" s="314">
        <f>IF(INVOER!$T$36=1,100-H161*100,100-I161*100)</f>
        <v>99.774803985669379</v>
      </c>
      <c r="K161" s="406">
        <f>IF(AND('Berekening trap 1'!$B$64=1,INVOER!$C$20=1),'Berekening trap 1'!U161,'Berekening trap 1'!V161)</f>
        <v>8.2781948951264335E-4</v>
      </c>
      <c r="L161" s="377">
        <f t="shared" si="31"/>
        <v>0.10290717274760164</v>
      </c>
      <c r="M161" s="377">
        <f t="shared" si="37"/>
        <v>0.30153762648784954</v>
      </c>
      <c r="N161" s="378">
        <f>'Berekening trap 2'!H161*$L161</f>
        <v>2.3174285148793241E-4</v>
      </c>
      <c r="O161" s="379">
        <f>'Berekening trap 2'!I161*$L161</f>
        <v>2.3174285148793241E-4</v>
      </c>
      <c r="Q161" s="396">
        <f t="shared" si="32"/>
        <v>99.999797354066061</v>
      </c>
      <c r="R161" s="6">
        <f t="shared" si="38"/>
        <v>32.079099944148396</v>
      </c>
      <c r="S161" s="380">
        <f>1/100*'Berekening trap 1'!T161*INVOER!$W$19*1000</f>
        <v>0.85028851371401593</v>
      </c>
      <c r="T161" s="380">
        <f t="shared" si="33"/>
        <v>0.92067756549040913</v>
      </c>
      <c r="U161" s="44">
        <f t="shared" si="40"/>
        <v>13.51594246302041</v>
      </c>
      <c r="V161" s="380">
        <f t="shared" si="34"/>
        <v>0.10290717274760164</v>
      </c>
      <c r="W161" s="44">
        <f t="shared" si="45"/>
        <v>0.30153762648784954</v>
      </c>
      <c r="X161" s="145">
        <f>IF(AND(INVOER!$T$36=1,INVOER!E104=1),1/100*N161*INVOER!$W$20*1000,1/100*O161*INVOER!$W$20*1000)</f>
        <v>1.7230750997421132E-6</v>
      </c>
      <c r="Y161" s="6">
        <f t="shared" si="35"/>
        <v>7.482639666594992E-3</v>
      </c>
      <c r="Z161" s="44">
        <f t="shared" si="41"/>
        <v>1.1744797583979975E-2</v>
      </c>
      <c r="AA161" s="6"/>
      <c r="AB161" s="6"/>
      <c r="AC161" s="6"/>
      <c r="AD161" s="6"/>
      <c r="AE161" s="6"/>
      <c r="AF161" s="6"/>
    </row>
    <row r="162" spans="1:32" x14ac:dyDescent="0.2">
      <c r="A162" s="270">
        <f>'Berekening trap 1'!A162</f>
        <v>34.373573350192551</v>
      </c>
      <c r="B162" s="6">
        <f t="shared" si="43"/>
        <v>33.597054199969627</v>
      </c>
      <c r="C162" s="168">
        <f t="shared" si="42"/>
        <v>27.094181984881139</v>
      </c>
      <c r="D162" s="200">
        <f t="shared" si="46"/>
        <v>1.0299596893049072E-3</v>
      </c>
      <c r="E162" s="197">
        <f t="shared" si="39"/>
        <v>1.8401865625155514E-3</v>
      </c>
      <c r="F162" s="43">
        <f t="shared" si="30"/>
        <v>1.0299596893049072E-3</v>
      </c>
      <c r="G162" s="155">
        <f t="shared" si="30"/>
        <v>1.8401865625155514E-3</v>
      </c>
      <c r="H162" s="170">
        <f t="shared" si="44"/>
        <v>1.8401865625155514E-3</v>
      </c>
      <c r="I162" s="179">
        <f t="shared" si="36"/>
        <v>1.8401865625155514E-3</v>
      </c>
      <c r="J162" s="313">
        <f>IF(INVOER!$T$36=1,100-H162*100,100-I162*100)</f>
        <v>99.815981343748447</v>
      </c>
      <c r="K162" s="405">
        <f>IF(AND('Berekening trap 1'!$B$64=1,INVOER!$C$20=1),'Berekening trap 1'!U162,'Berekening trap 1'!V162)</f>
        <v>6.3475350611231953E-4</v>
      </c>
      <c r="L162" s="380">
        <f t="shared" si="31"/>
        <v>7.8906922986437644E-2</v>
      </c>
      <c r="M162" s="380">
        <f t="shared" si="37"/>
        <v>0.2226307035014119</v>
      </c>
      <c r="N162" s="375">
        <f>'Berekening trap 2'!H162*$L162</f>
        <v>1.4520345936909205E-4</v>
      </c>
      <c r="O162" s="376">
        <f>'Berekening trap 2'!I162*$L162</f>
        <v>1.4520345936909205E-4</v>
      </c>
      <c r="Q162" s="396">
        <f t="shared" si="32"/>
        <v>99.999868735529702</v>
      </c>
      <c r="R162" s="6">
        <f t="shared" si="38"/>
        <v>33.597054199969627</v>
      </c>
      <c r="S162" s="380">
        <f>1/100*'Berekening trap 1'!T162*INVOER!$W$19*1000</f>
        <v>0.82248433076704797</v>
      </c>
      <c r="T162" s="380">
        <f t="shared" si="33"/>
        <v>0.89057168136614806</v>
      </c>
      <c r="U162" s="44">
        <f t="shared" si="40"/>
        <v>12.625370781654262</v>
      </c>
      <c r="V162" s="380">
        <f t="shared" si="34"/>
        <v>7.8906922986437644E-2</v>
      </c>
      <c r="W162" s="44">
        <f t="shared" si="45"/>
        <v>0.2226307035014119</v>
      </c>
      <c r="X162" s="145">
        <f>IF(AND(INVOER!$T$36=1,INVOER!E105=1),1/100*N162*INVOER!$W$20*1000,1/100*O162*INVOER!$W$20*1000)</f>
        <v>1.079629700026914E-6</v>
      </c>
      <c r="Y162" s="6">
        <f t="shared" si="35"/>
        <v>4.6884085434607684E-3</v>
      </c>
      <c r="Z162" s="44">
        <f t="shared" si="41"/>
        <v>7.0563890405192066E-3</v>
      </c>
      <c r="AA162" s="6"/>
      <c r="AB162" s="6"/>
      <c r="AC162" s="6"/>
      <c r="AD162" s="6"/>
      <c r="AE162" s="6"/>
      <c r="AF162" s="6"/>
    </row>
    <row r="163" spans="1:32" x14ac:dyDescent="0.2">
      <c r="A163" s="271">
        <f>'Berekening trap 1'!A163</f>
        <v>36.000100030976988</v>
      </c>
      <c r="B163" s="6">
        <f t="shared" si="43"/>
        <v>35.186836690584769</v>
      </c>
      <c r="C163" s="168">
        <f t="shared" si="42"/>
        <v>28.376254391013198</v>
      </c>
      <c r="D163" s="200">
        <f t="shared" si="46"/>
        <v>8.0771756555571923E-4</v>
      </c>
      <c r="E163" s="197">
        <f t="shared" si="39"/>
        <v>1.4936240901475589E-3</v>
      </c>
      <c r="F163" s="43">
        <f t="shared" si="30"/>
        <v>8.0771756555571923E-4</v>
      </c>
      <c r="G163" s="155">
        <f t="shared" si="30"/>
        <v>1.4936240901475589E-3</v>
      </c>
      <c r="H163" s="170">
        <f t="shared" si="44"/>
        <v>1.4936240901475589E-3</v>
      </c>
      <c r="I163" s="179">
        <f t="shared" si="36"/>
        <v>1.4936240901475589E-3</v>
      </c>
      <c r="J163" s="314">
        <f>IF(INVOER!$T$36=1,100-H163*100,100-I163*100)</f>
        <v>99.850637590985244</v>
      </c>
      <c r="K163" s="406">
        <f>IF(AND('Berekening trap 1'!$B$64=1,INVOER!$C$20=1),'Berekening trap 1'!U163,'Berekening trap 1'!V163)</f>
        <v>4.8187187654382177E-4</v>
      </c>
      <c r="L163" s="380">
        <f t="shared" si="31"/>
        <v>5.990203549194003E-2</v>
      </c>
      <c r="M163" s="380">
        <f t="shared" si="37"/>
        <v>0.16272866800947186</v>
      </c>
      <c r="N163" s="375">
        <f>'Berekening trap 2'!H163*$L163</f>
        <v>8.9471123259635704E-5</v>
      </c>
      <c r="O163" s="376">
        <f>'Berekening trap 2'!I163*$L163</f>
        <v>8.9471123259635704E-5</v>
      </c>
      <c r="Q163" s="396">
        <f t="shared" si="32"/>
        <v>99.999916194309833</v>
      </c>
      <c r="R163" s="6">
        <f t="shared" si="38"/>
        <v>35.186836690584769</v>
      </c>
      <c r="S163" s="380">
        <f>1/100*'Berekening trap 1'!T163*INVOER!$W$19*1000</f>
        <v>0.79379295969133501</v>
      </c>
      <c r="T163" s="380">
        <f t="shared" si="33"/>
        <v>0.85950516541712274</v>
      </c>
      <c r="U163" s="44">
        <f t="shared" si="40"/>
        <v>11.765865616237139</v>
      </c>
      <c r="V163" s="380">
        <f t="shared" si="34"/>
        <v>5.990203549194003E-2</v>
      </c>
      <c r="W163" s="44">
        <f t="shared" si="45"/>
        <v>0.16272866800947186</v>
      </c>
      <c r="X163" s="145">
        <f>IF(AND(INVOER!$T$36=1,INVOER!E106=1),1/100*N163*INVOER!$W$20*1000,1/100*O163*INVOER!$W$20*1000)</f>
        <v>6.652436683366847E-7</v>
      </c>
      <c r="Y163" s="6">
        <f t="shared" si="35"/>
        <v>2.8888924582522531E-3</v>
      </c>
      <c r="Z163" s="44">
        <f t="shared" si="41"/>
        <v>4.1674965822669531E-3</v>
      </c>
      <c r="AA163" s="6"/>
      <c r="AB163" s="6"/>
      <c r="AC163" s="6"/>
      <c r="AD163" s="6"/>
      <c r="AE163" s="6"/>
      <c r="AF163" s="6"/>
    </row>
    <row r="164" spans="1:32" x14ac:dyDescent="0.2">
      <c r="A164" s="271">
        <f>'Berekening trap 1'!A164</f>
        <v>37.703592496387621</v>
      </c>
      <c r="B164" s="6">
        <f t="shared" si="43"/>
        <v>36.851846263682305</v>
      </c>
      <c r="C164" s="168">
        <f t="shared" si="42"/>
        <v>29.718993314240421</v>
      </c>
      <c r="D164" s="200">
        <f t="shared" si="46"/>
        <v>6.2815161394797218E-4</v>
      </c>
      <c r="E164" s="197">
        <f t="shared" si="39"/>
        <v>1.2039319736830518E-3</v>
      </c>
      <c r="F164" s="43">
        <f t="shared" si="30"/>
        <v>6.2815161394797218E-4</v>
      </c>
      <c r="G164" s="155">
        <f t="shared" si="30"/>
        <v>1.2039319736830518E-3</v>
      </c>
      <c r="H164" s="170">
        <f t="shared" si="44"/>
        <v>1.2039319736830518E-3</v>
      </c>
      <c r="I164" s="179">
        <f t="shared" si="36"/>
        <v>1.2039319736830518E-3</v>
      </c>
      <c r="J164" s="314">
        <f>IF(INVOER!$T$36=1,100-H164*100,100-I164*100)</f>
        <v>99.879606802631699</v>
      </c>
      <c r="K164" s="406">
        <f>IF(AND('Berekening trap 1'!$B$64=1,INVOER!$C$20=1),'Berekening trap 1'!U164,'Berekening trap 1'!V164)</f>
        <v>3.620512353358057E-4</v>
      </c>
      <c r="L164" s="380">
        <f t="shared" si="31"/>
        <v>4.5006996682475778E-2</v>
      </c>
      <c r="M164" s="380">
        <f t="shared" si="37"/>
        <v>0.11772167132699608</v>
      </c>
      <c r="N164" s="375">
        <f>'Berekening trap 2'!H164*$L164</f>
        <v>5.4185362345479627E-5</v>
      </c>
      <c r="O164" s="376">
        <f>'Berekening trap 2'!I164*$L164</f>
        <v>5.4185362345479627E-5</v>
      </c>
      <c r="Q164" s="396">
        <f t="shared" si="32"/>
        <v>99.999947288180962</v>
      </c>
      <c r="R164" s="6">
        <f t="shared" si="38"/>
        <v>36.851846263682305</v>
      </c>
      <c r="S164" s="380">
        <f>1/100*'Berekening trap 1'!T164*INVOER!$W$19*1000</f>
        <v>0.76431404167621364</v>
      </c>
      <c r="T164" s="380">
        <f t="shared" si="33"/>
        <v>0.8275859073844527</v>
      </c>
      <c r="U164" s="44">
        <f t="shared" si="40"/>
        <v>10.938279708852686</v>
      </c>
      <c r="V164" s="380">
        <f t="shared" si="34"/>
        <v>4.5006996682475778E-2</v>
      </c>
      <c r="W164" s="44">
        <f t="shared" si="45"/>
        <v>0.11772167132699608</v>
      </c>
      <c r="X164" s="145">
        <f>IF(AND(INVOER!$T$36=1,INVOER!E107=1),1/100*N164*INVOER!$W$20*1000,1/100*O164*INVOER!$W$20*1000)</f>
        <v>4.0288383451112271E-7</v>
      </c>
      <c r="Y164" s="6">
        <f t="shared" si="35"/>
        <v>1.7495665520289912E-3</v>
      </c>
      <c r="Z164" s="44">
        <f t="shared" si="41"/>
        <v>2.4179300302379619E-3</v>
      </c>
      <c r="AA164" s="6"/>
      <c r="AB164" s="6"/>
      <c r="AC164" s="6"/>
      <c r="AD164" s="6"/>
      <c r="AE164" s="6"/>
      <c r="AF164" s="6"/>
    </row>
    <row r="165" spans="1:32" x14ac:dyDescent="0.2">
      <c r="A165" s="271">
        <f>'Berekening trap 1'!A165</f>
        <v>39.487692698366033</v>
      </c>
      <c r="B165" s="6">
        <f t="shared" si="43"/>
        <v>38.595642597376823</v>
      </c>
      <c r="C165" s="168">
        <f t="shared" si="42"/>
        <v>31.125269439774382</v>
      </c>
      <c r="D165" s="200">
        <f t="shared" si="46"/>
        <v>4.8429365453504493E-4</v>
      </c>
      <c r="E165" s="197">
        <f t="shared" si="39"/>
        <v>9.6348160164316755E-4</v>
      </c>
      <c r="F165" s="43">
        <f t="shared" si="30"/>
        <v>4.8429365453504493E-4</v>
      </c>
      <c r="G165" s="155">
        <f t="shared" si="30"/>
        <v>9.6348160164316755E-4</v>
      </c>
      <c r="H165" s="170">
        <f t="shared" si="44"/>
        <v>9.6348160164316755E-4</v>
      </c>
      <c r="I165" s="179">
        <f t="shared" si="36"/>
        <v>9.6348160164316755E-4</v>
      </c>
      <c r="J165" s="314">
        <f>IF(INVOER!$T$36=1,100-H165*100,100-I165*100)</f>
        <v>99.903651839835689</v>
      </c>
      <c r="K165" s="406">
        <f>IF(AND('Berekening trap 1'!$B$64=1,INVOER!$C$20=1),'Berekening trap 1'!U165,'Berekening trap 1'!V165)</f>
        <v>2.6913525608157781E-4</v>
      </c>
      <c r="L165" s="380">
        <f t="shared" si="31"/>
        <v>3.3456506691286268E-2</v>
      </c>
      <c r="M165" s="380">
        <f t="shared" si="37"/>
        <v>8.4265164635709822E-2</v>
      </c>
      <c r="N165" s="375">
        <f>'Berekening trap 2'!H165*$L165</f>
        <v>3.2234728652305848E-5</v>
      </c>
      <c r="O165" s="376">
        <f>'Berekening trap 2'!I165*$L165</f>
        <v>3.2234728652305848E-5</v>
      </c>
      <c r="Q165" s="396">
        <f t="shared" si="32"/>
        <v>99.999967353630495</v>
      </c>
      <c r="R165" s="6">
        <f t="shared" si="38"/>
        <v>38.595642597376823</v>
      </c>
      <c r="S165" s="380">
        <f>1/100*'Berekening trap 1'!T165*INVOER!$W$19*1000</f>
        <v>0.7341536915049296</v>
      </c>
      <c r="T165" s="380">
        <f t="shared" si="33"/>
        <v>0.79492880650377984</v>
      </c>
      <c r="U165" s="44">
        <f t="shared" si="40"/>
        <v>10.143350902348907</v>
      </c>
      <c r="V165" s="380">
        <f t="shared" si="34"/>
        <v>3.3456506691286268E-2</v>
      </c>
      <c r="W165" s="44">
        <f t="shared" si="45"/>
        <v>8.4265164635709822E-2</v>
      </c>
      <c r="X165" s="145">
        <f>IF(AND(INVOER!$T$36=1,INVOER!E108=1),1/100*N165*INVOER!$W$20*1000,1/100*O165*INVOER!$W$20*1000)</f>
        <v>2.3967452687801311E-7</v>
      </c>
      <c r="Y165" s="6">
        <f t="shared" si="35"/>
        <v>1.0408125113979189E-3</v>
      </c>
      <c r="Z165" s="44">
        <f t="shared" si="41"/>
        <v>1.3771175188400429E-3</v>
      </c>
      <c r="AA165" s="6"/>
      <c r="AB165" s="6"/>
      <c r="AC165" s="6"/>
      <c r="AD165" s="6"/>
      <c r="AE165" s="6"/>
      <c r="AF165" s="6"/>
    </row>
    <row r="166" spans="1:32" x14ac:dyDescent="0.2">
      <c r="A166" s="272">
        <f>'Berekening trap 1'!A166</f>
        <v>41.356214922755292</v>
      </c>
      <c r="B166" s="46">
        <f t="shared" si="43"/>
        <v>40.421953810560666</v>
      </c>
      <c r="C166" s="182">
        <f t="shared" si="42"/>
        <v>32.598089291077798</v>
      </c>
      <c r="D166" s="201">
        <f t="shared" si="46"/>
        <v>3.7005113908208443E-4</v>
      </c>
      <c r="E166" s="167">
        <f t="shared" si="39"/>
        <v>7.6535347379595774E-4</v>
      </c>
      <c r="F166" s="45">
        <f t="shared" si="30"/>
        <v>3.7005113908208443E-4</v>
      </c>
      <c r="G166" s="183">
        <f t="shared" si="30"/>
        <v>7.6535347379595774E-4</v>
      </c>
      <c r="H166" s="171">
        <f t="shared" si="44"/>
        <v>7.6535347379595774E-4</v>
      </c>
      <c r="I166" s="235">
        <f t="shared" si="36"/>
        <v>7.6535347379595774E-4</v>
      </c>
      <c r="J166" s="315">
        <f>IF(INVOER!$T$36=1,100-H166*100,100-I166*100)</f>
        <v>99.92346465262041</v>
      </c>
      <c r="K166" s="407">
        <f>IF(AND('Berekening trap 1'!$B$64=1,INVOER!$C$20=1),'Berekening trap 1'!U166,'Berekening trap 1'!V166)</f>
        <v>1.9724165575775478E-4</v>
      </c>
      <c r="L166" s="380">
        <f t="shared" si="31"/>
        <v>2.4519332293125772E-2</v>
      </c>
      <c r="M166" s="380">
        <f t="shared" si="37"/>
        <v>5.974583234258405E-2</v>
      </c>
      <c r="N166" s="375">
        <f>'Berekening trap 2'!H166*$L166</f>
        <v>1.8765956145701216E-5</v>
      </c>
      <c r="O166" s="376">
        <f>'Berekening trap 2'!I166*$L166</f>
        <v>1.8765956145701216E-5</v>
      </c>
      <c r="Q166" s="396">
        <f t="shared" si="32"/>
        <v>99.99998010100218</v>
      </c>
      <c r="R166" s="6">
        <f t="shared" si="38"/>
        <v>40.421953810560666</v>
      </c>
      <c r="S166" s="380">
        <f>1/100*'Berekening trap 1'!T166*INVOER!$W$19*1000</f>
        <v>0.70119264573906359</v>
      </c>
      <c r="T166" s="380">
        <f t="shared" si="33"/>
        <v>0.75923916130419511</v>
      </c>
      <c r="U166" s="44">
        <f t="shared" si="40"/>
        <v>9.3841117410447108</v>
      </c>
      <c r="V166" s="380">
        <f t="shared" si="34"/>
        <v>2.4519332293125772E-2</v>
      </c>
      <c r="W166" s="44">
        <f t="shared" si="45"/>
        <v>5.974583234258405E-2</v>
      </c>
      <c r="X166" s="145">
        <f>IF(AND(INVOER!$T$36=1,INVOER!E109=1),1/100*N166*INVOER!$W$20*1000,1/100*O166*INVOER!$W$20*1000)</f>
        <v>1.3953030934891229E-7</v>
      </c>
      <c r="Y166" s="6">
        <f t="shared" si="35"/>
        <v>6.0592543388428126E-4</v>
      </c>
      <c r="Z166" s="44">
        <f t="shared" si="41"/>
        <v>7.7119208495576169E-4</v>
      </c>
      <c r="AA166" s="6"/>
      <c r="AB166" s="6"/>
      <c r="AC166" s="6"/>
      <c r="AD166" s="6"/>
      <c r="AE166" s="6"/>
      <c r="AF166" s="6"/>
    </row>
    <row r="167" spans="1:32" x14ac:dyDescent="0.2">
      <c r="A167" s="271">
        <f>'Berekening trap 1'!A167</f>
        <v>43.313153943985682</v>
      </c>
      <c r="B167" s="6">
        <f t="shared" si="43"/>
        <v>42.334684433370484</v>
      </c>
      <c r="C167" s="168">
        <f t="shared" si="42"/>
        <v>34.140601657608762</v>
      </c>
      <c r="D167" s="200">
        <f t="shared" si="46"/>
        <v>2.8014841960832365E-4</v>
      </c>
      <c r="E167" s="197">
        <f t="shared" si="39"/>
        <v>6.0332415089181231E-4</v>
      </c>
      <c r="F167" s="43">
        <f t="shared" si="30"/>
        <v>2.8014841960832365E-4</v>
      </c>
      <c r="G167" s="155">
        <f t="shared" si="30"/>
        <v>6.0332415089181231E-4</v>
      </c>
      <c r="H167" s="170">
        <f t="shared" si="44"/>
        <v>6.0332415089181231E-4</v>
      </c>
      <c r="I167" s="179">
        <f t="shared" si="36"/>
        <v>6.0332415089181231E-4</v>
      </c>
      <c r="J167" s="314">
        <f>IF(INVOER!$T$36=1,100-H167*100,100-I167*100)</f>
        <v>99.939667584910822</v>
      </c>
      <c r="K167" s="406">
        <f>IF(AND('Berekening trap 1'!$B$64=1,INVOER!$C$20=1),'Berekening trap 1'!U167,'Berekening trap 1'!V167)</f>
        <v>1.4321456995980368E-4</v>
      </c>
      <c r="L167" s="381">
        <f t="shared" si="31"/>
        <v>1.7803164430815088E-2</v>
      </c>
      <c r="M167" s="381">
        <f t="shared" si="37"/>
        <v>4.1942667911768962E-2</v>
      </c>
      <c r="N167" s="372">
        <f>'Berekening trap 2'!H167*$L167</f>
        <v>1.0741079063408828E-5</v>
      </c>
      <c r="O167" s="373">
        <f>'Berekening trap 2'!I167*$L167</f>
        <v>1.0741079063408828E-5</v>
      </c>
      <c r="Q167" s="396">
        <f t="shared" si="32"/>
        <v>99.999988069282651</v>
      </c>
      <c r="R167" s="6">
        <f t="shared" si="38"/>
        <v>42.334684433370484</v>
      </c>
      <c r="S167" s="380">
        <f>1/100*'Berekening trap 1'!T167*INVOER!$W$19*1000</f>
        <v>0.66938999435291535</v>
      </c>
      <c r="T167" s="380">
        <f t="shared" si="33"/>
        <v>0.72480380532549826</v>
      </c>
      <c r="U167" s="44">
        <f t="shared" si="40"/>
        <v>8.6593079357192124</v>
      </c>
      <c r="V167" s="380">
        <f t="shared" si="34"/>
        <v>1.7803164430815088E-2</v>
      </c>
      <c r="W167" s="44">
        <f t="shared" si="45"/>
        <v>4.1942667911768962E-2</v>
      </c>
      <c r="X167" s="145">
        <f>IF(AND(INVOER!$T$36=1,INVOER!E110=1),1/100*N167*INVOER!$W$20*1000,1/100*O167*INVOER!$W$20*1000)</f>
        <v>7.9863028178389534E-8</v>
      </c>
      <c r="Y167" s="6">
        <f t="shared" si="35"/>
        <v>3.4681382293287724E-4</v>
      </c>
      <c r="Z167" s="44">
        <f t="shared" si="41"/>
        <v>4.2437826202288445E-4</v>
      </c>
      <c r="AA167" s="6"/>
      <c r="AB167" s="6"/>
      <c r="AC167" s="6"/>
      <c r="AD167" s="6"/>
      <c r="AE167" s="6"/>
      <c r="AF167" s="6"/>
    </row>
    <row r="168" spans="1:32" x14ac:dyDescent="0.2">
      <c r="A168" s="271">
        <f>'Berekening trap 1'!A168</f>
        <v>45.362693565632895</v>
      </c>
      <c r="B168" s="6">
        <f t="shared" si="43"/>
        <v>44.337923754809289</v>
      </c>
      <c r="C168" s="168">
        <f t="shared" si="42"/>
        <v>35.756104326720205</v>
      </c>
      <c r="D168" s="200">
        <f t="shared" si="46"/>
        <v>2.1006233492891054E-4</v>
      </c>
      <c r="E168" s="197">
        <f t="shared" si="39"/>
        <v>4.7184427077972537E-4</v>
      </c>
      <c r="F168" s="43">
        <f t="shared" si="30"/>
        <v>2.1006233492891054E-4</v>
      </c>
      <c r="G168" s="155">
        <f t="shared" si="30"/>
        <v>4.7184427077972537E-4</v>
      </c>
      <c r="H168" s="170">
        <f t="shared" si="44"/>
        <v>4.7184427077972537E-4</v>
      </c>
      <c r="I168" s="179">
        <f t="shared" si="36"/>
        <v>4.7184427077972537E-4</v>
      </c>
      <c r="J168" s="314">
        <f>IF(INVOER!$T$36=1,100-H168*100,100-I168*100)</f>
        <v>99.952815572922034</v>
      </c>
      <c r="K168" s="406">
        <f>IF(AND('Berekening trap 1'!$B$64=1,INVOER!$C$20=1),'Berekening trap 1'!U168,'Berekening trap 1'!V168)</f>
        <v>1.0290269542427204E-4</v>
      </c>
      <c r="L168" s="380">
        <f t="shared" si="31"/>
        <v>1.2791949921901018E-2</v>
      </c>
      <c r="M168" s="380">
        <f t="shared" si="37"/>
        <v>2.9150717989867944E-2</v>
      </c>
      <c r="N168" s="375">
        <f>'Berekening trap 2'!H168*$L168</f>
        <v>6.0358082827501511E-6</v>
      </c>
      <c r="O168" s="376">
        <f>'Berekening trap 2'!I168*$L168</f>
        <v>6.0358082827501511E-6</v>
      </c>
      <c r="Q168" s="396">
        <f t="shared" si="32"/>
        <v>99.999992967610794</v>
      </c>
      <c r="R168" s="6">
        <f t="shared" si="38"/>
        <v>44.337923754809289</v>
      </c>
      <c r="S168" s="380">
        <f>1/100*'Berekening trap 1'!T168*INVOER!$W$19*1000</f>
        <v>0.63816120253918862</v>
      </c>
      <c r="T168" s="380">
        <f t="shared" si="33"/>
        <v>0.69098981447822327</v>
      </c>
      <c r="U168" s="44">
        <f t="shared" si="40"/>
        <v>7.9683181212409888</v>
      </c>
      <c r="V168" s="380">
        <f t="shared" si="34"/>
        <v>1.2791949921901018E-2</v>
      </c>
      <c r="W168" s="44">
        <f t="shared" si="45"/>
        <v>2.9150717989867944E-2</v>
      </c>
      <c r="X168" s="145">
        <f>IF(AND(INVOER!$T$36=1,INVOER!E111=1),1/100*N168*INVOER!$W$20*1000,1/100*O168*INVOER!$W$20*1000)</f>
        <v>4.4877979588360927E-8</v>
      </c>
      <c r="Y168" s="6">
        <f t="shared" si="35"/>
        <v>1.9488747198236964E-4</v>
      </c>
      <c r="Z168" s="44">
        <f t="shared" si="41"/>
        <v>2.2949079004051481E-4</v>
      </c>
      <c r="AA168" s="6"/>
      <c r="AB168" s="6"/>
      <c r="AC168" s="6"/>
      <c r="AD168" s="6"/>
      <c r="AE168" s="6"/>
      <c r="AF168" s="6"/>
    </row>
    <row r="169" spans="1:32" x14ac:dyDescent="0.2">
      <c r="A169" s="271">
        <f>'Berekening trap 1'!A169</f>
        <v>47.509215565107738</v>
      </c>
      <c r="B169" s="6">
        <f t="shared" si="43"/>
        <v>46.435954565370317</v>
      </c>
      <c r="C169" s="168">
        <f t="shared" si="42"/>
        <v>37.448051134106663</v>
      </c>
      <c r="D169" s="200">
        <f t="shared" si="46"/>
        <v>1.5595419165219282E-4</v>
      </c>
      <c r="E169" s="197">
        <f t="shared" si="39"/>
        <v>3.6600886527868168E-4</v>
      </c>
      <c r="F169" s="43">
        <f t="shared" si="30"/>
        <v>1.5595419165219282E-4</v>
      </c>
      <c r="G169" s="155">
        <f t="shared" si="30"/>
        <v>3.6600886527868168E-4</v>
      </c>
      <c r="H169" s="170">
        <f t="shared" si="44"/>
        <v>3.6600886527868168E-4</v>
      </c>
      <c r="I169" s="179">
        <f t="shared" si="36"/>
        <v>3.6600886527868168E-4</v>
      </c>
      <c r="J169" s="314">
        <f>IF(INVOER!$T$36=1,100-H169*100,100-I169*100)</f>
        <v>99.963399113472136</v>
      </c>
      <c r="K169" s="406">
        <f>IF(AND('Berekening trap 1'!$B$64=1,INVOER!$C$20=1),'Berekening trap 1'!U169,'Berekening trap 1'!V169)</f>
        <v>7.3044627012385833E-5</v>
      </c>
      <c r="L169" s="380">
        <f t="shared" si="31"/>
        <v>9.0802598217070759E-3</v>
      </c>
      <c r="M169" s="380">
        <f t="shared" si="37"/>
        <v>2.0070458168160867E-2</v>
      </c>
      <c r="N169" s="375">
        <f>'Berekening trap 2'!H169*$L169</f>
        <v>3.3234555937786111E-6</v>
      </c>
      <c r="O169" s="376">
        <f>'Berekening trap 2'!I169*$L169</f>
        <v>3.3234555937786111E-6</v>
      </c>
      <c r="Q169" s="396">
        <f t="shared" si="32"/>
        <v>99.999995927188948</v>
      </c>
      <c r="R169" s="6">
        <f t="shared" si="38"/>
        <v>46.435954565370317</v>
      </c>
      <c r="S169" s="380">
        <f>1/100*'Berekening trap 1'!T169*INVOER!$W$19*1000</f>
        <v>0.60672721696240861</v>
      </c>
      <c r="T169" s="380">
        <f t="shared" si="33"/>
        <v>0.65695364340485485</v>
      </c>
      <c r="U169" s="44">
        <f t="shared" si="40"/>
        <v>7.3113644778361344</v>
      </c>
      <c r="V169" s="380">
        <f t="shared" si="34"/>
        <v>9.0802598217070759E-3</v>
      </c>
      <c r="W169" s="44">
        <f t="shared" si="45"/>
        <v>2.0070458168160867E-2</v>
      </c>
      <c r="X169" s="145">
        <f>IF(AND(INVOER!$T$36=1,INVOER!E112=1),1/100*N169*INVOER!$W$20*1000,1/100*O169*INVOER!$W$20*1000)</f>
        <v>2.4710853180456199E-8</v>
      </c>
      <c r="Y169" s="6">
        <f t="shared" si="35"/>
        <v>1.0730954804648983E-4</v>
      </c>
      <c r="Z169" s="44">
        <f t="shared" si="41"/>
        <v>1.2218124199402499E-4</v>
      </c>
      <c r="AA169" s="6"/>
      <c r="AB169" s="6"/>
      <c r="AC169" s="6"/>
      <c r="AD169" s="6"/>
      <c r="AE169" s="6"/>
      <c r="AF169" s="6"/>
    </row>
    <row r="170" spans="1:32" x14ac:dyDescent="0.2">
      <c r="A170" s="271">
        <f>'Berekening trap 1'!A170</f>
        <v>49.757309061600566</v>
      </c>
      <c r="B170" s="6">
        <f t="shared" si="43"/>
        <v>48.633262313354152</v>
      </c>
      <c r="C170" s="168">
        <f t="shared" si="42"/>
        <v>39.220059347871938</v>
      </c>
      <c r="D170" s="200">
        <f t="shared" si="46"/>
        <v>1.1460010794930651E-4</v>
      </c>
      <c r="E170" s="197">
        <f t="shared" si="39"/>
        <v>2.815213139795178E-4</v>
      </c>
      <c r="F170" s="43">
        <f t="shared" si="30"/>
        <v>1.1460010794930651E-4</v>
      </c>
      <c r="G170" s="155">
        <f t="shared" si="30"/>
        <v>2.815213139795178E-4</v>
      </c>
      <c r="H170" s="170">
        <f t="shared" si="44"/>
        <v>2.815213139795178E-4</v>
      </c>
      <c r="I170" s="179">
        <f t="shared" si="36"/>
        <v>2.815213139795178E-4</v>
      </c>
      <c r="J170" s="314">
        <f>IF(INVOER!$T$36=1,100-H170*100,100-I170*100)</f>
        <v>99.971847868602055</v>
      </c>
      <c r="K170" s="406">
        <f>IF(AND('Berekening trap 1'!$B$64=1,INVOER!$C$20=1),'Berekening trap 1'!U170,'Berekening trap 1'!V170)</f>
        <v>5.1203033902181312E-5</v>
      </c>
      <c r="L170" s="380">
        <f t="shared" si="31"/>
        <v>6.3651067916692229E-3</v>
      </c>
      <c r="M170" s="380">
        <f t="shared" si="37"/>
        <v>1.3705351376491644E-2</v>
      </c>
      <c r="N170" s="375">
        <f>'Berekening trap 2'!H170*$L170</f>
        <v>1.7919132276106726E-6</v>
      </c>
      <c r="O170" s="376">
        <f>'Berekening trap 2'!I170*$L170</f>
        <v>1.7919132276106726E-6</v>
      </c>
      <c r="Q170" s="396">
        <f t="shared" si="32"/>
        <v>99.999997683744311</v>
      </c>
      <c r="R170" s="6">
        <f t="shared" si="38"/>
        <v>48.633262313354152</v>
      </c>
      <c r="S170" s="380">
        <f>1/100*'Berekening trap 1'!T170*INVOER!$W$19*1000</f>
        <v>0.57521253081262247</v>
      </c>
      <c r="T170" s="380">
        <f t="shared" si="33"/>
        <v>0.62283009115922472</v>
      </c>
      <c r="U170" s="44">
        <f t="shared" si="40"/>
        <v>6.6885343866769098</v>
      </c>
      <c r="V170" s="380">
        <f t="shared" si="34"/>
        <v>6.3651067916692229E-3</v>
      </c>
      <c r="W170" s="44">
        <f t="shared" si="45"/>
        <v>1.3705351376491644E-2</v>
      </c>
      <c r="X170" s="145">
        <f>IF(AND(INVOER!$T$36=1,INVOER!E113=1),1/100*N170*INVOER!$W$20*1000,1/100*O170*INVOER!$W$20*1000)</f>
        <v>1.3323392905412889E-8</v>
      </c>
      <c r="Y170" s="6">
        <f t="shared" si="35"/>
        <v>5.7858272261373678E-5</v>
      </c>
      <c r="Z170" s="44">
        <f t="shared" si="41"/>
        <v>6.4322969732651315E-5</v>
      </c>
      <c r="AA170" s="6"/>
      <c r="AB170" s="6"/>
      <c r="AC170" s="6"/>
      <c r="AD170" s="6"/>
      <c r="AE170" s="6"/>
      <c r="AF170" s="6"/>
    </row>
    <row r="171" spans="1:32" x14ac:dyDescent="0.2">
      <c r="A171" s="271">
        <f>'Berekening trap 1'!A171</f>
        <v>52.111780327308445</v>
      </c>
      <c r="B171" s="46">
        <f t="shared" si="43"/>
        <v>50.934544694454502</v>
      </c>
      <c r="C171" s="182">
        <f t="shared" si="42"/>
        <v>41.075917402004251</v>
      </c>
      <c r="D171" s="201">
        <f t="shared" si="46"/>
        <v>8.332152047495465E-5</v>
      </c>
      <c r="E171" s="167">
        <f t="shared" si="39"/>
        <v>2.1465232520661648E-4</v>
      </c>
      <c r="F171" s="45">
        <f t="shared" si="30"/>
        <v>8.332152047495465E-5</v>
      </c>
      <c r="G171" s="183">
        <f t="shared" si="30"/>
        <v>2.1465232520661648E-4</v>
      </c>
      <c r="H171" s="171">
        <f t="shared" si="44"/>
        <v>2.1465232520661648E-4</v>
      </c>
      <c r="I171" s="235">
        <f t="shared" si="36"/>
        <v>2.1465232520661648E-4</v>
      </c>
      <c r="J171" s="314">
        <f>IF(INVOER!$T$36=1,100-H171*100,100-I171*100)</f>
        <v>99.978534767479331</v>
      </c>
      <c r="K171" s="406">
        <f>IF(AND('Berekening trap 1'!$B$64=1,INVOER!$C$20=1),'Berekening trap 1'!U171,'Berekening trap 1'!V171)</f>
        <v>3.6920133838200246E-5</v>
      </c>
      <c r="L171" s="377">
        <f t="shared" si="31"/>
        <v>4.5895834042141348E-3</v>
      </c>
      <c r="M171" s="377">
        <f t="shared" si="37"/>
        <v>9.1157679722775088E-3</v>
      </c>
      <c r="N171" s="378">
        <f>'Berekening trap 2'!H171*$L171</f>
        <v>9.8516474944426246E-7</v>
      </c>
      <c r="O171" s="379">
        <f>'Berekening trap 2'!I171*$L171</f>
        <v>9.8516474944426246E-7</v>
      </c>
      <c r="Q171" s="396">
        <f t="shared" si="32"/>
        <v>99.99999870724271</v>
      </c>
      <c r="R171" s="6">
        <f t="shared" si="38"/>
        <v>50.934544694454502</v>
      </c>
      <c r="S171" s="380">
        <f>1/100*'Berekening trap 1'!T171*INVOER!$W$19*1000</f>
        <v>0.56661716821960406</v>
      </c>
      <c r="T171" s="380">
        <f t="shared" si="33"/>
        <v>0.61352318252878635</v>
      </c>
      <c r="U171" s="44">
        <f t="shared" si="40"/>
        <v>6.0750112041481232</v>
      </c>
      <c r="V171" s="380">
        <f t="shared" si="34"/>
        <v>4.5895834042141348E-3</v>
      </c>
      <c r="W171" s="44">
        <f t="shared" si="45"/>
        <v>9.1157679722775088E-3</v>
      </c>
      <c r="X171" s="145">
        <f>IF(AND(INVOER!$T$36=1,INVOER!E114=1),1/100*N171*INVOER!$W$20*1000,1/100*O171*INVOER!$W$20*1000)</f>
        <v>7.3249847320510827E-9</v>
      </c>
      <c r="Y171" s="6">
        <f t="shared" si="35"/>
        <v>3.1809537101111484E-5</v>
      </c>
      <c r="Z171" s="44">
        <f t="shared" si="41"/>
        <v>3.2513432631539831E-5</v>
      </c>
      <c r="AA171" s="6"/>
      <c r="AB171" s="6"/>
      <c r="AC171" s="6"/>
      <c r="AD171" s="6"/>
      <c r="AE171" s="6"/>
      <c r="AF171" s="6"/>
    </row>
    <row r="172" spans="1:32" x14ac:dyDescent="0.2">
      <c r="A172" s="270">
        <f>'Berekening trap 1'!A172</f>
        <v>54.577663062920799</v>
      </c>
      <c r="B172" s="6">
        <f t="shared" si="43"/>
        <v>53.344721695114622</v>
      </c>
      <c r="C172" s="168">
        <f t="shared" si="42"/>
        <v>43.019592995792451</v>
      </c>
      <c r="D172" s="200">
        <f t="shared" si="46"/>
        <v>5.991743856562616E-5</v>
      </c>
      <c r="E172" s="197">
        <f t="shared" si="39"/>
        <v>1.6219534079536091E-4</v>
      </c>
      <c r="F172" s="43">
        <f t="shared" si="30"/>
        <v>5.991743856562616E-5</v>
      </c>
      <c r="G172" s="155">
        <f t="shared" si="30"/>
        <v>1.6219534079536091E-4</v>
      </c>
      <c r="H172" s="170">
        <f t="shared" si="44"/>
        <v>1.6219534079536091E-4</v>
      </c>
      <c r="I172" s="179">
        <f t="shared" si="36"/>
        <v>1.6219534079536091E-4</v>
      </c>
      <c r="J172" s="313">
        <f>IF(INVOER!$T$36=1,100-H172*100,100-I172*100)</f>
        <v>99.983780465920461</v>
      </c>
      <c r="K172" s="405">
        <f>IF(AND('Berekening trap 1'!$B$64=1,INVOER!$C$20=1),'Berekening trap 1'!U172,'Berekening trap 1'!V172)</f>
        <v>2.5257152821477375E-5</v>
      </c>
      <c r="L172" s="380">
        <f t="shared" ref="L172:L186" si="47">100*K172/$K$187</f>
        <v>3.1397451031776528E-3</v>
      </c>
      <c r="M172" s="380">
        <f t="shared" si="37"/>
        <v>5.9760228690998556E-3</v>
      </c>
      <c r="N172" s="375">
        <f>'Berekening trap 2'!H172*$L172</f>
        <v>5.0925202702046504E-7</v>
      </c>
      <c r="O172" s="376">
        <f>'Berekening trap 2'!I172*$L172</f>
        <v>5.0925202702046504E-7</v>
      </c>
      <c r="Q172" s="396">
        <f t="shared" ref="Q172:Q186" si="48">IF(S172=0,100,100*(S172-X172)/S172)</f>
        <v>99.999999292356677</v>
      </c>
      <c r="R172" s="6">
        <f t="shared" si="38"/>
        <v>53.344721695114622</v>
      </c>
      <c r="S172" s="380">
        <f>1/100*'Berekening trap 1'!T172*INVOER!$W$19*1000</f>
        <v>0.53507691305109306</v>
      </c>
      <c r="T172" s="380">
        <f t="shared" ref="T172:T186" si="49">100*S172/$S$187</f>
        <v>0.57937194459584906</v>
      </c>
      <c r="U172" s="44">
        <f t="shared" si="40"/>
        <v>5.4956392595522745</v>
      </c>
      <c r="V172" s="380">
        <f t="shared" ref="V172:V186" si="50">L172</f>
        <v>3.1397451031776528E-3</v>
      </c>
      <c r="W172" s="44">
        <f t="shared" si="45"/>
        <v>5.9760228690998556E-3</v>
      </c>
      <c r="X172" s="145">
        <f>IF(AND(INVOER!$T$36=1,INVOER!E115=1),1/100*N172*INVOER!$W$20*1000,1/100*O172*INVOER!$W$20*1000)</f>
        <v>3.7864360502091005E-9</v>
      </c>
      <c r="Y172" s="6">
        <f t="shared" ref="Y172:Y186" si="51">100*X172/$X$187</f>
        <v>1.6443007381721385E-5</v>
      </c>
      <c r="Z172" s="44">
        <f t="shared" si="41"/>
        <v>1.6070425249818445E-5</v>
      </c>
      <c r="AA172" s="6"/>
      <c r="AB172" s="6"/>
      <c r="AC172" s="6"/>
      <c r="AD172" s="6"/>
      <c r="AE172" s="6"/>
      <c r="AF172" s="6"/>
    </row>
    <row r="173" spans="1:32" x14ac:dyDescent="0.2">
      <c r="A173" s="271">
        <f>'Berekening trap 1'!A173</f>
        <v>57.160229159331799</v>
      </c>
      <c r="B173" s="6">
        <f t="shared" si="43"/>
        <v>55.868946111126299</v>
      </c>
      <c r="C173" s="168">
        <f t="shared" si="42"/>
        <v>45.055241576499341</v>
      </c>
      <c r="D173" s="200">
        <f t="shared" si="46"/>
        <v>4.2599778528251133E-5</v>
      </c>
      <c r="E173" s="197">
        <f t="shared" si="39"/>
        <v>1.2141972238195247E-4</v>
      </c>
      <c r="F173" s="43">
        <f t="shared" si="30"/>
        <v>4.2599778528251133E-5</v>
      </c>
      <c r="G173" s="155">
        <f t="shared" si="30"/>
        <v>1.2141972238195247E-4</v>
      </c>
      <c r="H173" s="170">
        <f t="shared" si="44"/>
        <v>1.2141972238195247E-4</v>
      </c>
      <c r="I173" s="179">
        <f t="shared" si="36"/>
        <v>1.2141972238195247E-4</v>
      </c>
      <c r="J173" s="314">
        <f>IF(INVOER!$T$36=1,100-H173*100,100-I173*100)</f>
        <v>99.987858027761803</v>
      </c>
      <c r="K173" s="406">
        <f>IF(AND('Berekening trap 1'!$B$64=1,INVOER!$C$20=1),'Berekening trap 1'!U173,'Berekening trap 1'!V173)</f>
        <v>1.6949880394427292E-5</v>
      </c>
      <c r="L173" s="380">
        <f t="shared" si="47"/>
        <v>2.1070587149710678E-3</v>
      </c>
      <c r="M173" s="380">
        <f t="shared" ref="M173:M186" si="52">M172-L173</f>
        <v>3.8689641541287878E-3</v>
      </c>
      <c r="N173" s="375">
        <f>'Berekening trap 2'!H173*$L173</f>
        <v>2.5583848421426058E-7</v>
      </c>
      <c r="O173" s="376">
        <f>'Berekening trap 2'!I173*$L173</f>
        <v>2.5583848421426058E-7</v>
      </c>
      <c r="Q173" s="396">
        <f t="shared" si="48"/>
        <v>99.999999620336894</v>
      </c>
      <c r="R173" s="6">
        <f t="shared" si="38"/>
        <v>55.868946111126299</v>
      </c>
      <c r="S173" s="380">
        <f>1/100*'Berekening trap 1'!T173*INVOER!$W$19*1000</f>
        <v>0.50103186632410746</v>
      </c>
      <c r="T173" s="380">
        <f t="shared" si="49"/>
        <v>0.54250856207090215</v>
      </c>
      <c r="U173" s="44">
        <f t="shared" si="40"/>
        <v>4.953130697481372</v>
      </c>
      <c r="V173" s="380">
        <f t="shared" si="50"/>
        <v>2.1070587149710678E-3</v>
      </c>
      <c r="W173" s="44">
        <f t="shared" si="45"/>
        <v>3.8689641541287878E-3</v>
      </c>
      <c r="X173" s="145">
        <f>IF(AND(INVOER!$T$36=1,INVOER!E116=1),1/100*N173*INVOER!$W$20*1000,1/100*O173*INVOER!$W$20*1000)</f>
        <v>1.9022330953251149E-9</v>
      </c>
      <c r="Y173" s="6">
        <f t="shared" si="51"/>
        <v>8.2606526066796446E-6</v>
      </c>
      <c r="Z173" s="44">
        <f t="shared" si="41"/>
        <v>7.8097726431388009E-6</v>
      </c>
      <c r="AA173" s="6"/>
      <c r="AB173" s="6"/>
      <c r="AC173" s="6"/>
      <c r="AD173" s="6"/>
      <c r="AE173" s="6"/>
      <c r="AF173" s="6"/>
    </row>
    <row r="174" spans="1:32" x14ac:dyDescent="0.2">
      <c r="A174" s="271">
        <f>'Berekening trap 1'!A174</f>
        <v>59.864999968587362</v>
      </c>
      <c r="B174" s="6">
        <f t="shared" si="43"/>
        <v>58.51261456395958</v>
      </c>
      <c r="C174" s="168">
        <f t="shared" si="42"/>
        <v>47.18721522342755</v>
      </c>
      <c r="D174" s="200">
        <f t="shared" si="46"/>
        <v>2.9932838622841341E-5</v>
      </c>
      <c r="E174" s="197">
        <f t="shared" si="39"/>
        <v>9.0022996769914247E-5</v>
      </c>
      <c r="F174" s="43">
        <f t="shared" si="30"/>
        <v>2.9932838622841341E-5</v>
      </c>
      <c r="G174" s="155">
        <f t="shared" si="30"/>
        <v>9.0022996769914247E-5</v>
      </c>
      <c r="H174" s="170">
        <f t="shared" si="44"/>
        <v>9.0022996769914247E-5</v>
      </c>
      <c r="I174" s="179">
        <f t="shared" si="36"/>
        <v>9.0022996769914247E-5</v>
      </c>
      <c r="J174" s="314">
        <f>IF(INVOER!$T$36=1,100-H174*100,100-I174*100)</f>
        <v>99.990997700323007</v>
      </c>
      <c r="K174" s="406">
        <f>IF(AND('Berekening trap 1'!$B$64=1,INVOER!$C$20=1),'Berekening trap 1'!U174,'Berekening trap 1'!V174)</f>
        <v>1.1209454593357848E-5</v>
      </c>
      <c r="L174" s="380">
        <f t="shared" si="47"/>
        <v>1.3934599207421231E-3</v>
      </c>
      <c r="M174" s="380">
        <f t="shared" si="52"/>
        <v>2.4755042333866649E-3</v>
      </c>
      <c r="N174" s="375">
        <f>'Berekening trap 2'!H174*$L174</f>
        <v>1.2544343794397311E-7</v>
      </c>
      <c r="O174" s="376">
        <f>'Berekening trap 2'!I174*$L174</f>
        <v>1.2544343794397311E-7</v>
      </c>
      <c r="Q174" s="396">
        <f t="shared" si="48"/>
        <v>99.999999800483323</v>
      </c>
      <c r="R174" s="6">
        <f t="shared" si="38"/>
        <v>58.51261456395958</v>
      </c>
      <c r="S174" s="380">
        <f>1/100*'Berekening trap 1'!T174*INVOER!$W$19*1000</f>
        <v>0.46748383171126429</v>
      </c>
      <c r="T174" s="380">
        <f t="shared" si="49"/>
        <v>0.50618333559050677</v>
      </c>
      <c r="U174" s="44">
        <f t="shared" si="40"/>
        <v>4.4469473618908655</v>
      </c>
      <c r="V174" s="380">
        <f t="shared" si="50"/>
        <v>1.3934599207421231E-3</v>
      </c>
      <c r="W174" s="44">
        <f t="shared" si="45"/>
        <v>2.4755042333866649E-3</v>
      </c>
      <c r="X174" s="145">
        <f>IF(AND(INVOER!$T$36=1,INVOER!E117=1),1/100*N174*INVOER!$W$20*1000,1/100*O174*INVOER!$W$20*1000)</f>
        <v>9.3270822793237516E-10</v>
      </c>
      <c r="Y174" s="6">
        <f t="shared" si="51"/>
        <v>4.0503861873059714E-6</v>
      </c>
      <c r="Z174" s="44">
        <f t="shared" si="41"/>
        <v>3.7593864558328295E-6</v>
      </c>
      <c r="AA174" s="6"/>
      <c r="AB174" s="6"/>
      <c r="AC174" s="6"/>
      <c r="AD174" s="6"/>
      <c r="AE174" s="6"/>
      <c r="AF174" s="6"/>
    </row>
    <row r="175" spans="1:32" x14ac:dyDescent="0.2">
      <c r="A175" s="271">
        <f>'Berekening trap 1'!A175</f>
        <v>62.697758108163249</v>
      </c>
      <c r="B175" s="6">
        <f>(A174+A175)/2</f>
        <v>61.281379038375306</v>
      </c>
      <c r="C175" s="168">
        <f t="shared" si="42"/>
        <v>49.420071952371401</v>
      </c>
      <c r="D175" s="200">
        <f t="shared" si="46"/>
        <v>2.077769641635782E-5</v>
      </c>
      <c r="E175" s="197">
        <f t="shared" si="39"/>
        <v>6.6083322548969749E-5</v>
      </c>
      <c r="F175" s="43">
        <f t="shared" si="30"/>
        <v>2.077769641635782E-5</v>
      </c>
      <c r="G175" s="155">
        <f t="shared" si="30"/>
        <v>6.6083322548969749E-5</v>
      </c>
      <c r="H175" s="170">
        <f t="shared" si="44"/>
        <v>6.6083322548969749E-5</v>
      </c>
      <c r="I175" s="179">
        <f t="shared" si="36"/>
        <v>6.6083322548969749E-5</v>
      </c>
      <c r="J175" s="314">
        <f>IF(INVOER!$T$36=1,100-H175*100,100-I175*100)</f>
        <v>99.993391667745101</v>
      </c>
      <c r="K175" s="406">
        <f>IF(AND('Berekening trap 1'!$B$64=1,INVOER!$C$20=1),'Berekening trap 1'!U175,'Berekening trap 1'!V175)</f>
        <v>7.7800790925209119E-6</v>
      </c>
      <c r="L175" s="380">
        <f t="shared" si="47"/>
        <v>9.6715039124701022E-4</v>
      </c>
      <c r="M175" s="380">
        <f t="shared" si="52"/>
        <v>1.5083538421396547E-3</v>
      </c>
      <c r="N175" s="375">
        <f>'Berekening trap 2'!H175*$L175</f>
        <v>6.3912511258138463E-8</v>
      </c>
      <c r="O175" s="376">
        <f>'Berekening trap 2'!I175*$L175</f>
        <v>6.3912511258138463E-8</v>
      </c>
      <c r="Q175" s="396">
        <f t="shared" si="48"/>
        <v>99.999999897373968</v>
      </c>
      <c r="R175" s="6">
        <f t="shared" si="38"/>
        <v>61.281379038375306</v>
      </c>
      <c r="S175" s="380">
        <f>1/100*'Berekening trap 1'!T175*INVOER!$W$19*1000</f>
        <v>0.46304817569071771</v>
      </c>
      <c r="T175" s="380">
        <f t="shared" si="49"/>
        <v>0.50138048465169793</v>
      </c>
      <c r="U175" s="44">
        <f t="shared" si="40"/>
        <v>3.9455668772391674</v>
      </c>
      <c r="V175" s="380">
        <f t="shared" si="50"/>
        <v>9.6715039124701022E-4</v>
      </c>
      <c r="W175" s="44">
        <f t="shared" si="45"/>
        <v>1.5083538421396547E-3</v>
      </c>
      <c r="X175" s="145">
        <f>IF(AND(INVOER!$T$36=1,INVOER!E118=1),1/100*N175*INVOER!$W$20*1000,1/100*O175*INVOER!$W$20*1000)</f>
        <v>4.7520799888241855E-10</v>
      </c>
      <c r="Y175" s="6">
        <f t="shared" si="51"/>
        <v>2.0636420448841725E-6</v>
      </c>
      <c r="Z175" s="44">
        <f t="shared" si="41"/>
        <v>1.6957444109486571E-6</v>
      </c>
      <c r="AB175" s="6"/>
      <c r="AC175" s="6"/>
    </row>
    <row r="176" spans="1:32" x14ac:dyDescent="0.2">
      <c r="A176" s="272">
        <f>'Berekening trap 1'!A176</f>
        <v>65.664559823811032</v>
      </c>
      <c r="B176" s="46">
        <f t="shared" ref="B176:B185" si="53">(A175+A176)/2</f>
        <v>64.181158965987137</v>
      </c>
      <c r="C176" s="182">
        <f t="shared" si="42"/>
        <v>51.758585460347099</v>
      </c>
      <c r="D176" s="201">
        <f t="shared" si="46"/>
        <v>1.4242037873800962E-5</v>
      </c>
      <c r="E176" s="167">
        <f t="shared" si="39"/>
        <v>4.8013196746683293E-5</v>
      </c>
      <c r="F176" s="45">
        <f t="shared" ref="F176:G185" si="54">D176^($B$54*$B$63)</f>
        <v>1.4242037873800962E-5</v>
      </c>
      <c r="G176" s="183">
        <f t="shared" si="54"/>
        <v>4.8013196746683293E-5</v>
      </c>
      <c r="H176" s="171">
        <f t="shared" si="44"/>
        <v>4.8013196746683293E-5</v>
      </c>
      <c r="I176" s="235">
        <f t="shared" si="36"/>
        <v>4.8013196746683293E-5</v>
      </c>
      <c r="J176" s="315">
        <f>IF(INVOER!$T$36=1,100-H176*100,100-I176*100)</f>
        <v>99.995198680325331</v>
      </c>
      <c r="K176" s="407">
        <f>IF(AND('Berekening trap 1'!$B$64=1,INVOER!$C$20=1),'Berekening trap 1'!U176,'Berekening trap 1'!V176)</f>
        <v>4.9771512492119709E-6</v>
      </c>
      <c r="L176" s="380">
        <f t="shared" si="47"/>
        <v>6.1871527534962075E-4</v>
      </c>
      <c r="M176" s="380">
        <f t="shared" si="52"/>
        <v>8.8963856679003396E-4</v>
      </c>
      <c r="N176" s="375">
        <f>'Berekening trap 2'!H176*$L176</f>
        <v>2.9706498245539669E-8</v>
      </c>
      <c r="O176" s="376">
        <f>'Berekening trap 2'!I176*$L176</f>
        <v>2.9706498245539669E-8</v>
      </c>
      <c r="Q176" s="396">
        <f t="shared" si="48"/>
        <v>99.999999948367375</v>
      </c>
      <c r="R176" s="6">
        <f t="shared" si="38"/>
        <v>64.181158965987137</v>
      </c>
      <c r="S176" s="380">
        <f>1/100*'Berekening trap 1'!T176*INVOER!$W$19*1000</f>
        <v>0.4277846243030341</v>
      </c>
      <c r="T176" s="380">
        <f t="shared" si="49"/>
        <v>0.46319772654251551</v>
      </c>
      <c r="U176" s="44">
        <f t="shared" si="40"/>
        <v>3.4823691506966519</v>
      </c>
      <c r="V176" s="380">
        <f t="shared" si="50"/>
        <v>6.1871527534962075E-4</v>
      </c>
      <c r="W176" s="44">
        <f t="shared" si="45"/>
        <v>8.8963856679003396E-4</v>
      </c>
      <c r="X176" s="145">
        <f>IF(AND(INVOER!$T$36=1,INVOER!E119=1),1/100*N176*INVOER!$W$20*1000,1/100*O176*INVOER!$W$20*1000)</f>
        <v>2.2087640286970237E-10</v>
      </c>
      <c r="Y176" s="6">
        <f t="shared" si="51"/>
        <v>9.5917962819787163E-7</v>
      </c>
      <c r="Z176" s="44">
        <f t="shared" si="41"/>
        <v>7.3656478275078545E-7</v>
      </c>
      <c r="AB176" s="6"/>
      <c r="AC176" s="6"/>
    </row>
    <row r="177" spans="1:29" x14ac:dyDescent="0.2">
      <c r="A177" s="271">
        <f>'Berekening trap 1'!A177</f>
        <v>68.771747937402836</v>
      </c>
      <c r="B177" s="6">
        <f t="shared" si="53"/>
        <v>67.218153880606934</v>
      </c>
      <c r="C177" s="168">
        <f t="shared" si="42"/>
        <v>54.207755331434832</v>
      </c>
      <c r="D177" s="200">
        <f t="shared" si="46"/>
        <v>9.6356735791588025E-6</v>
      </c>
      <c r="E177" s="197">
        <f t="shared" si="39"/>
        <v>3.4515257028368293E-5</v>
      </c>
      <c r="F177" s="43">
        <f t="shared" si="54"/>
        <v>9.6356735791588025E-6</v>
      </c>
      <c r="G177" s="155">
        <f t="shared" si="54"/>
        <v>3.4515257028368293E-5</v>
      </c>
      <c r="H177" s="170">
        <f t="shared" si="44"/>
        <v>3.4515257028368293E-5</v>
      </c>
      <c r="I177" s="179">
        <f t="shared" si="36"/>
        <v>3.4515257028368293E-5</v>
      </c>
      <c r="J177" s="314">
        <f>IF(INVOER!$T$36=1,100-H177*100,100-I177*100)</f>
        <v>99.996548474297157</v>
      </c>
      <c r="K177" s="406">
        <f>IF(AND('Berekening trap 1'!$B$64=1,INVOER!$C$20=1),'Berekening trap 1'!U177,'Berekening trap 1'!V177)</f>
        <v>3.1203855158866469E-6</v>
      </c>
      <c r="L177" s="381">
        <f t="shared" si="47"/>
        <v>3.8789863658743545E-4</v>
      </c>
      <c r="M177" s="381">
        <f t="shared" si="52"/>
        <v>5.017399302025985E-4</v>
      </c>
      <c r="N177" s="372">
        <f>'Berekening trap 2'!H177*$L177</f>
        <v>1.3388421142768959E-8</v>
      </c>
      <c r="O177" s="373">
        <f>'Berekening trap 2'!I177*$L177</f>
        <v>1.3388421142768959E-8</v>
      </c>
      <c r="Q177" s="396">
        <f t="shared" si="48"/>
        <v>99.999999974610205</v>
      </c>
      <c r="R177" s="6">
        <f t="shared" si="38"/>
        <v>67.218153880606934</v>
      </c>
      <c r="S177" s="380">
        <f>1/100*'Berekening trap 1'!T177*INVOER!$W$19*1000</f>
        <v>0.39207381201111929</v>
      </c>
      <c r="T177" s="380">
        <f t="shared" si="49"/>
        <v>0.42453068213073691</v>
      </c>
      <c r="U177" s="44">
        <f t="shared" si="40"/>
        <v>3.0578384685659148</v>
      </c>
      <c r="V177" s="380">
        <f t="shared" si="50"/>
        <v>3.8789863658743545E-4</v>
      </c>
      <c r="W177" s="44">
        <f t="shared" si="45"/>
        <v>5.017399302025985E-4</v>
      </c>
      <c r="X177" s="145">
        <f>IF(AND(INVOER!$T$36=1,INVOER!E120=1),1/100*N177*INVOER!$W$20*1000,1/100*O177*INVOER!$W$20*1000)</f>
        <v>9.954678190868523E-11</v>
      </c>
      <c r="Y177" s="6">
        <f t="shared" si="51"/>
        <v>4.3229264882493601E-7</v>
      </c>
      <c r="Z177" s="44">
        <f t="shared" si="41"/>
        <v>3.0427213392584943E-7</v>
      </c>
      <c r="AB177" s="6"/>
      <c r="AC177" s="6"/>
    </row>
    <row r="178" spans="1:29" x14ac:dyDescent="0.2">
      <c r="A178" s="271">
        <f>'Berekening trap 1'!A178</f>
        <v>72.025965407456496</v>
      </c>
      <c r="B178" s="6">
        <f t="shared" si="53"/>
        <v>70.398856672429673</v>
      </c>
      <c r="C178" s="168">
        <f t="shared" si="42"/>
        <v>56.772817725552194</v>
      </c>
      <c r="D178" s="200">
        <f t="shared" si="46"/>
        <v>6.4317713535103125E-6</v>
      </c>
      <c r="E178" s="197">
        <f t="shared" si="39"/>
        <v>2.4540860359038189E-5</v>
      </c>
      <c r="F178" s="43">
        <f t="shared" si="54"/>
        <v>6.4317713535103125E-6</v>
      </c>
      <c r="G178" s="155">
        <f t="shared" si="54"/>
        <v>2.4540860359038189E-5</v>
      </c>
      <c r="H178" s="170">
        <f t="shared" si="44"/>
        <v>2.4540860359038189E-5</v>
      </c>
      <c r="I178" s="179">
        <f t="shared" si="36"/>
        <v>2.4540860359038189E-5</v>
      </c>
      <c r="J178" s="314">
        <f>IF(INVOER!$T$36=1,100-H178*100,100-I178*100)</f>
        <v>99.997545913964103</v>
      </c>
      <c r="K178" s="406">
        <f>IF(AND('Berekening trap 1'!$B$64=1,INVOER!$C$20=1),'Berekening trap 1'!U178,'Berekening trap 1'!V178)</f>
        <v>1.9226045368520952E-6</v>
      </c>
      <c r="L178" s="380">
        <f t="shared" si="47"/>
        <v>2.3900113455366942E-4</v>
      </c>
      <c r="M178" s="380">
        <f t="shared" si="52"/>
        <v>2.6273879564892911E-4</v>
      </c>
      <c r="N178" s="375">
        <f>'Berekening trap 2'!H178*$L178</f>
        <v>5.8652934687332983E-9</v>
      </c>
      <c r="O178" s="376">
        <f>'Berekening trap 2'!I178*$L178</f>
        <v>5.8652934687332983E-9</v>
      </c>
      <c r="Q178" s="396">
        <f t="shared" si="48"/>
        <v>99.999999987806376</v>
      </c>
      <c r="R178" s="6">
        <f t="shared" si="38"/>
        <v>70.398856672429673</v>
      </c>
      <c r="S178" s="380">
        <f>1/100*'Berekening trap 1'!T178*INVOER!$W$19*1000</f>
        <v>0.35764695598993584</v>
      </c>
      <c r="T178" s="380">
        <f t="shared" si="49"/>
        <v>0.38725388316443621</v>
      </c>
      <c r="U178" s="44">
        <f t="shared" si="40"/>
        <v>2.6705845854014787</v>
      </c>
      <c r="V178" s="380">
        <f t="shared" si="50"/>
        <v>2.3900113455366942E-4</v>
      </c>
      <c r="W178" s="44">
        <f t="shared" si="45"/>
        <v>2.6273879564892911E-4</v>
      </c>
      <c r="X178" s="145">
        <f>IF(AND(INVOER!$T$36=1,INVOER!E121=1),1/100*N178*INVOER!$W$20*1000,1/100*O178*INVOER!$W$20*1000)</f>
        <v>4.3610152648789093E-11</v>
      </c>
      <c r="Y178" s="6">
        <f t="shared" si="51"/>
        <v>1.8938179660592335E-7</v>
      </c>
      <c r="Z178" s="44">
        <f t="shared" si="41"/>
        <v>1.1489033731992609E-7</v>
      </c>
      <c r="AB178" s="6"/>
      <c r="AC178" s="6"/>
    </row>
    <row r="179" spans="1:29" x14ac:dyDescent="0.2">
      <c r="A179" s="271">
        <f>'Berekening trap 1'!A179</f>
        <v>75.434169531332628</v>
      </c>
      <c r="B179" s="6">
        <f t="shared" si="53"/>
        <v>73.730067469394555</v>
      </c>
      <c r="C179" s="168">
        <f t="shared" si="42"/>
        <v>59.459256573010705</v>
      </c>
      <c r="D179" s="200">
        <f t="shared" si="46"/>
        <v>4.2336431543852628E-6</v>
      </c>
      <c r="E179" s="197">
        <f t="shared" si="39"/>
        <v>1.7251941531195875E-5</v>
      </c>
      <c r="F179" s="43">
        <f t="shared" si="54"/>
        <v>4.2336431543852628E-6</v>
      </c>
      <c r="G179" s="155">
        <f t="shared" si="54"/>
        <v>1.7251941531195875E-5</v>
      </c>
      <c r="H179" s="170">
        <f t="shared" si="44"/>
        <v>1.7251941531195875E-5</v>
      </c>
      <c r="I179" s="179">
        <f t="shared" si="36"/>
        <v>1.7251941531195875E-5</v>
      </c>
      <c r="J179" s="314">
        <f>IF(INVOER!$T$36=1,100-H179*100,100-I179*100)</f>
        <v>99.998274805846876</v>
      </c>
      <c r="K179" s="406">
        <f>IF(AND('Berekening trap 1'!$B$64=1,INVOER!$C$20=1),'Berekening trap 1'!U179,'Berekening trap 1'!V179)</f>
        <v>1.1634970651451872E-6</v>
      </c>
      <c r="L179" s="380">
        <f t="shared" si="47"/>
        <v>1.4463563009939814E-4</v>
      </c>
      <c r="M179" s="380">
        <f t="shared" si="52"/>
        <v>1.1810316554953097E-4</v>
      </c>
      <c r="N179" s="375">
        <f>'Berekening trap 2'!H179*$L179</f>
        <v>2.4952454338024907E-9</v>
      </c>
      <c r="O179" s="376">
        <f>'Berekening trap 2'!I179*$L179</f>
        <v>2.4952454338024907E-9</v>
      </c>
      <c r="Q179" s="396">
        <f t="shared" si="48"/>
        <v>99.999999994285162</v>
      </c>
      <c r="R179" s="6">
        <f t="shared" si="38"/>
        <v>73.730067469394555</v>
      </c>
      <c r="S179" s="380">
        <f>1/100*'Berekening trap 1'!T179*INVOER!$W$19*1000</f>
        <v>0.32464380643197105</v>
      </c>
      <c r="T179" s="380">
        <f t="shared" si="49"/>
        <v>0.35151864871345945</v>
      </c>
      <c r="U179" s="44">
        <f t="shared" si="40"/>
        <v>2.3190659366880193</v>
      </c>
      <c r="V179" s="380">
        <f t="shared" si="50"/>
        <v>1.4463563009939814E-4</v>
      </c>
      <c r="W179" s="44">
        <f t="shared" si="45"/>
        <v>1.1810316554953097E-4</v>
      </c>
      <c r="X179" s="145">
        <f>IF(AND(INVOER!$T$36=1,INVOER!E122=1),1/100*N179*INVOER!$W$20*1000,1/100*O179*INVOER!$W$20*1000)</f>
        <v>1.8552871198075196E-11</v>
      </c>
      <c r="Y179" s="6">
        <f t="shared" si="51"/>
        <v>8.0567846390863983E-8</v>
      </c>
      <c r="Z179" s="44">
        <f t="shared" si="41"/>
        <v>3.4322490929062105E-8</v>
      </c>
      <c r="AB179" s="6"/>
      <c r="AC179" s="6"/>
    </row>
    <row r="180" spans="1:29" x14ac:dyDescent="0.2">
      <c r="A180" s="271">
        <f>'Berekening trap 1'!A180</f>
        <v>79.00364681946688</v>
      </c>
      <c r="B180" s="6">
        <f t="shared" si="53"/>
        <v>77.218908175399747</v>
      </c>
      <c r="C180" s="168">
        <f t="shared" si="42"/>
        <v>62.272815298788849</v>
      </c>
      <c r="D180" s="200">
        <f t="shared" si="46"/>
        <v>2.7467715965629368E-6</v>
      </c>
      <c r="E180" s="197">
        <f t="shared" si="39"/>
        <v>1.1986482395154103E-5</v>
      </c>
      <c r="F180" s="43">
        <f t="shared" si="54"/>
        <v>2.7467715965629368E-6</v>
      </c>
      <c r="G180" s="155">
        <f t="shared" si="54"/>
        <v>1.1986482395154103E-5</v>
      </c>
      <c r="H180" s="170">
        <f t="shared" si="44"/>
        <v>1.1986482395154103E-5</v>
      </c>
      <c r="I180" s="179">
        <f t="shared" si="36"/>
        <v>1.1986482395154103E-5</v>
      </c>
      <c r="J180" s="314">
        <f>IF(INVOER!$T$36=1,100-H180*100,100-I180*100)</f>
        <v>99.998801351760491</v>
      </c>
      <c r="K180" s="406">
        <f>IF(AND('Berekening trap 1'!$B$64=1,INVOER!$C$20=1),'Berekening trap 1'!U180,'Berekening trap 1'!V180)</f>
        <v>6.9113761039246974E-7</v>
      </c>
      <c r="L180" s="380">
        <f t="shared" si="47"/>
        <v>8.5916094469936033E-5</v>
      </c>
      <c r="M180" s="380">
        <f t="shared" si="52"/>
        <v>3.2187071079594937E-5</v>
      </c>
      <c r="N180" s="375">
        <f>'Berekening trap 2'!H180*$L180</f>
        <v>1.029831753824285E-9</v>
      </c>
      <c r="O180" s="376">
        <f>'Berekening trap 2'!I180*$L180</f>
        <v>1.029831753824285E-9</v>
      </c>
      <c r="Q180" s="396">
        <f t="shared" si="48"/>
        <v>99.999999997388315</v>
      </c>
      <c r="R180" s="6">
        <f t="shared" si="38"/>
        <v>77.218908175399747</v>
      </c>
      <c r="S180" s="380">
        <f>1/100*'Berekening trap 1'!T180*INVOER!$W$19*1000</f>
        <v>0.29318685279028828</v>
      </c>
      <c r="T180" s="380">
        <f t="shared" si="49"/>
        <v>0.31745760822019686</v>
      </c>
      <c r="U180" s="44">
        <f t="shared" si="40"/>
        <v>2.0016083284678223</v>
      </c>
      <c r="V180" s="380">
        <f t="shared" si="50"/>
        <v>8.5916094469936033E-5</v>
      </c>
      <c r="W180" s="44">
        <f t="shared" si="45"/>
        <v>3.2187071079594937E-5</v>
      </c>
      <c r="X180" s="145">
        <f>IF(AND(INVOER!$T$36=1,INVOER!E123=1),1/100*N180*INVOER!$W$20*1000,1/100*O180*INVOER!$W$20*1000)</f>
        <v>7.657096823246682E-12</v>
      </c>
      <c r="Y180" s="6">
        <f t="shared" si="51"/>
        <v>3.3251769716339888E-8</v>
      </c>
      <c r="Z180" s="44">
        <f t="shared" si="41"/>
        <v>1.0707212127222171E-9</v>
      </c>
      <c r="AB180" s="6"/>
      <c r="AC180" s="6"/>
    </row>
    <row r="181" spans="1:29" x14ac:dyDescent="0.2">
      <c r="A181" s="271">
        <f>'Berekening trap 1'!A181</f>
        <v>82.74202857343758</v>
      </c>
      <c r="B181" s="46">
        <f t="shared" si="53"/>
        <v>80.872837696452223</v>
      </c>
      <c r="C181" s="182">
        <f t="shared" si="42"/>
        <v>65.219509101587036</v>
      </c>
      <c r="D181" s="201">
        <f t="shared" si="46"/>
        <v>1.755649072581488E-6</v>
      </c>
      <c r="E181" s="167">
        <f t="shared" si="39"/>
        <v>8.2277618667983639E-6</v>
      </c>
      <c r="F181" s="45">
        <f t="shared" si="54"/>
        <v>1.755649072581488E-6</v>
      </c>
      <c r="G181" s="183">
        <f t="shared" si="54"/>
        <v>8.2277618667983639E-6</v>
      </c>
      <c r="H181" s="171">
        <f t="shared" si="44"/>
        <v>8.2277618667983639E-6</v>
      </c>
      <c r="I181" s="235">
        <f t="shared" si="36"/>
        <v>8.2277618667983639E-6</v>
      </c>
      <c r="J181" s="314">
        <f>IF(INVOER!$T$36=1,100-H181*100,100-I181*100)</f>
        <v>99.999177223813319</v>
      </c>
      <c r="K181" s="406">
        <f>IF(AND('Berekening trap 1'!$B$64=1,INVOER!$C$20=1),'Berekening trap 1'!U181,'Berekening trap 1'!V181)</f>
        <v>0</v>
      </c>
      <c r="L181" s="377">
        <f t="shared" si="47"/>
        <v>0</v>
      </c>
      <c r="M181" s="377">
        <f t="shared" si="52"/>
        <v>3.2187071079594937E-5</v>
      </c>
      <c r="N181" s="378">
        <f>'Berekening trap 2'!H181*$L181</f>
        <v>0</v>
      </c>
      <c r="O181" s="379">
        <f>'Berekening trap 2'!I181*$L181</f>
        <v>0</v>
      </c>
      <c r="Q181" s="396">
        <f t="shared" si="48"/>
        <v>100</v>
      </c>
      <c r="R181" s="6">
        <f t="shared" si="38"/>
        <v>80.872837696452223</v>
      </c>
      <c r="S181" s="380">
        <f>1/100*'Berekening trap 1'!T181*INVOER!$W$19*1000</f>
        <v>0</v>
      </c>
      <c r="T181" s="380">
        <f t="shared" si="49"/>
        <v>0</v>
      </c>
      <c r="U181" s="44">
        <f t="shared" si="40"/>
        <v>2.0016083284678223</v>
      </c>
      <c r="V181" s="380">
        <f t="shared" si="50"/>
        <v>0</v>
      </c>
      <c r="W181" s="44">
        <f t="shared" si="45"/>
        <v>3.2187071079594937E-5</v>
      </c>
      <c r="X181" s="145">
        <f>IF(AND(INVOER!$T$36=1,INVOER!E124=1),1/100*N181*INVOER!$W$20*1000,1/100*O181*INVOER!$W$20*1000)</f>
        <v>0</v>
      </c>
      <c r="Y181" s="6">
        <f t="shared" si="51"/>
        <v>0</v>
      </c>
      <c r="Z181" s="44">
        <f t="shared" si="41"/>
        <v>1.0707212127222171E-9</v>
      </c>
      <c r="AB181" s="6"/>
      <c r="AC181" s="6"/>
    </row>
    <row r="182" spans="1:29" x14ac:dyDescent="0.2">
      <c r="A182" s="270">
        <f>'Berekening trap 1'!A182</f>
        <v>86.65730720117358</v>
      </c>
      <c r="B182" s="6">
        <f t="shared" si="53"/>
        <v>84.69966788730558</v>
      </c>
      <c r="C182" s="168">
        <f t="shared" si="42"/>
        <v>68.30563781391659</v>
      </c>
      <c r="D182" s="200">
        <f t="shared" si="46"/>
        <v>1.1049291051258892E-6</v>
      </c>
      <c r="E182" s="197">
        <f t="shared" si="39"/>
        <v>5.5774133833594114E-6</v>
      </c>
      <c r="F182" s="43">
        <f t="shared" si="54"/>
        <v>1.1049291051258892E-6</v>
      </c>
      <c r="G182" s="155">
        <f t="shared" si="54"/>
        <v>5.5774133833594114E-6</v>
      </c>
      <c r="H182" s="170">
        <f t="shared" si="44"/>
        <v>5.5774133833594114E-6</v>
      </c>
      <c r="I182" s="179">
        <f t="shared" si="36"/>
        <v>5.5774133833594114E-6</v>
      </c>
      <c r="J182" s="313">
        <f>IF(INVOER!$T$36=1,100-H182*100,100-I182*100)</f>
        <v>99.999442258661659</v>
      </c>
      <c r="K182" s="405">
        <f>IF(AND('Berekening trap 1'!$B$64=1,INVOER!$C$20=1),'Berekening trap 1'!U182,'Berekening trap 1'!V182)</f>
        <v>0</v>
      </c>
      <c r="L182" s="380">
        <f t="shared" si="47"/>
        <v>0</v>
      </c>
      <c r="M182" s="380">
        <f t="shared" si="52"/>
        <v>3.2187071079594937E-5</v>
      </c>
      <c r="N182" s="375">
        <f>'Berekening trap 2'!H182*$L182</f>
        <v>0</v>
      </c>
      <c r="O182" s="376">
        <f>'Berekening trap 2'!I182*$L182</f>
        <v>0</v>
      </c>
      <c r="Q182" s="396">
        <f t="shared" si="48"/>
        <v>100</v>
      </c>
      <c r="R182" s="6">
        <f t="shared" si="38"/>
        <v>84.69966788730558</v>
      </c>
      <c r="S182" s="380">
        <f>1/100*'Berekening trap 1'!T182*INVOER!$W$19*1000</f>
        <v>0</v>
      </c>
      <c r="T182" s="380">
        <f t="shared" si="49"/>
        <v>0</v>
      </c>
      <c r="U182" s="44">
        <f t="shared" si="40"/>
        <v>2.0016083284678223</v>
      </c>
      <c r="V182" s="380">
        <f t="shared" si="50"/>
        <v>0</v>
      </c>
      <c r="W182" s="44">
        <f t="shared" si="45"/>
        <v>3.2187071079594937E-5</v>
      </c>
      <c r="X182" s="145">
        <f>IF(AND(INVOER!$T$36=1,INVOER!E125=1),1/100*N182*INVOER!$W$20*1000,1/100*O182*INVOER!$W$20*1000)</f>
        <v>0</v>
      </c>
      <c r="Y182" s="6">
        <f t="shared" si="51"/>
        <v>0</v>
      </c>
      <c r="Z182" s="44">
        <f t="shared" si="41"/>
        <v>1.0707212127222171E-9</v>
      </c>
      <c r="AB182" s="6"/>
      <c r="AC182" s="6"/>
    </row>
    <row r="183" spans="1:29" x14ac:dyDescent="0.2">
      <c r="A183" s="271">
        <f>'Berekening trap 1'!A183</f>
        <v>90.757853304183044</v>
      </c>
      <c r="B183" s="6">
        <f t="shared" si="53"/>
        <v>88.707580252678312</v>
      </c>
      <c r="C183" s="168">
        <f t="shared" si="42"/>
        <v>71.537799370716485</v>
      </c>
      <c r="D183" s="200">
        <f t="shared" si="46"/>
        <v>6.8435196821239129E-7</v>
      </c>
      <c r="E183" s="197">
        <f t="shared" si="39"/>
        <v>3.7321944613499705E-6</v>
      </c>
      <c r="F183" s="43">
        <f t="shared" si="54"/>
        <v>6.8435196821239129E-7</v>
      </c>
      <c r="G183" s="155">
        <f t="shared" si="54"/>
        <v>3.7321944613499705E-6</v>
      </c>
      <c r="H183" s="170">
        <f t="shared" si="44"/>
        <v>3.7321944613499705E-6</v>
      </c>
      <c r="I183" s="179">
        <f t="shared" si="36"/>
        <v>3.7321944613499705E-6</v>
      </c>
      <c r="J183" s="314">
        <f>IF(INVOER!$T$36=1,100-H183*100,100-I183*100)</f>
        <v>99.999626780553868</v>
      </c>
      <c r="K183" s="406">
        <f>IF(AND('Berekening trap 1'!$B$64=1,INVOER!$C$20=1),'Berekening trap 1'!U183,'Berekening trap 1'!V183)</f>
        <v>0</v>
      </c>
      <c r="L183" s="380">
        <f t="shared" si="47"/>
        <v>0</v>
      </c>
      <c r="M183" s="380">
        <f t="shared" si="52"/>
        <v>3.2187071079594937E-5</v>
      </c>
      <c r="N183" s="375">
        <f>'Berekening trap 2'!H183*$L183</f>
        <v>0</v>
      </c>
      <c r="O183" s="376">
        <f>'Berekening trap 2'!I183*$L183</f>
        <v>0</v>
      </c>
      <c r="Q183" s="396">
        <f t="shared" si="48"/>
        <v>100</v>
      </c>
      <c r="R183" s="6">
        <f t="shared" si="38"/>
        <v>88.707580252678312</v>
      </c>
      <c r="S183" s="380">
        <f>1/100*'Berekening trap 1'!T183*INVOER!$W$19*1000</f>
        <v>0</v>
      </c>
      <c r="T183" s="380">
        <f t="shared" si="49"/>
        <v>0</v>
      </c>
      <c r="U183" s="44">
        <f t="shared" si="40"/>
        <v>2.0016083284678223</v>
      </c>
      <c r="V183" s="380">
        <f t="shared" si="50"/>
        <v>0</v>
      </c>
      <c r="W183" s="44">
        <f t="shared" si="45"/>
        <v>3.2187071079594937E-5</v>
      </c>
      <c r="X183" s="145">
        <f>IF(AND(INVOER!$T$36=1,INVOER!E126=1),1/100*N183*INVOER!$W$20*1000,1/100*O183*INVOER!$W$20*1000)</f>
        <v>0</v>
      </c>
      <c r="Y183" s="6">
        <f t="shared" si="51"/>
        <v>0</v>
      </c>
      <c r="Z183" s="44">
        <f t="shared" si="41"/>
        <v>1.0707212127222171E-9</v>
      </c>
      <c r="AB183" s="6"/>
      <c r="AC183" s="6"/>
    </row>
    <row r="184" spans="1:29" x14ac:dyDescent="0.2">
      <c r="A184" s="271">
        <f>'Berekening trap 1'!A184</f>
        <v>95.052433573334682</v>
      </c>
      <c r="B184" s="6">
        <f t="shared" si="53"/>
        <v>92.90514343875887</v>
      </c>
      <c r="C184" s="168">
        <f t="shared" si="42"/>
        <v>74.922903915293091</v>
      </c>
      <c r="D184" s="200">
        <f t="shared" si="46"/>
        <v>4.1689992907460628E-7</v>
      </c>
      <c r="E184" s="197">
        <f t="shared" si="39"/>
        <v>2.4642748002550166E-6</v>
      </c>
      <c r="F184" s="43">
        <f t="shared" si="54"/>
        <v>4.1689992907460628E-7</v>
      </c>
      <c r="G184" s="155">
        <f t="shared" si="54"/>
        <v>2.4642748002550166E-6</v>
      </c>
      <c r="H184" s="170">
        <f t="shared" si="44"/>
        <v>2.4642748002550166E-6</v>
      </c>
      <c r="I184" s="179">
        <f t="shared" si="36"/>
        <v>2.4642748002550166E-6</v>
      </c>
      <c r="J184" s="314">
        <f>IF(INVOER!$T$36=1,100-H184*100,100-I184*100)</f>
        <v>99.999753572519978</v>
      </c>
      <c r="K184" s="406">
        <f>IF(AND('Berekening trap 1'!$B$64=1,INVOER!$C$20=1),'Berekening trap 1'!U184,'Berekening trap 1'!V184)</f>
        <v>0</v>
      </c>
      <c r="L184" s="380">
        <f t="shared" si="47"/>
        <v>0</v>
      </c>
      <c r="M184" s="380">
        <f t="shared" si="52"/>
        <v>3.2187071079594937E-5</v>
      </c>
      <c r="N184" s="375">
        <f>'Berekening trap 2'!H184*$L184</f>
        <v>0</v>
      </c>
      <c r="O184" s="376">
        <f>'Berekening trap 2'!I184*$L184</f>
        <v>0</v>
      </c>
      <c r="Q184" s="396">
        <f t="shared" si="48"/>
        <v>100</v>
      </c>
      <c r="R184" s="6">
        <f t="shared" si="38"/>
        <v>92.90514343875887</v>
      </c>
      <c r="S184" s="380">
        <f>1/100*'Berekening trap 1'!T184*INVOER!$W$19*1000</f>
        <v>0</v>
      </c>
      <c r="T184" s="380">
        <f t="shared" si="49"/>
        <v>0</v>
      </c>
      <c r="U184" s="44">
        <f t="shared" si="40"/>
        <v>2.0016083284678223</v>
      </c>
      <c r="V184" s="380">
        <f t="shared" si="50"/>
        <v>0</v>
      </c>
      <c r="W184" s="44">
        <f t="shared" si="45"/>
        <v>3.2187071079594937E-5</v>
      </c>
      <c r="X184" s="145">
        <f>IF(AND(INVOER!$T$36=1,INVOER!E127=1),1/100*N184*INVOER!$W$20*1000,1/100*O184*INVOER!$W$20*1000)</f>
        <v>0</v>
      </c>
      <c r="Y184" s="6">
        <f t="shared" si="51"/>
        <v>0</v>
      </c>
      <c r="Z184" s="44">
        <f t="shared" si="41"/>
        <v>1.0707212127222171E-9</v>
      </c>
      <c r="AB184" s="6"/>
      <c r="AC184" s="6"/>
    </row>
    <row r="185" spans="1:29" x14ac:dyDescent="0.2">
      <c r="A185" s="271">
        <f>'Berekening trap 1'!A185</f>
        <v>99.550229531451237</v>
      </c>
      <c r="B185" s="6">
        <f t="shared" si="53"/>
        <v>97.301331552392952</v>
      </c>
      <c r="C185" s="168">
        <f t="shared" si="42"/>
        <v>78.46818857274026</v>
      </c>
      <c r="D185" s="200">
        <f t="shared" si="46"/>
        <v>2.4965584945430613E-7</v>
      </c>
      <c r="E185" s="197">
        <f t="shared" si="39"/>
        <v>1.6047758049268965E-6</v>
      </c>
      <c r="F185" s="43">
        <f t="shared" si="54"/>
        <v>2.4965584945430613E-7</v>
      </c>
      <c r="G185" s="155">
        <f t="shared" si="54"/>
        <v>1.6047758049268965E-6</v>
      </c>
      <c r="H185" s="170">
        <f t="shared" si="44"/>
        <v>1.6047758049268965E-6</v>
      </c>
      <c r="I185" s="179">
        <f t="shared" si="36"/>
        <v>1.6047758049268965E-6</v>
      </c>
      <c r="J185" s="314">
        <f>IF(INVOER!$T$36=1,100-H185*100,100-I185*100)</f>
        <v>99.999839522419506</v>
      </c>
      <c r="K185" s="406">
        <f>IF(AND('Berekening trap 1'!$B$64=1,INVOER!$C$20=1),'Berekening trap 1'!U185,'Berekening trap 1'!V185)</f>
        <v>0</v>
      </c>
      <c r="L185" s="380">
        <f t="shared" si="47"/>
        <v>0</v>
      </c>
      <c r="M185" s="380">
        <f t="shared" si="52"/>
        <v>3.2187071079594937E-5</v>
      </c>
      <c r="N185" s="375">
        <f>'Berekening trap 2'!H185*$L185</f>
        <v>0</v>
      </c>
      <c r="O185" s="376">
        <f>'Berekening trap 2'!I185*$L185</f>
        <v>0</v>
      </c>
      <c r="Q185" s="396">
        <f t="shared" si="48"/>
        <v>100</v>
      </c>
      <c r="R185" s="6">
        <f t="shared" si="38"/>
        <v>97.301331552392952</v>
      </c>
      <c r="S185" s="380">
        <f>1/100*'Berekening trap 1'!T185*INVOER!$W$19*1000</f>
        <v>0</v>
      </c>
      <c r="T185" s="380">
        <f t="shared" si="49"/>
        <v>0</v>
      </c>
      <c r="U185" s="44">
        <f t="shared" si="40"/>
        <v>2.0016083284678223</v>
      </c>
      <c r="V185" s="380">
        <f t="shared" si="50"/>
        <v>0</v>
      </c>
      <c r="W185" s="44">
        <f t="shared" si="45"/>
        <v>3.2187071079594937E-5</v>
      </c>
      <c r="X185" s="145">
        <f>IF(AND(INVOER!$T$36=1,INVOER!E128=1),1/100*N185*INVOER!$W$20*1000,1/100*O185*INVOER!$W$20*1000)</f>
        <v>0</v>
      </c>
      <c r="Y185" s="6">
        <f t="shared" si="51"/>
        <v>0</v>
      </c>
      <c r="Z185" s="44">
        <f t="shared" si="41"/>
        <v>1.0707212127222171E-9</v>
      </c>
      <c r="AB185" s="6"/>
      <c r="AC185" s="6"/>
    </row>
    <row r="186" spans="1:29" x14ac:dyDescent="0.2">
      <c r="A186" s="272">
        <f>'Berekening trap 1'!A186</f>
        <v>104.26085716278493</v>
      </c>
      <c r="B186" s="46">
        <f>(A185+A186)/2</f>
        <v>101.90554334711808</v>
      </c>
      <c r="C186" s="182">
        <f>B186/$B$51</f>
        <v>82.181232922424101</v>
      </c>
      <c r="D186" s="201">
        <f>IF(C186-$K$35&gt;0,EXP(-(((C186-$K$35)/$K$37)^$K$39)),1)</f>
        <v>1.4687608171144044E-7</v>
      </c>
      <c r="E186" s="167">
        <f>IF(C186-$K$36&gt;0,EXP(-(((C186-$K$36)/$K$38)^$K$40)),1)</f>
        <v>1.0302448563121805E-6</v>
      </c>
      <c r="F186" s="45">
        <f>D186^($B$54*$B$63)</f>
        <v>1.4687608171144044E-7</v>
      </c>
      <c r="G186" s="183">
        <f>E186^($B$54*$B$63)</f>
        <v>1.0302448563121805E-6</v>
      </c>
      <c r="H186" s="171">
        <f>IF(C186&lt;$K$41,D186,E186)</f>
        <v>1.0302448563121805E-6</v>
      </c>
      <c r="I186" s="235">
        <f>IF(C186&lt;$K$41,F186,G186)</f>
        <v>1.0302448563121805E-6</v>
      </c>
      <c r="J186" s="315">
        <f>IF(INVOER!$T$36=1,100-H186*100,100-I186*100)</f>
        <v>99.999896975514375</v>
      </c>
      <c r="K186" s="407">
        <f>IF(AND('Berekening trap 1'!$B$64=1,INVOER!$C$20=1),'Berekening trap 1'!U186,'Berekening trap 1'!V186)</f>
        <v>2.5892349419476455E-7</v>
      </c>
      <c r="L186" s="377">
        <f t="shared" si="47"/>
        <v>3.2187071074153916E-5</v>
      </c>
      <c r="M186" s="377">
        <f t="shared" si="52"/>
        <v>5.4410211687734578E-15</v>
      </c>
      <c r="N186" s="378">
        <f>'Berekening trap 2'!H186*$L186</f>
        <v>3.3160564413901644E-11</v>
      </c>
      <c r="O186" s="379">
        <f>'Berekening trap 2'!I186*$L186</f>
        <v>3.3160564413901644E-11</v>
      </c>
      <c r="Q186" s="397">
        <f t="shared" si="48"/>
        <v>99.99999999998667</v>
      </c>
      <c r="R186" s="46">
        <f t="shared" si="38"/>
        <v>101.90554334711808</v>
      </c>
      <c r="S186" s="377">
        <f>1/100*'Berekening trap 1'!T186*INVOER!$W$19*1000</f>
        <v>1.8485783019421465</v>
      </c>
      <c r="T186" s="377">
        <f t="shared" si="49"/>
        <v>2.0016083284678099</v>
      </c>
      <c r="U186" s="50">
        <f t="shared" si="40"/>
        <v>1.2434497875801753E-14</v>
      </c>
      <c r="V186" s="377">
        <f t="shared" si="50"/>
        <v>3.2187071074153916E-5</v>
      </c>
      <c r="W186" s="50">
        <f t="shared" si="45"/>
        <v>5.4410211687734578E-15</v>
      </c>
      <c r="X186" s="238">
        <f>IF(AND(INVOER!$T$36=1,INVOER!E129=1),1/100*N186*INVOER!$W$20*1000,1/100*O186*INVOER!$W$20*1000)</f>
        <v>2.4655838343287025E-13</v>
      </c>
      <c r="Y186" s="46">
        <f t="shared" si="51"/>
        <v>1.0707064017595364E-9</v>
      </c>
      <c r="Z186" s="50">
        <f t="shared" si="41"/>
        <v>1.4810962680661178E-14</v>
      </c>
      <c r="AB186" s="6"/>
      <c r="AC186" s="6"/>
    </row>
    <row r="187" spans="1:29" x14ac:dyDescent="0.2">
      <c r="C187" s="178"/>
      <c r="G187" s="155"/>
      <c r="K187" s="219">
        <f>SUM(K76:K186)</f>
        <v>0.80443322599389611</v>
      </c>
      <c r="L187" s="321">
        <f>SUM(L76:L186)</f>
        <v>100</v>
      </c>
      <c r="M187" t="s">
        <v>234</v>
      </c>
      <c r="N187" s="385">
        <f>(100-L187)*$H$56</f>
        <v>0</v>
      </c>
      <c r="O187" s="385">
        <f>(100-L187)*$H$56</f>
        <v>0</v>
      </c>
      <c r="S187" s="70">
        <f>SUM(S76:S186)</f>
        <v>92.354646793321209</v>
      </c>
      <c r="T187">
        <f>SUM(T76:T186)</f>
        <v>100</v>
      </c>
      <c r="V187">
        <f>SUM(V76:V186)</f>
        <v>100</v>
      </c>
      <c r="X187">
        <f>SUM(X76:X186)</f>
        <v>2.302763699065314E-2</v>
      </c>
      <c r="Y187">
        <f>SUM(Y76:Y186)</f>
        <v>100</v>
      </c>
      <c r="AB187" s="6"/>
      <c r="AC187" s="6"/>
    </row>
    <row r="188" spans="1:29" x14ac:dyDescent="0.2">
      <c r="C188" s="166"/>
      <c r="I188" s="160"/>
      <c r="M188" s="9"/>
      <c r="N188" s="209"/>
      <c r="V188" s="166"/>
      <c r="X188" s="6"/>
      <c r="Y188" s="166"/>
      <c r="AB188" s="6"/>
      <c r="AC188" s="6"/>
    </row>
    <row r="189" spans="1:29" x14ac:dyDescent="0.2">
      <c r="C189" s="166"/>
      <c r="J189" s="210" t="s">
        <v>228</v>
      </c>
      <c r="K189" s="162" t="s">
        <v>193</v>
      </c>
      <c r="L189" s="161"/>
      <c r="M189" s="163"/>
      <c r="N189" s="382">
        <f>SUM(N76:N186)+N187</f>
        <v>3.0970735170171304</v>
      </c>
      <c r="O189" s="383">
        <f>SUM(O76:O186)+O187</f>
        <v>3.0970735170171304</v>
      </c>
      <c r="P189" s="321">
        <f>IF(AND(INVOER!$T$36=1,INVOER!E20=1),'Berekening trap 2'!N189,'Berekening trap 2'!O189)</f>
        <v>3.0970735170171304</v>
      </c>
      <c r="Q189" s="209" t="s">
        <v>226</v>
      </c>
      <c r="U189" s="178"/>
    </row>
    <row r="190" spans="1:29" x14ac:dyDescent="0.2">
      <c r="J190" s="210" t="s">
        <v>228</v>
      </c>
      <c r="K190" s="162" t="s">
        <v>129</v>
      </c>
      <c r="L190" s="161"/>
      <c r="M190" s="163"/>
      <c r="N190" s="382">
        <f>100-N189</f>
        <v>96.902926482982863</v>
      </c>
      <c r="O190" s="383">
        <f>100-O189</f>
        <v>96.902926482982863</v>
      </c>
      <c r="P190" s="321">
        <f>IF(AND(INVOER!$T$36=1,INVOER!E20=1),'Berekening trap 2'!N190,'Berekening trap 2'!O190)</f>
        <v>96.902926482982863</v>
      </c>
      <c r="Q190" s="209" t="s">
        <v>226</v>
      </c>
      <c r="V190" s="178"/>
    </row>
    <row r="191" spans="1:29" x14ac:dyDescent="0.2">
      <c r="J191" s="210" t="s">
        <v>228</v>
      </c>
      <c r="K191" s="162" t="s">
        <v>43</v>
      </c>
      <c r="L191" s="208"/>
      <c r="M191" s="208"/>
      <c r="N191" s="384">
        <f>10*$B$58*N189</f>
        <v>1.8831793522966874E-2</v>
      </c>
      <c r="O191" s="384">
        <f>10*$B$58*O189</f>
        <v>1.8831793522966874E-2</v>
      </c>
      <c r="P191" s="321">
        <f>10*$B$58*P189</f>
        <v>1.8831793522966874E-2</v>
      </c>
      <c r="Q191" s="17" t="s">
        <v>20</v>
      </c>
      <c r="V191" s="178"/>
    </row>
    <row r="192" spans="1:29" x14ac:dyDescent="0.2">
      <c r="J192" s="117" t="s">
        <v>228</v>
      </c>
      <c r="K192" s="162" t="s">
        <v>43</v>
      </c>
      <c r="L192" s="208"/>
      <c r="M192" s="208"/>
      <c r="N192" s="384">
        <f>10*INVOER!W20*'Berekening trap 2'!N189</f>
        <v>2.3027636990653137E-2</v>
      </c>
      <c r="O192" s="384">
        <f>10*INVOER!W20*'Berekening trap 2'!O189</f>
        <v>2.3027636990653137E-2</v>
      </c>
      <c r="P192" s="321">
        <f>IF(AND(INVOER!E20=1,INVOER!T36=1),'Berekening trap 2'!N192,'Berekening trap 2'!O192)</f>
        <v>2.3027636990653137E-2</v>
      </c>
      <c r="Q192" s="17" t="s">
        <v>249</v>
      </c>
      <c r="W192" s="166"/>
    </row>
    <row r="193" spans="18:24" x14ac:dyDescent="0.2">
      <c r="R193" s="178"/>
      <c r="S193" s="178"/>
      <c r="T193" s="178"/>
      <c r="U193" s="178"/>
      <c r="V193" s="17"/>
      <c r="W193" s="178"/>
    </row>
    <row r="194" spans="18:24" x14ac:dyDescent="0.2">
      <c r="R194" s="178"/>
      <c r="S194" s="178"/>
      <c r="T194" s="178"/>
      <c r="U194" s="178"/>
      <c r="V194" s="142"/>
      <c r="W194" s="17"/>
      <c r="X194" s="178"/>
    </row>
    <row r="195" spans="18:24" x14ac:dyDescent="0.2">
      <c r="X195" s="178"/>
    </row>
    <row r="196" spans="18:24" x14ac:dyDescent="0.2">
      <c r="X196" s="178"/>
    </row>
  </sheetData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101" r:id="rId4">
          <objectPr defaultSize="0" autoPict="0" r:id="rId5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4101" r:id="rId4"/>
      </mc:Fallback>
    </mc:AlternateContent>
    <mc:AlternateContent xmlns:mc="http://schemas.openxmlformats.org/markup-compatibility/2006">
      <mc:Choice Requires="x14">
        <oleObject progId="Equation.3" shapeId="4099" r:id="rId6">
          <objectPr defaultSize="0" autoPict="0" r:id="rId7">
            <anchor moveWithCells="1" sizeWithCells="1">
              <from>
                <xdr:col>11</xdr:col>
                <xdr:colOff>104775</xdr:colOff>
                <xdr:row>33</xdr:row>
                <xdr:rowOff>152400</xdr:rowOff>
              </from>
              <to>
                <xdr:col>13</xdr:col>
                <xdr:colOff>666750</xdr:colOff>
                <xdr:row>37</xdr:row>
                <xdr:rowOff>66675</xdr:rowOff>
              </to>
            </anchor>
          </objectPr>
        </oleObject>
      </mc:Choice>
      <mc:Fallback>
        <oleObject progId="Equation.3" shapeId="4099" r:id="rId6"/>
      </mc:Fallback>
    </mc:AlternateContent>
    <mc:AlternateContent xmlns:mc="http://schemas.openxmlformats.org/markup-compatibility/2006">
      <mc:Choice Requires="x14">
        <oleObject progId="Equation.3" shapeId="4100" r:id="rId8">
          <objectPr defaultSize="0" autoPict="0" r:id="rId9">
            <anchor moveWithCells="1" sizeWithCells="1">
              <from>
                <xdr:col>11</xdr:col>
                <xdr:colOff>104775</xdr:colOff>
                <xdr:row>37</xdr:row>
                <xdr:rowOff>66675</xdr:rowOff>
              </from>
              <to>
                <xdr:col>13</xdr:col>
                <xdr:colOff>666750</xdr:colOff>
                <xdr:row>40</xdr:row>
                <xdr:rowOff>142875</xdr:rowOff>
              </to>
            </anchor>
          </objectPr>
        </oleObject>
      </mc:Choice>
      <mc:Fallback>
        <oleObject progId="Equation.3" shapeId="4100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pageSetUpPr fitToPage="1"/>
  </sheetPr>
  <dimension ref="A1:AC83"/>
  <sheetViews>
    <sheetView showGridLines="0" topLeftCell="A13" zoomScale="75" workbookViewId="0">
      <selection activeCell="U15" sqref="U1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4" max="14" width="9.42578125" bestFit="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39" t="s">
        <v>149</v>
      </c>
      <c r="J1" s="440"/>
      <c r="K1" s="440"/>
      <c r="L1" s="440"/>
      <c r="M1" s="440"/>
      <c r="N1" s="440"/>
      <c r="O1" s="440"/>
      <c r="P1" s="441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42"/>
      <c r="J2" s="443"/>
      <c r="K2" s="443"/>
      <c r="L2" s="443"/>
      <c r="M2" s="443"/>
      <c r="N2" s="443"/>
      <c r="O2" s="443"/>
      <c r="P2" s="444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30" t="str">
        <f>INVOER!H2</f>
        <v>Test</v>
      </c>
      <c r="K3" s="430"/>
      <c r="L3" s="430"/>
      <c r="M3" s="431"/>
      <c r="N3" s="119" t="s">
        <v>160</v>
      </c>
      <c r="O3" s="424">
        <f>+INVOER!H5</f>
        <v>0</v>
      </c>
      <c r="P3" s="425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32">
        <f>INVOER!H3</f>
        <v>0</v>
      </c>
      <c r="K4" s="432"/>
      <c r="L4" s="432"/>
      <c r="M4" s="433"/>
      <c r="N4" s="120" t="s">
        <v>175</v>
      </c>
      <c r="O4" s="426">
        <f>+INVOER!H6</f>
        <v>0</v>
      </c>
      <c r="P4" s="427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4">
        <f>INVOER!H4</f>
        <v>0</v>
      </c>
      <c r="K5" s="434"/>
      <c r="L5" s="434"/>
      <c r="M5" s="435"/>
      <c r="N5" s="121" t="s">
        <v>176</v>
      </c>
      <c r="O5" s="428"/>
      <c r="P5" s="429"/>
    </row>
    <row r="6" spans="1:29" x14ac:dyDescent="0.2">
      <c r="A6" s="41" t="s">
        <v>104</v>
      </c>
      <c r="B6" s="5"/>
      <c r="C6" s="5"/>
      <c r="D6" s="5">
        <f>INVOER!C5</f>
        <v>45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1'!K23</f>
        <v>850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INVOER!C6</f>
        <v>-30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INVOER!C15</f>
        <v>6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1'!K29*'OUTPUT trap 1'!M$7</f>
        <v>3106.25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1'!C6</f>
        <v>16.361111111111111</v>
      </c>
      <c r="E8" s="6" t="s">
        <v>110</v>
      </c>
      <c r="F8" s="57">
        <f>3600*D8</f>
        <v>58900</v>
      </c>
      <c r="G8" s="44" t="s">
        <v>109</v>
      </c>
      <c r="H8" s="6" t="s">
        <v>177</v>
      </c>
      <c r="I8" s="6"/>
      <c r="J8" s="6">
        <f>'Berekening trap 1'!C13</f>
        <v>1250</v>
      </c>
      <c r="K8" s="44" t="s">
        <v>120</v>
      </c>
      <c r="L8" s="52" t="s">
        <v>171</v>
      </c>
      <c r="M8" s="57">
        <f>'Berekening trap 1'!K24*'OUTPUT trap 1'!M$7</f>
        <v>253.75000000000003</v>
      </c>
      <c r="N8" s="117" t="s">
        <v>163</v>
      </c>
      <c r="O8" s="57">
        <f>'Berekening trap 1'!K30*'OUTPUT trap 1'!M$7</f>
        <v>1640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INVOER!V9</f>
        <v>13.629993971388537</v>
      </c>
      <c r="E9" s="6" t="s">
        <v>107</v>
      </c>
      <c r="F9" s="57">
        <f>3600*D9</f>
        <v>49067.978296998728</v>
      </c>
      <c r="G9" s="44" t="s">
        <v>108</v>
      </c>
      <c r="H9" s="6" t="s">
        <v>122</v>
      </c>
      <c r="I9" s="6"/>
      <c r="J9" s="117" t="str">
        <f>IF('Berekening trap 1'!C14=1,"NA",'Berekening trap 1'!C14)</f>
        <v>NA</v>
      </c>
      <c r="K9" s="44"/>
      <c r="L9" s="52" t="s">
        <v>170</v>
      </c>
      <c r="M9" s="57">
        <f>'Berekening trap 1'!K25*'OUTPUT trap 1'!M$7</f>
        <v>571.25</v>
      </c>
      <c r="N9" s="117" t="s">
        <v>164</v>
      </c>
      <c r="O9" s="57">
        <f>'Berekening trap 1'!K31*'OUTPUT trap 1'!M$7</f>
        <v>750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INVOER!T15</f>
        <v>1.073</v>
      </c>
      <c r="E10" s="6" t="s">
        <v>112</v>
      </c>
      <c r="F10" s="6">
        <f>INVOER!U15</f>
        <v>1.2880029337557941</v>
      </c>
      <c r="G10" s="44" t="s">
        <v>141</v>
      </c>
      <c r="H10" s="6" t="s">
        <v>39</v>
      </c>
      <c r="I10" s="6"/>
      <c r="J10" s="61">
        <f>'Berekening trap 1'!R24</f>
        <v>18.811753513330512</v>
      </c>
      <c r="K10" s="44" t="s">
        <v>121</v>
      </c>
      <c r="L10" s="52" t="s">
        <v>169</v>
      </c>
      <c r="M10" s="57">
        <f>'Berekening trap 1'!K26*'OUTPUT trap 1'!M$7</f>
        <v>704.99999999999989</v>
      </c>
      <c r="N10" s="117" t="s">
        <v>165</v>
      </c>
      <c r="O10" s="57">
        <f>'Berekening trap 1'!K32*'OUTPUT trap 1'!M$7</f>
        <v>500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INVOER!C9</f>
        <v>0.02</v>
      </c>
      <c r="E11" s="6" t="s">
        <v>113</v>
      </c>
      <c r="F11" s="6"/>
      <c r="G11" s="44"/>
      <c r="H11" s="43" t="s">
        <v>119</v>
      </c>
      <c r="I11" s="6"/>
      <c r="J11" s="61">
        <f>'Berekening trap 1'!R25</f>
        <v>23.576258534984305</v>
      </c>
      <c r="K11" s="44" t="s">
        <v>121</v>
      </c>
      <c r="L11" s="52" t="s">
        <v>168</v>
      </c>
      <c r="M11" s="57">
        <f>'Berekening trap 1'!K27*'OUTPUT trap 1'!M$7*INVOER!C20</f>
        <v>383.75</v>
      </c>
      <c r="N11" s="117" t="s">
        <v>166</v>
      </c>
      <c r="O11" s="57">
        <f>'Berekening trap 1'!K33*'OUTPUT trap 1'!M$7</f>
        <v>375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1'!C9</f>
        <v>1500</v>
      </c>
      <c r="E12" s="6" t="s">
        <v>117</v>
      </c>
      <c r="F12" s="6"/>
      <c r="G12" s="44"/>
      <c r="H12" s="6" t="s">
        <v>186</v>
      </c>
      <c r="I12" s="6"/>
      <c r="J12" s="117" t="str">
        <f>INVOER!U36</f>
        <v>Y</v>
      </c>
      <c r="K12" s="6"/>
      <c r="L12" s="52" t="s">
        <v>174</v>
      </c>
      <c r="M12" s="57">
        <f>'Berekening trap 1'!K28*'OUTPUT trap 1'!M$7</f>
        <v>535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74">
        <f>INVOER!V19*1000</f>
        <v>77.000000000000014</v>
      </c>
      <c r="E13" s="46" t="s">
        <v>116</v>
      </c>
      <c r="F13" s="74">
        <f>INVOER!W19*1000</f>
        <v>92.428915097107321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1" t="s">
        <v>128</v>
      </c>
      <c r="C15" s="422"/>
      <c r="D15" s="422"/>
      <c r="E15" s="423"/>
      <c r="F15" s="6"/>
      <c r="G15" s="421" t="s">
        <v>253</v>
      </c>
      <c r="H15" s="422"/>
      <c r="I15" s="422"/>
      <c r="J15" s="422"/>
      <c r="K15" s="422"/>
      <c r="L15" s="422"/>
      <c r="M15" s="422"/>
      <c r="N15" s="422"/>
      <c r="O15" s="423"/>
      <c r="P15" s="44"/>
    </row>
    <row r="16" spans="1:29" x14ac:dyDescent="0.2">
      <c r="A16" s="43"/>
      <c r="B16" s="43" t="s">
        <v>129</v>
      </c>
      <c r="C16" s="6"/>
      <c r="D16" s="389">
        <f>'Berekening trap 1'!W190</f>
        <v>99.195566765970923</v>
      </c>
      <c r="E16" s="44" t="s">
        <v>5</v>
      </c>
      <c r="F16" s="6"/>
      <c r="G16" s="62" t="s">
        <v>133</v>
      </c>
      <c r="H16" s="445" t="s">
        <v>181</v>
      </c>
      <c r="I16" s="445"/>
      <c r="J16" s="436" t="s">
        <v>182</v>
      </c>
      <c r="K16" s="437"/>
      <c r="L16" s="438"/>
      <c r="M16" s="436" t="s">
        <v>183</v>
      </c>
      <c r="N16" s="438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90">
        <f>'Berekening trap 1'!W191</f>
        <v>0.61941359020238929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90">
        <f>'Berekening trap 1'!W192</f>
        <v>0.74352891089365014</v>
      </c>
      <c r="E18" s="44" t="s">
        <v>44</v>
      </c>
      <c r="F18" s="6"/>
      <c r="G18" s="64">
        <f>'Berekening trap 1'!B76</f>
        <v>0.32240257693945007</v>
      </c>
      <c r="H18" s="60">
        <f>100*'Berekening trap 1'!R76</f>
        <v>99.999999998690441</v>
      </c>
      <c r="I18" s="60">
        <f>'Berekening trap 1'!T76</f>
        <v>1.3095524664663571E-9</v>
      </c>
      <c r="J18" s="60">
        <f>IF(INVOER!$S$36=1,100*'Berekening trap 1'!H76,100*'Berekening trap 1'!I76)</f>
        <v>100</v>
      </c>
      <c r="K18" s="243">
        <f>J18*I18/100</f>
        <v>1.3095524664663571E-9</v>
      </c>
      <c r="L18" s="60">
        <f>100*(1-K18/SUM(K18:K40))</f>
        <v>99.999999786005915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1'!B81</f>
        <v>0.79414561972857034</v>
      </c>
      <c r="H19" s="60">
        <f>100*'Berekening trap 1'!R81</f>
        <v>99.999999992786485</v>
      </c>
      <c r="I19" s="60">
        <f>H18-H19</f>
        <v>5.9039564348495333E-9</v>
      </c>
      <c r="J19" s="60">
        <f>IF(INVOER!$S$36=1,100*'Berekening trap 1'!H81,100*'Berekening trap 1'!I81)</f>
        <v>86.608418391031378</v>
      </c>
      <c r="K19" s="243">
        <f>J19*I19/100</f>
        <v>5.113323290718704E-9</v>
      </c>
      <c r="L19" s="60">
        <f>L18-100*K19/SUM($K$18:$K$40)</f>
        <v>99.999998950437288</v>
      </c>
      <c r="M19" s="60">
        <f>I19-K19</f>
        <v>7.9063314413082926E-10</v>
      </c>
      <c r="N19" s="60">
        <f>N18-100*M19/SUM($M$18:$M$40)</f>
        <v>99.999999999204505</v>
      </c>
      <c r="O19" s="103">
        <f t="shared" ref="O19:O24" si="0">100-J19</f>
        <v>13.391581608968622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1'!R27</f>
        <v>1803.6484415278442</v>
      </c>
      <c r="E20" s="44" t="s">
        <v>131</v>
      </c>
      <c r="F20" s="6"/>
      <c r="G20" s="64">
        <f>'Berekening trap 1'!B86</f>
        <v>1.0006801193118551</v>
      </c>
      <c r="H20" s="60">
        <f>100*'Berekening trap 1'!R86</f>
        <v>99.9999999602651</v>
      </c>
      <c r="I20" s="60">
        <f>H19-H20</f>
        <v>3.2521384696337918E-8</v>
      </c>
      <c r="J20" s="60">
        <f>IF(INVOER!$S$36=1,100*'Berekening trap 1'!H86,100*'Berekening trap 1'!I86)</f>
        <v>75.765143399926941</v>
      </c>
      <c r="K20" s="243">
        <f>J20*I20/100</f>
        <v>2.4639873750822316E-8</v>
      </c>
      <c r="L20" s="60">
        <f t="shared" ref="L20:L39" si="1">L19-100*K20/SUM($K$18:$K$40)</f>
        <v>99.99999492403326</v>
      </c>
      <c r="M20" s="60">
        <f>I20-K20</f>
        <v>7.8815109455156019E-9</v>
      </c>
      <c r="N20" s="60">
        <f t="shared" ref="N20:N40" si="2">N19-100*M20/SUM($M$18:$M$40)</f>
        <v>99.999999991274464</v>
      </c>
      <c r="O20" s="103">
        <f t="shared" si="0"/>
        <v>24.234856600073059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1'!R28</f>
        <v>1171.8019138010372</v>
      </c>
      <c r="E21" s="100" t="s">
        <v>131</v>
      </c>
      <c r="F21" s="6"/>
      <c r="G21" s="64">
        <f>'Berekening trap 1'!B91</f>
        <v>1.2609283188242504</v>
      </c>
      <c r="H21" s="60">
        <f>100*'Berekening trap 1'!R91</f>
        <v>99.999999781124501</v>
      </c>
      <c r="I21" s="60">
        <f t="shared" ref="I21:I40" si="3">H20-H21</f>
        <v>1.7914059924351022E-7</v>
      </c>
      <c r="J21" s="60">
        <f>IF(INVOER!$S$36=1,100*'Berekening trap 1'!H91,100*'Berekening trap 1'!I91)</f>
        <v>65.827587938264287</v>
      </c>
      <c r="K21" s="243">
        <f>J21*I21/100</f>
        <v>1.1792393550015529E-7</v>
      </c>
      <c r="L21" s="60">
        <f t="shared" si="1"/>
        <v>99.999975654072131</v>
      </c>
      <c r="M21" s="60">
        <f>I21-K21</f>
        <v>6.121666374335493E-8</v>
      </c>
      <c r="N21" s="60">
        <f t="shared" si="2"/>
        <v>99.999999929680868</v>
      </c>
      <c r="O21" s="103">
        <f t="shared" si="0"/>
        <v>34.172412061735713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1'!K51</f>
        <v>0.68620726181660807</v>
      </c>
      <c r="E22" s="44" t="s">
        <v>132</v>
      </c>
      <c r="F22" s="6"/>
      <c r="G22" s="64">
        <f>'Berekening trap 1'!B96</f>
        <v>1.5888596111076094</v>
      </c>
      <c r="H22" s="60">
        <f>100*'Berekening trap 1'!R96</f>
        <v>99.999998794347235</v>
      </c>
      <c r="I22" s="60">
        <f t="shared" si="3"/>
        <v>9.8677726612095285E-7</v>
      </c>
      <c r="J22" s="60">
        <f>IF(INVOER!$S$36=1,100*'Berekening trap 1'!H96,100*'Berekening trap 1'!I96)</f>
        <v>56.320178290451004</v>
      </c>
      <c r="K22" s="243">
        <f>J22*I22/100</f>
        <v>5.5575471560895887E-7</v>
      </c>
      <c r="L22" s="60">
        <f t="shared" si="1"/>
        <v>99.999884838143018</v>
      </c>
      <c r="M22" s="60">
        <f t="shared" ref="M22:M39" si="4">I22-K22</f>
        <v>4.3102255051199398E-7</v>
      </c>
      <c r="N22" s="60">
        <f t="shared" si="2"/>
        <v>99.999999496004406</v>
      </c>
      <c r="O22" s="103">
        <f t="shared" si="0"/>
        <v>43.679821709548996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1'!K52</f>
        <v>0.74482099353581055</v>
      </c>
      <c r="E23" s="44" t="s">
        <v>132</v>
      </c>
      <c r="F23" s="6"/>
      <c r="G23" s="64">
        <f>'Berekening trap 1'!B101</f>
        <v>2.0020764274395582</v>
      </c>
      <c r="H23" s="60">
        <f>100*'Berekening trap 1'!R101</f>
        <v>99.999993358787961</v>
      </c>
      <c r="I23" s="60">
        <f t="shared" si="3"/>
        <v>5.4355592737920233E-6</v>
      </c>
      <c r="J23" s="60">
        <f>IF(INVOER!$S$36=1,100*'Berekening trap 1'!H101,100*'Berekening trap 1'!I101)</f>
        <v>47.173654183218986</v>
      </c>
      <c r="K23" s="243">
        <f t="shared" ref="K23:K40" si="5">J23*I23/100</f>
        <v>2.5641519347425382E-6</v>
      </c>
      <c r="L23" s="60">
        <f t="shared" si="1"/>
        <v>99.99946582983992</v>
      </c>
      <c r="M23" s="60">
        <f t="shared" si="4"/>
        <v>2.8714073390494851E-6</v>
      </c>
      <c r="N23" s="60">
        <f t="shared" si="2"/>
        <v>99.99999660691708</v>
      </c>
      <c r="O23" s="103">
        <f t="shared" si="0"/>
        <v>52.826345816781014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1'!K53</f>
        <v>1.8620865438356906</v>
      </c>
      <c r="E24" s="44" t="s">
        <v>132</v>
      </c>
      <c r="F24" s="6"/>
      <c r="G24" s="64">
        <f>'Berekening trap 1'!B106</f>
        <v>2.5227590866350447</v>
      </c>
      <c r="H24" s="60">
        <f>100*'Berekening trap 1'!R106</f>
        <v>99.999963417583217</v>
      </c>
      <c r="I24" s="60">
        <f t="shared" si="3"/>
        <v>2.9941204743977323E-5</v>
      </c>
      <c r="J24" s="60">
        <f>IF(INVOER!$S$36=1,100*'Berekening trap 1'!H106,100*'Berekening trap 1'!I106)</f>
        <v>38.467576582039854</v>
      </c>
      <c r="K24" s="243">
        <f>J24*I24/100</f>
        <v>1.1517655864474828E-5</v>
      </c>
      <c r="L24" s="60">
        <f t="shared" si="1"/>
        <v>99.997583728637579</v>
      </c>
      <c r="M24" s="60">
        <f t="shared" si="4"/>
        <v>1.8423548879502494E-5</v>
      </c>
      <c r="N24" s="60">
        <f t="shared" si="2"/>
        <v>99.999978069929753</v>
      </c>
      <c r="O24" s="103">
        <f t="shared" si="0"/>
        <v>61.532423417960146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1'!K54</f>
        <v>6.8259540145338988</v>
      </c>
      <c r="E25" s="44" t="s">
        <v>132</v>
      </c>
      <c r="F25" s="6"/>
      <c r="G25" s="64">
        <f>'Berekening trap 1'!B111</f>
        <v>3.178856372300912</v>
      </c>
      <c r="H25" s="60">
        <f>100*'Berekening trap 1'!R111</f>
        <v>99.999798489747519</v>
      </c>
      <c r="I25" s="60">
        <f t="shared" si="3"/>
        <v>1.6492783569788116E-4</v>
      </c>
      <c r="J25" s="60">
        <f>IF(INVOER!$S$36=1,100*'Berekening trap 1'!H111,100*'Berekening trap 1'!I111)</f>
        <v>30.355816836119082</v>
      </c>
      <c r="K25" s="243">
        <f>J25*I25/100</f>
        <v>5.0065191716224231E-5</v>
      </c>
      <c r="L25" s="60">
        <f t="shared" si="1"/>
        <v>99.989402571062342</v>
      </c>
      <c r="M25" s="60">
        <f>I25-K25</f>
        <v>1.1486264398165693E-4</v>
      </c>
      <c r="N25" s="60">
        <f t="shared" si="2"/>
        <v>99.999862500047428</v>
      </c>
      <c r="O25" s="103">
        <f t="shared" ref="O25:O40" si="6">100-J25</f>
        <v>69.644183163880911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1'!K55</f>
        <v>9.4756678610161078</v>
      </c>
      <c r="E26" s="50" t="s">
        <v>132</v>
      </c>
      <c r="F26" s="6"/>
      <c r="G26" s="64">
        <f>'Berekening trap 1'!B116</f>
        <v>4.0055857450886183</v>
      </c>
      <c r="H26" s="60">
        <f>100*'Berekening trap 1'!R116</f>
        <v>99.998890006881496</v>
      </c>
      <c r="I26" s="60">
        <f t="shared" si="3"/>
        <v>9.0848286602351891E-4</v>
      </c>
      <c r="J26" s="60">
        <f>IF(INVOER!$S$36=1,100*'Berekening trap 1'!H116,100*'Berekening trap 1'!I116)</f>
        <v>23.024265411094298</v>
      </c>
      <c r="K26" s="243">
        <f t="shared" si="5"/>
        <v>2.0917150628757121E-4</v>
      </c>
      <c r="L26" s="60">
        <f t="shared" si="1"/>
        <v>99.955221836014175</v>
      </c>
      <c r="M26" s="60">
        <f>I26-K26</f>
        <v>6.9931135973594772E-4</v>
      </c>
      <c r="N26" s="60">
        <f t="shared" si="2"/>
        <v>99.999158882850836</v>
      </c>
      <c r="O26" s="103">
        <f t="shared" si="6"/>
        <v>76.975734588905709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1'!B121</f>
        <v>5.0473237171277709</v>
      </c>
      <c r="H27" s="60">
        <f>100*'Berekening trap 1'!R121</f>
        <v>99.993885871928015</v>
      </c>
      <c r="I27" s="60">
        <f t="shared" si="3"/>
        <v>5.0041349534808433E-3</v>
      </c>
      <c r="J27" s="60">
        <f>IF(INVOER!$S$36=1,100*'Berekening trap 1'!H121,100*'Berekening trap 1'!I121)</f>
        <v>16.653412962252958</v>
      </c>
      <c r="K27" s="243">
        <f t="shared" si="5"/>
        <v>8.3335925899160972E-4</v>
      </c>
      <c r="L27" s="60">
        <f t="shared" si="1"/>
        <v>99.81904252298493</v>
      </c>
      <c r="M27" s="60">
        <f>I27-K27</f>
        <v>4.1707756944892333E-3</v>
      </c>
      <c r="N27" s="60">
        <f t="shared" si="2"/>
        <v>99.994962426635837</v>
      </c>
      <c r="O27" s="103">
        <f t="shared" si="6"/>
        <v>83.346587037747042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1'!B126</f>
        <v>6.3599878586338638</v>
      </c>
      <c r="H28" s="60">
        <f>100*'Berekening trap 1'!R126</f>
        <v>99.966325606132614</v>
      </c>
      <c r="I28" s="60">
        <f t="shared" si="3"/>
        <v>2.7560265795401051E-2</v>
      </c>
      <c r="J28" s="60">
        <f>IF(INVOER!$S$36=1,100*'Berekening trap 1'!H126,100*'Berekening trap 1'!I126)</f>
        <v>11.381161339419799</v>
      </c>
      <c r="K28" s="243">
        <f t="shared" si="5"/>
        <v>3.1366783157475231E-3</v>
      </c>
      <c r="L28" s="60">
        <f t="shared" si="1"/>
        <v>99.306477631404931</v>
      </c>
      <c r="M28" s="60">
        <f t="shared" si="4"/>
        <v>2.4423587479653529E-2</v>
      </c>
      <c r="N28" s="60">
        <f t="shared" si="2"/>
        <v>99.970388456952676</v>
      </c>
      <c r="O28" s="103">
        <f t="shared" si="6"/>
        <v>88.618838660580195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1'!B131</f>
        <v>8.014038296118704</v>
      </c>
      <c r="H29" s="60">
        <f>100*'Berekening trap 1'!R131</f>
        <v>99.814648870709334</v>
      </c>
      <c r="I29" s="60">
        <f t="shared" si="3"/>
        <v>0.15167673542327975</v>
      </c>
      <c r="J29" s="60">
        <f>IF(INVOER!$S$36=1,100*'Berekening trap 1'!H131,100*'Berekening trap 1'!I131)</f>
        <v>7.2697257023691115</v>
      </c>
      <c r="K29" s="243">
        <f t="shared" si="5"/>
        <v>1.1026482619580563E-2</v>
      </c>
      <c r="L29" s="60">
        <f t="shared" si="1"/>
        <v>97.504639094109123</v>
      </c>
      <c r="M29" s="60">
        <f t="shared" si="4"/>
        <v>0.14065025280369919</v>
      </c>
      <c r="N29" s="60">
        <f t="shared" si="2"/>
        <v>99.828872184979673</v>
      </c>
      <c r="O29" s="103">
        <f t="shared" si="6"/>
        <v>92.730274297630885</v>
      </c>
      <c r="P29" s="133"/>
      <c r="Q29" s="225"/>
    </row>
    <row r="30" spans="1:17" x14ac:dyDescent="0.2">
      <c r="A30" s="43"/>
      <c r="F30" s="6"/>
      <c r="G30" s="64">
        <f>'Berekening trap 1'!B136</f>
        <v>10.098259814202343</v>
      </c>
      <c r="H30" s="60">
        <f>100*'Berekening trap 1'!R136</f>
        <v>98.983269314064287</v>
      </c>
      <c r="I30" s="60">
        <f t="shared" si="3"/>
        <v>0.83137955664504659</v>
      </c>
      <c r="J30" s="60">
        <f>IF(INVOER!$S$36=1,100*'Berekening trap 1'!H136,100*'Berekening trap 1'!I136)</f>
        <v>4.4392153153955505</v>
      </c>
      <c r="K30" s="243">
        <f>J30*I30/100</f>
        <v>3.6906728607654531E-2</v>
      </c>
      <c r="L30" s="60">
        <f t="shared" si="1"/>
        <v>91.473707183628377</v>
      </c>
      <c r="M30" s="60">
        <f t="shared" si="4"/>
        <v>0.79447282803739205</v>
      </c>
      <c r="N30" s="60">
        <f t="shared" si="2"/>
        <v>99.029507586861101</v>
      </c>
      <c r="O30" s="103">
        <f t="shared" si="6"/>
        <v>95.560784684604442</v>
      </c>
      <c r="P30" s="133"/>
      <c r="Q30" s="225"/>
    </row>
    <row r="31" spans="1:17" x14ac:dyDescent="0.2">
      <c r="A31" s="43"/>
      <c r="F31" s="6"/>
      <c r="G31" s="64">
        <f>'Berekening trap 1'!B141</f>
        <v>12.724527573635584</v>
      </c>
      <c r="H31" s="60">
        <f>100*'Berekening trap 1'!R141</f>
        <v>94.526288551387282</v>
      </c>
      <c r="I31" s="60">
        <f t="shared" si="3"/>
        <v>4.4569807626770057</v>
      </c>
      <c r="J31" s="60">
        <f>IF(INVOER!$S$36=1,100*'Berekening trap 1'!H141,100*'Berekening trap 1'!I141)</f>
        <v>2.5697817294015</v>
      </c>
      <c r="K31" s="243">
        <f t="shared" si="5"/>
        <v>0.11453467732221333</v>
      </c>
      <c r="L31" s="60">
        <f t="shared" si="1"/>
        <v>72.757585046054572</v>
      </c>
      <c r="M31" s="60">
        <f t="shared" si="4"/>
        <v>4.3424460853547924</v>
      </c>
      <c r="N31" s="60">
        <f t="shared" si="2"/>
        <v>94.660323962990418</v>
      </c>
      <c r="O31" s="103">
        <f t="shared" si="6"/>
        <v>97.430218270598502</v>
      </c>
      <c r="P31" s="133"/>
      <c r="Q31" s="225"/>
    </row>
    <row r="32" spans="1:17" x14ac:dyDescent="0.2">
      <c r="A32" s="43"/>
      <c r="F32" s="6"/>
      <c r="G32" s="64">
        <f>'Berekening trap 1'!B146</f>
        <v>16.033812255899235</v>
      </c>
      <c r="H32" s="60">
        <f>100*'Berekening trap 1'!R146</f>
        <v>79.013234431087824</v>
      </c>
      <c r="I32" s="60">
        <f t="shared" si="3"/>
        <v>15.513054120299458</v>
      </c>
      <c r="J32" s="60">
        <f>IF(INVOER!$S$36=1,100*'Berekening trap 1'!H146,100*'Berekening trap 1'!I146)</f>
        <v>1.3492537676707785</v>
      </c>
      <c r="K32" s="243">
        <f>J32*I32/100</f>
        <v>0.20931046719894739</v>
      </c>
      <c r="L32" s="60">
        <f t="shared" si="1"/>
        <v>38.554142382595295</v>
      </c>
      <c r="M32" s="60">
        <f t="shared" si="4"/>
        <v>15.303743653100511</v>
      </c>
      <c r="N32" s="60">
        <f t="shared" si="2"/>
        <v>79.262351290733605</v>
      </c>
      <c r="O32" s="103">
        <f t="shared" si="6"/>
        <v>98.650746232329226</v>
      </c>
      <c r="P32" s="133"/>
      <c r="Q32" s="225"/>
    </row>
    <row r="33" spans="1:24" x14ac:dyDescent="0.2">
      <c r="A33" s="43"/>
      <c r="F33" s="6"/>
      <c r="G33" s="64">
        <f>'Berekening trap 1'!B151</f>
        <v>20.203746973686044</v>
      </c>
      <c r="H33" s="60">
        <f>100*'Berekening trap 1'!R151</f>
        <v>54.279122175041564</v>
      </c>
      <c r="I33" s="60">
        <f t="shared" si="3"/>
        <v>24.734112256046259</v>
      </c>
      <c r="J33" s="60">
        <f>IF(INVOER!$S$36=1,100*'Berekening trap 1'!H151,100*'Berekening trap 1'!I151)</f>
        <v>0.63150352197257598</v>
      </c>
      <c r="K33" s="243">
        <f t="shared" si="5"/>
        <v>0.1561967900255827</v>
      </c>
      <c r="L33" s="60">
        <f t="shared" si="1"/>
        <v>13.030010582829892</v>
      </c>
      <c r="M33" s="60">
        <f t="shared" si="4"/>
        <v>24.577915466020677</v>
      </c>
      <c r="N33" s="60">
        <f t="shared" si="2"/>
        <v>54.533103384770982</v>
      </c>
      <c r="O33" s="103">
        <f t="shared" si="6"/>
        <v>99.368496478027424</v>
      </c>
      <c r="P33" s="133"/>
      <c r="Q33" s="225"/>
    </row>
    <row r="34" spans="1:24" x14ac:dyDescent="0.2">
      <c r="A34" s="43"/>
      <c r="F34" s="6"/>
      <c r="G34" s="64">
        <f>'Berekening trap 1'!B156</f>
        <v>25.458162117779835</v>
      </c>
      <c r="H34" s="60">
        <f>100*'Berekening trap 1'!R156</f>
        <v>29.415010772236151</v>
      </c>
      <c r="I34" s="60">
        <f>H33-H34</f>
        <v>24.864111402805413</v>
      </c>
      <c r="J34" s="60">
        <f>IF(INVOER!$S$36=1,100*'Berekening trap 1'!H156,100*'Berekening trap 1'!I156)</f>
        <v>0.25815602203801702</v>
      </c>
      <c r="K34" s="243">
        <f t="shared" si="5"/>
        <v>6.418820091258344E-2</v>
      </c>
      <c r="L34" s="60">
        <f t="shared" si="1"/>
        <v>2.5410107780690847</v>
      </c>
      <c r="M34" s="60">
        <f t="shared" si="4"/>
        <v>24.799923201892831</v>
      </c>
      <c r="N34" s="60">
        <f t="shared" si="2"/>
        <v>29.580480785172764</v>
      </c>
      <c r="O34" s="103">
        <f t="shared" si="6"/>
        <v>99.741843977961977</v>
      </c>
      <c r="P34" s="133"/>
      <c r="Q34" s="225"/>
    </row>
    <row r="35" spans="1:24" x14ac:dyDescent="0.2">
      <c r="A35" s="43"/>
      <c r="F35" s="6"/>
      <c r="G35" s="64">
        <f>'Berekening trap 1'!B161</f>
        <v>32.079099944148396</v>
      </c>
      <c r="H35" s="60">
        <f>100*'Berekening trap 1'!R161</f>
        <v>13.585433966313124</v>
      </c>
      <c r="I35" s="60">
        <f t="shared" si="3"/>
        <v>15.829576805923027</v>
      </c>
      <c r="J35" s="60">
        <f>IF(INVOER!$S$36=1,100*'Berekening trap 1'!H161,100*'Berekening trap 1'!I161)</f>
        <v>8.9986464685596762E-2</v>
      </c>
      <c r="K35" s="243">
        <f t="shared" si="5"/>
        <v>1.4244476542341339E-2</v>
      </c>
      <c r="L35" s="60">
        <f t="shared" si="1"/>
        <v>0.21331955838500338</v>
      </c>
      <c r="M35" s="60">
        <f t="shared" si="4"/>
        <v>15.815332329380686</v>
      </c>
      <c r="N35" s="60">
        <f t="shared" si="2"/>
        <v>13.66776945580297</v>
      </c>
      <c r="O35" s="103">
        <f t="shared" si="6"/>
        <v>99.910013535314405</v>
      </c>
      <c r="P35" s="133"/>
      <c r="Q35" s="225"/>
    </row>
    <row r="36" spans="1:24" x14ac:dyDescent="0.2">
      <c r="A36" s="43"/>
      <c r="F36" s="6"/>
      <c r="G36" s="64">
        <f>'Berekening trap 1'!B166</f>
        <v>40.421953810560666</v>
      </c>
      <c r="H36" s="60">
        <f>100*'Berekening trap 1'!R166</f>
        <v>9.4569232449987997</v>
      </c>
      <c r="I36" s="60">
        <f t="shared" si="3"/>
        <v>4.1285107213143242</v>
      </c>
      <c r="J36" s="60">
        <f>IF(INVOER!$S$36=1,100*'Berekening trap 1'!H166,100*'Berekening trap 1'!I166)</f>
        <v>2.5999748235281218E-2</v>
      </c>
      <c r="K36" s="243">
        <f t="shared" si="5"/>
        <v>1.0734023934083168E-3</v>
      </c>
      <c r="L36" s="60">
        <f t="shared" si="1"/>
        <v>3.7914774720433947E-2</v>
      </c>
      <c r="M36" s="60">
        <f t="shared" si="4"/>
        <v>4.1274373189209159</v>
      </c>
      <c r="N36" s="60">
        <f t="shared" si="2"/>
        <v>9.5149184617051148</v>
      </c>
      <c r="O36" s="103">
        <f t="shared" si="6"/>
        <v>99.974000251764721</v>
      </c>
      <c r="P36" s="133"/>
      <c r="Q36" s="225"/>
    </row>
    <row r="37" spans="1:24" x14ac:dyDescent="0.2">
      <c r="A37" s="43"/>
      <c r="F37" s="6"/>
      <c r="G37" s="64">
        <f>'Berekening trap 1'!B171</f>
        <v>50.934544694454502</v>
      </c>
      <c r="H37" s="60">
        <f>100*'Berekening trap 1'!R171</f>
        <v>6.1504816301903364</v>
      </c>
      <c r="I37" s="60">
        <f t="shared" si="3"/>
        <v>3.3064416148084632</v>
      </c>
      <c r="J37" s="60">
        <f>IF(INVOER!$S$36=1,100*'Berekening trap 1'!H171,100*'Berekening trap 1'!I171)</f>
        <v>6.0225635707922467E-3</v>
      </c>
      <c r="K37" s="243">
        <f t="shared" si="5"/>
        <v>1.991325481829694E-4</v>
      </c>
      <c r="L37" s="60">
        <f t="shared" si="1"/>
        <v>5.3745067378923247E-3</v>
      </c>
      <c r="M37" s="60">
        <f t="shared" si="4"/>
        <v>3.3062424822602803</v>
      </c>
      <c r="N37" s="60">
        <f t="shared" si="2"/>
        <v>6.1883186085127111</v>
      </c>
      <c r="O37" s="103">
        <f t="shared" si="6"/>
        <v>99.993977436429205</v>
      </c>
      <c r="P37" s="133"/>
      <c r="Q37" s="225"/>
    </row>
    <row r="38" spans="1:24" x14ac:dyDescent="0.2">
      <c r="A38" s="43"/>
      <c r="F38" s="6"/>
      <c r="G38" s="64">
        <f>'Berekening trap 1'!B176</f>
        <v>64.181158965987137</v>
      </c>
      <c r="H38" s="60">
        <f>100*'Berekening trap 1'!R176</f>
        <v>3.5599228114866932</v>
      </c>
      <c r="I38" s="60">
        <f t="shared" si="3"/>
        <v>2.5905588187036432</v>
      </c>
      <c r="J38" s="60">
        <f>IF(INVOER!$S$36=1,100*'Berekening trap 1'!H176,100*'Berekening trap 1'!I176)</f>
        <v>1.0753838826918589E-3</v>
      </c>
      <c r="K38" s="243">
        <f t="shared" si="5"/>
        <v>2.7858452007991593E-5</v>
      </c>
      <c r="L38" s="60">
        <f t="shared" si="1"/>
        <v>8.2215453735763264E-4</v>
      </c>
      <c r="M38" s="60">
        <f t="shared" si="4"/>
        <v>2.5905309602516353</v>
      </c>
      <c r="N38" s="60">
        <f t="shared" si="2"/>
        <v>3.5818370941344648</v>
      </c>
      <c r="O38" s="103">
        <f t="shared" si="6"/>
        <v>99.998924616117307</v>
      </c>
      <c r="P38" s="133"/>
      <c r="Q38" s="225"/>
    </row>
    <row r="39" spans="1:24" x14ac:dyDescent="0.2">
      <c r="A39" s="43"/>
      <c r="F39" s="6"/>
      <c r="G39" s="64">
        <f>'Berekening trap 1'!B181</f>
        <v>80.872837696452223</v>
      </c>
      <c r="H39" s="60">
        <f>100*'Berekening trap 1'!R181</f>
        <v>0</v>
      </c>
      <c r="I39" s="60">
        <f t="shared" si="3"/>
        <v>3.5599228114866932</v>
      </c>
      <c r="J39" s="60">
        <f>IF(INVOER!$S$36=1,100*'Berekening trap 1'!H181,100*'Berekening trap 1'!I181)</f>
        <v>1.4132988400230914E-4</v>
      </c>
      <c r="K39" s="243">
        <f t="shared" si="5"/>
        <v>5.0312347800458852E-6</v>
      </c>
      <c r="L39" s="60">
        <f t="shared" si="1"/>
        <v>-7.8405164305461739E-15</v>
      </c>
      <c r="M39" s="60">
        <f t="shared" si="4"/>
        <v>3.5599177802519133</v>
      </c>
      <c r="N39" s="60">
        <f t="shared" si="2"/>
        <v>1.1990408665951691E-14</v>
      </c>
      <c r="O39" s="103">
        <f t="shared" si="6"/>
        <v>99.999858670115998</v>
      </c>
      <c r="P39" s="133"/>
      <c r="Q39" s="225"/>
    </row>
    <row r="40" spans="1:24" x14ac:dyDescent="0.2">
      <c r="A40" s="43"/>
      <c r="F40" s="6"/>
      <c r="G40" s="64">
        <f>'Berekening trap 1'!B186</f>
        <v>101.90554334711808</v>
      </c>
      <c r="H40" s="60">
        <f>100*'Berekening trap 1'!R186</f>
        <v>0</v>
      </c>
      <c r="I40" s="60">
        <f t="shared" si="3"/>
        <v>0</v>
      </c>
      <c r="J40" s="60">
        <f>IF(INVOER!$S$36=1,100*'Berekening trap 1'!H186,100*'Berekening trap 1'!I186)</f>
        <v>1.2946174709738228E-5</v>
      </c>
      <c r="K40" s="243">
        <f t="shared" si="5"/>
        <v>0</v>
      </c>
      <c r="L40" s="60">
        <f>L39-100*K40/SUM($K$18:$K$40)</f>
        <v>-7.8405164305461739E-15</v>
      </c>
      <c r="M40" s="60">
        <f>I40-K40</f>
        <v>0</v>
      </c>
      <c r="N40" s="60">
        <f t="shared" si="2"/>
        <v>1.1990408665951691E-14</v>
      </c>
      <c r="O40" s="103">
        <f t="shared" si="6"/>
        <v>99.999987053825294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IF(INVOER!$S$36=1,'Berekening trap 1'!U189,'Berekening trap 1'!V189)</f>
        <v>0.80443323402907685</v>
      </c>
      <c r="L41" s="123"/>
      <c r="M41" s="124"/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1'!U187/'Berekening trap 1'!U189</f>
        <v>5.5161724346912881E-9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1'!K56</f>
        <v>104.26085716278493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1'!H57/2</f>
        <v>0.32540092615184979</v>
      </c>
      <c r="E44" s="131" t="s">
        <v>251</v>
      </c>
      <c r="F44" s="131"/>
      <c r="G44" s="6"/>
      <c r="H44" s="6"/>
      <c r="I44" s="6"/>
      <c r="J44" s="6"/>
      <c r="K44" s="6"/>
      <c r="L44" s="6"/>
      <c r="M44" s="6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J16:L16"/>
    <mergeCell ref="M16:N16"/>
    <mergeCell ref="G15:O15"/>
    <mergeCell ref="I1:P2"/>
    <mergeCell ref="H16:I16"/>
    <mergeCell ref="B15:E15"/>
    <mergeCell ref="O3:P3"/>
    <mergeCell ref="O4:P4"/>
    <mergeCell ref="O5:P5"/>
    <mergeCell ref="J3:M3"/>
    <mergeCell ref="J4:M4"/>
    <mergeCell ref="J5:M5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pageSetUpPr fitToPage="1"/>
  </sheetPr>
  <dimension ref="A1:AC83"/>
  <sheetViews>
    <sheetView showGridLines="0" topLeftCell="A7" zoomScale="75" workbookViewId="0">
      <selection activeCell="S26" sqref="S26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3.2851562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39" t="s">
        <v>149</v>
      </c>
      <c r="J1" s="440"/>
      <c r="K1" s="440"/>
      <c r="L1" s="440"/>
      <c r="M1" s="440"/>
      <c r="N1" s="440"/>
      <c r="O1" s="440"/>
      <c r="P1" s="441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42"/>
      <c r="J2" s="443"/>
      <c r="K2" s="443"/>
      <c r="L2" s="443"/>
      <c r="M2" s="443"/>
      <c r="N2" s="443"/>
      <c r="O2" s="443"/>
      <c r="P2" s="444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30" t="str">
        <f>INVOER!H2</f>
        <v>Test</v>
      </c>
      <c r="K3" s="430"/>
      <c r="L3" s="430"/>
      <c r="M3" s="431"/>
      <c r="N3" s="119" t="s">
        <v>160</v>
      </c>
      <c r="O3" s="424">
        <f>+INVOER!H5</f>
        <v>0</v>
      </c>
      <c r="P3" s="425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32">
        <f>INVOER!H3</f>
        <v>0</v>
      </c>
      <c r="K4" s="432"/>
      <c r="L4" s="432"/>
      <c r="M4" s="433"/>
      <c r="N4" s="120" t="s">
        <v>175</v>
      </c>
      <c r="O4" s="426">
        <f>+INVOER!H6</f>
        <v>0</v>
      </c>
      <c r="P4" s="427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4">
        <f>INVOER!H4</f>
        <v>0</v>
      </c>
      <c r="K5" s="434"/>
      <c r="L5" s="434"/>
      <c r="M5" s="435"/>
      <c r="N5" s="121" t="s">
        <v>176</v>
      </c>
      <c r="O5" s="428"/>
      <c r="P5" s="429"/>
    </row>
    <row r="6" spans="1:29" x14ac:dyDescent="0.2">
      <c r="A6" s="41" t="s">
        <v>104</v>
      </c>
      <c r="B6" s="5"/>
      <c r="C6" s="5"/>
      <c r="D6" s="5">
        <f>INVOER!C$5</f>
        <v>45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2'!K$23</f>
        <v>850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INVOER!C$6-INVOER!C$28/100000</f>
        <v>-30.01803648441528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INVOER!E$15</f>
        <v>6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2'!K$29*'OUTPUT trap 2'!M$7</f>
        <v>3106.25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2'!C$6</f>
        <v>16.666843387760206</v>
      </c>
      <c r="E8" s="6" t="s">
        <v>110</v>
      </c>
      <c r="F8" s="57">
        <f>3600*D8</f>
        <v>60000.636195936742</v>
      </c>
      <c r="G8" s="44" t="s">
        <v>109</v>
      </c>
      <c r="H8" s="6" t="s">
        <v>177</v>
      </c>
      <c r="I8" s="6"/>
      <c r="J8" s="6">
        <f>INVOER!E$18</f>
        <v>1250</v>
      </c>
      <c r="K8" s="44" t="s">
        <v>120</v>
      </c>
      <c r="L8" s="52" t="s">
        <v>171</v>
      </c>
      <c r="M8" s="57">
        <f>'Berekening trap 2'!K$24*'OUTPUT trap 2'!M$7</f>
        <v>253.75000000000003</v>
      </c>
      <c r="N8" s="117" t="s">
        <v>163</v>
      </c>
      <c r="O8" s="57">
        <f>'Berekening trap 2'!K$30*'OUTPUT trap 2'!M$7</f>
        <v>1640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INVOER!V$9</f>
        <v>13.629993971388537</v>
      </c>
      <c r="E9" s="6" t="s">
        <v>107</v>
      </c>
      <c r="F9" s="57">
        <f>3600*D9</f>
        <v>49067.978296998728</v>
      </c>
      <c r="G9" s="44" t="s">
        <v>108</v>
      </c>
      <c r="H9" s="6" t="s">
        <v>122</v>
      </c>
      <c r="I9" s="6"/>
      <c r="J9" s="117" t="str">
        <f>IF('Berekening trap 2'!C$14=1,"NA",'Berekening trap 2'!C$14)</f>
        <v>NA</v>
      </c>
      <c r="K9" s="44"/>
      <c r="L9" s="52" t="s">
        <v>170</v>
      </c>
      <c r="M9" s="57">
        <f>'Berekening trap 2'!K$25*'OUTPUT trap 2'!M$7</f>
        <v>571.25</v>
      </c>
      <c r="N9" s="117" t="s">
        <v>164</v>
      </c>
      <c r="O9" s="57">
        <f>'Berekening trap 2'!K$31*'OUTPUT trap 2'!M$7</f>
        <v>750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'Berekening trap 2'!C$7</f>
        <v>1.073</v>
      </c>
      <c r="E10" s="6" t="s">
        <v>112</v>
      </c>
      <c r="F10" s="6">
        <f>INVOER!U$15</f>
        <v>1.2880029337557941</v>
      </c>
      <c r="G10" s="44" t="s">
        <v>141</v>
      </c>
      <c r="H10" s="6" t="s">
        <v>39</v>
      </c>
      <c r="I10" s="6"/>
      <c r="J10" s="61">
        <f>'Berekening trap 2'!R$24</f>
        <v>19.163279775228844</v>
      </c>
      <c r="K10" s="44" t="s">
        <v>121</v>
      </c>
      <c r="L10" s="52" t="s">
        <v>169</v>
      </c>
      <c r="M10" s="57">
        <f>'Berekening trap 2'!K$26*'OUTPUT trap 2'!M$7</f>
        <v>704.99999999999989</v>
      </c>
      <c r="N10" s="117" t="s">
        <v>165</v>
      </c>
      <c r="O10" s="57">
        <f>'Berekening trap 2'!K$32*'OUTPUT trap 2'!M$7</f>
        <v>500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INVOER!C$9</f>
        <v>0.02</v>
      </c>
      <c r="E11" s="6" t="s">
        <v>113</v>
      </c>
      <c r="F11" s="6"/>
      <c r="G11" s="44"/>
      <c r="H11" s="43" t="s">
        <v>119</v>
      </c>
      <c r="I11" s="6"/>
      <c r="J11" s="61">
        <f>'Berekening trap 2'!R$25</f>
        <v>24.016816828844515</v>
      </c>
      <c r="K11" s="44" t="s">
        <v>121</v>
      </c>
      <c r="L11" s="52" t="s">
        <v>168</v>
      </c>
      <c r="M11" s="57">
        <f>'Berekening trap 2'!K$27*'OUTPUT trap 2'!M$7*INVOER!C20</f>
        <v>383.75</v>
      </c>
      <c r="N11" s="117" t="s">
        <v>166</v>
      </c>
      <c r="O11" s="57">
        <f>'Berekening trap 2'!K$33*'OUTPUT trap 2'!M$7</f>
        <v>375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1'!C$9</f>
        <v>1500</v>
      </c>
      <c r="E12" s="6" t="s">
        <v>117</v>
      </c>
      <c r="F12" s="6"/>
      <c r="G12" s="44"/>
      <c r="H12" s="6" t="s">
        <v>186</v>
      </c>
      <c r="I12" s="6"/>
      <c r="J12" s="117" t="str">
        <f>INVOER!U$37</f>
        <v>Y</v>
      </c>
      <c r="K12" s="6"/>
      <c r="L12" s="52" t="s">
        <v>174</v>
      </c>
      <c r="M12" s="57">
        <f>'Berekening trap 2'!K$28*'OUTPUT trap 2'!M$7</f>
        <v>535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391">
        <f>'OUTPUT trap 1'!D17</f>
        <v>0.61941359020238929</v>
      </c>
      <c r="E13" s="392" t="s">
        <v>116</v>
      </c>
      <c r="F13" s="391">
        <f>'OUTPUT trap 1'!D18</f>
        <v>0.74352891089365014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1" t="s">
        <v>128</v>
      </c>
      <c r="C15" s="422"/>
      <c r="D15" s="422"/>
      <c r="E15" s="423"/>
      <c r="F15" s="6"/>
      <c r="G15" s="421" t="s">
        <v>253</v>
      </c>
      <c r="H15" s="422"/>
      <c r="I15" s="422"/>
      <c r="J15" s="422"/>
      <c r="K15" s="422"/>
      <c r="L15" s="422"/>
      <c r="M15" s="422"/>
      <c r="N15" s="422"/>
      <c r="O15" s="423"/>
      <c r="P15" s="44"/>
    </row>
    <row r="16" spans="1:29" x14ac:dyDescent="0.2">
      <c r="A16" s="43"/>
      <c r="B16" s="43" t="s">
        <v>129</v>
      </c>
      <c r="C16" s="6"/>
      <c r="D16" s="389">
        <f>'Berekening trap 2'!P190</f>
        <v>96.902926482982863</v>
      </c>
      <c r="E16" s="44" t="s">
        <v>5</v>
      </c>
      <c r="F16" s="6"/>
      <c r="G16" s="62" t="s">
        <v>133</v>
      </c>
      <c r="H16" s="445" t="s">
        <v>181</v>
      </c>
      <c r="I16" s="445"/>
      <c r="J16" s="436" t="s">
        <v>182</v>
      </c>
      <c r="K16" s="437"/>
      <c r="L16" s="438"/>
      <c r="M16" s="436" t="s">
        <v>183</v>
      </c>
      <c r="N16" s="438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90">
        <f>'Berekening trap 2'!P191</f>
        <v>1.8831793522966874E-2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90">
        <f>'Berekening trap 2'!P192</f>
        <v>2.3027636990653137E-2</v>
      </c>
      <c r="E18" s="44" t="s">
        <v>44</v>
      </c>
      <c r="F18" s="6"/>
      <c r="G18" s="64">
        <f>'Berekening trap 2'!B76</f>
        <v>0.32240257693945007</v>
      </c>
      <c r="H18" s="60">
        <f>'Berekening trap 2'!M76</f>
        <v>99.999999837208065</v>
      </c>
      <c r="I18" s="60">
        <f>'Berekening trap 2'!L76</f>
        <v>1.6279194147511427E-7</v>
      </c>
      <c r="J18" s="60">
        <f>IF(INVOER!$T$36=1,100*'Berekening trap 2'!H76,100*'Berekening trap 2'!I76)</f>
        <v>100</v>
      </c>
      <c r="K18" s="243">
        <f>J18*I18/100</f>
        <v>1.6279194147511427E-7</v>
      </c>
      <c r="L18" s="60">
        <f>100*(1-K18/SUM(K18:K40))</f>
        <v>99.999993509696054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2'!B81</f>
        <v>0.79414561972857034</v>
      </c>
      <c r="H19" s="60">
        <f>'Berekening trap 2'!M81</f>
        <v>99.999999175598234</v>
      </c>
      <c r="I19" s="60">
        <f>H18-H19</f>
        <v>6.6160983180907351E-7</v>
      </c>
      <c r="J19" s="60">
        <f>IF(INVOER!$T$36=1,100*'Berekening trap 2'!H81,100*'Berekening trap 2'!I81)</f>
        <v>87.911547964103221</v>
      </c>
      <c r="K19" s="243">
        <f>J19*I19/100</f>
        <v>5.8163144462605634E-7</v>
      </c>
      <c r="L19" s="60">
        <f>L18-100*K19/SUM($K$18:$K$40)</f>
        <v>99.999970320803371</v>
      </c>
      <c r="M19" s="60">
        <f>I19-K19</f>
        <v>7.9978387183017169E-8</v>
      </c>
      <c r="N19" s="60">
        <f>N18-100*M19/SUM($M$18:$M$40)</f>
        <v>99.999999917963962</v>
      </c>
      <c r="O19" s="103">
        <f>100-J19</f>
        <v>12.088452035896779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2'!R27</f>
        <v>1667.9678321814874</v>
      </c>
      <c r="E20" s="44" t="s">
        <v>131</v>
      </c>
      <c r="F20" s="6"/>
      <c r="G20" s="64">
        <f>'Berekening trap 2'!B86</f>
        <v>1.0006801193118551</v>
      </c>
      <c r="H20" s="60">
        <f>'Berekening trap 2'!M86</f>
        <v>99.999995997887353</v>
      </c>
      <c r="I20" s="60">
        <f>H19-H20</f>
        <v>3.177710880208906E-6</v>
      </c>
      <c r="J20" s="60">
        <f>IF(INVOER!$T$36=1,100*'Berekening trap 2'!H86,100*'Berekening trap 2'!I86)</f>
        <v>78.321729647563615</v>
      </c>
      <c r="K20" s="243">
        <f>J20*I20/100</f>
        <v>2.4888381245784333E-6</v>
      </c>
      <c r="L20" s="60">
        <f t="shared" ref="L20:L39" si="0">L19-100*K20/SUM($K$18:$K$40)</f>
        <v>99.99987109404951</v>
      </c>
      <c r="M20" s="60">
        <f>I20-K20</f>
        <v>6.8887275563047271E-7</v>
      </c>
      <c r="N20" s="60">
        <f t="shared" ref="N20:N40" si="1">N19-100*M20/SUM($M$18:$M$40)</f>
        <v>99.999999211368134</v>
      </c>
      <c r="O20" s="103">
        <f t="shared" ref="O20:O40" si="2">100-J20</f>
        <v>21.678270352436385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2'!R28</f>
        <v>1216.0048972624784</v>
      </c>
      <c r="E21" s="100" t="s">
        <v>131</v>
      </c>
      <c r="F21" s="6"/>
      <c r="G21" s="64">
        <f>'Berekening trap 2'!B91</f>
        <v>1.2609283188242504</v>
      </c>
      <c r="H21" s="60">
        <f>'Berekening trap 2'!M91</f>
        <v>99.999980748888831</v>
      </c>
      <c r="I21" s="60">
        <f t="shared" ref="I21:I40" si="3">H20-H21</f>
        <v>1.5248998522565671E-5</v>
      </c>
      <c r="J21" s="60">
        <f>IF(INVOER!$T$36=1,100*'Berekening trap 2'!H91,100*'Berekening trap 2'!I91)</f>
        <v>69.337815592628232</v>
      </c>
      <c r="K21" s="243">
        <f>J21*I21/100</f>
        <v>1.0573322475299189E-5</v>
      </c>
      <c r="L21" s="60">
        <f t="shared" si="0"/>
        <v>99.999449549371136</v>
      </c>
      <c r="M21" s="60">
        <f>I21-K21</f>
        <v>4.6756760472664825E-6</v>
      </c>
      <c r="N21" s="60">
        <f t="shared" si="1"/>
        <v>99.999994415397978</v>
      </c>
      <c r="O21" s="103">
        <f t="shared" si="2"/>
        <v>30.662184407371768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2'!K51</f>
        <v>0.68760984722374341</v>
      </c>
      <c r="E22" s="44" t="s">
        <v>132</v>
      </c>
      <c r="F22" s="6"/>
      <c r="G22" s="64">
        <f>'Berekening trap 2'!B96</f>
        <v>1.5888596111076094</v>
      </c>
      <c r="H22" s="60">
        <f>'Berekening trap 2'!M96</f>
        <v>99.999908542157883</v>
      </c>
      <c r="I22" s="60">
        <f t="shared" si="3"/>
        <v>7.2206730948209952E-5</v>
      </c>
      <c r="J22" s="60">
        <f>IF(INVOER!$T$36=1,100*'Berekening trap 2'!H96,100*'Berekening trap 2'!I96)</f>
        <v>60.560720891685847</v>
      </c>
      <c r="K22" s="243">
        <f>J22*I22/100</f>
        <v>4.3728916794555974E-5</v>
      </c>
      <c r="L22" s="60">
        <f t="shared" si="0"/>
        <v>99.997706134072033</v>
      </c>
      <c r="M22" s="60">
        <f t="shared" ref="M22:M39" si="4">I22-K22</f>
        <v>2.8477814153653978E-5</v>
      </c>
      <c r="N22" s="60">
        <f t="shared" si="1"/>
        <v>99.999965204916919</v>
      </c>
      <c r="O22" s="103">
        <f t="shared" si="2"/>
        <v>39.439279108314153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2'!K52</f>
        <v>0.75847310926630329</v>
      </c>
      <c r="E23" s="44" t="s">
        <v>132</v>
      </c>
      <c r="F23" s="6"/>
      <c r="G23" s="64">
        <f>'Berekening trap 2'!B101</f>
        <v>2.0020764274395582</v>
      </c>
      <c r="H23" s="60">
        <f>'Berekening trap 2'!M101</f>
        <v>99.999573272476255</v>
      </c>
      <c r="I23" s="60">
        <f t="shared" si="3"/>
        <v>3.3526968162789217E-4</v>
      </c>
      <c r="J23" s="60">
        <f>IF(INVOER!$T$36=1,100*'Berekening trap 2'!H101,100*'Berekening trap 2'!I101)</f>
        <v>51.923794205501018</v>
      </c>
      <c r="K23" s="243">
        <f t="shared" ref="K23:K40" si="5">J23*I23/100</f>
        <v>1.7408473952190519E-4</v>
      </c>
      <c r="L23" s="60">
        <f t="shared" si="0"/>
        <v>99.99076560088551</v>
      </c>
      <c r="M23" s="60">
        <f t="shared" si="4"/>
        <v>1.6118494210598698E-4</v>
      </c>
      <c r="N23" s="60">
        <f t="shared" si="1"/>
        <v>99.999799873066891</v>
      </c>
      <c r="O23" s="103">
        <f t="shared" si="2"/>
        <v>48.076205794498982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2'!K53</f>
        <v>2.1092330615811519</v>
      </c>
      <c r="E24" s="44" t="s">
        <v>132</v>
      </c>
      <c r="F24" s="6"/>
      <c r="G24" s="64">
        <f>'Berekening trap 2'!B106</f>
        <v>2.5227590866350447</v>
      </c>
      <c r="H24" s="60">
        <f>'Berekening trap 2'!M106</f>
        <v>99.998055245584013</v>
      </c>
      <c r="I24" s="60">
        <f t="shared" si="3"/>
        <v>1.5180268922421192E-3</v>
      </c>
      <c r="J24" s="60">
        <f>IF(INVOER!$T$36=1,100*'Berekening trap 2'!H106,100*'Berekening trap 2'!I106)</f>
        <v>43.491458057596788</v>
      </c>
      <c r="K24" s="243">
        <f>J24*I24/100</f>
        <v>6.6021202914252116E-4</v>
      </c>
      <c r="L24" s="60">
        <f t="shared" si="0"/>
        <v>99.964443802024832</v>
      </c>
      <c r="M24" s="60">
        <f t="shared" si="4"/>
        <v>8.5781486309959801E-4</v>
      </c>
      <c r="N24" s="60">
        <f t="shared" si="1"/>
        <v>99.9989199886531</v>
      </c>
      <c r="O24" s="103">
        <f t="shared" si="2"/>
        <v>56.508541942403212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2'!K54</f>
        <v>8.1104861980605527</v>
      </c>
      <c r="E25" s="44" t="s">
        <v>132</v>
      </c>
      <c r="F25" s="6"/>
      <c r="G25" s="64">
        <f>'Berekening trap 2'!B111</f>
        <v>3.178856372300912</v>
      </c>
      <c r="H25" s="60">
        <f>'Berekening trap 2'!M111</f>
        <v>99.991391683849628</v>
      </c>
      <c r="I25" s="60">
        <f t="shared" si="3"/>
        <v>6.6635617343848708E-3</v>
      </c>
      <c r="J25" s="60">
        <f>IF(INVOER!$T$36=1,100*'Berekening trap 2'!H111,100*'Berekening trap 2'!I111)</f>
        <v>35.403139797624746</v>
      </c>
      <c r="K25" s="243">
        <f>J25*I25/100</f>
        <v>2.3591100763253039E-3</v>
      </c>
      <c r="L25" s="60">
        <f t="shared" si="0"/>
        <v>99.870389137495508</v>
      </c>
      <c r="M25" s="60">
        <f>I25-K25</f>
        <v>4.3044516580595668E-3</v>
      </c>
      <c r="N25" s="60">
        <f t="shared" si="1"/>
        <v>99.994504793618873</v>
      </c>
      <c r="O25" s="103">
        <f t="shared" si="2"/>
        <v>64.596860202375254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2'!K55</f>
        <v>11.672421867682866</v>
      </c>
      <c r="E26" s="50" t="s">
        <v>132</v>
      </c>
      <c r="F26" s="6"/>
      <c r="G26" s="64">
        <f>'Berekening trap 2'!B116</f>
        <v>4.0055857450886183</v>
      </c>
      <c r="H26" s="60">
        <f>'Berekening trap 2'!M116</f>
        <v>99.963217767963599</v>
      </c>
      <c r="I26" s="60">
        <f t="shared" si="3"/>
        <v>2.8173915886029022E-2</v>
      </c>
      <c r="J26" s="60">
        <f>IF(INVOER!$T$36=1,100*'Berekening trap 2'!H116,100*'Berekening trap 2'!I116)</f>
        <v>27.842855957447242</v>
      </c>
      <c r="K26" s="243">
        <f t="shared" si="5"/>
        <v>7.8444228177194063E-3</v>
      </c>
      <c r="L26" s="60">
        <f t="shared" si="0"/>
        <v>99.557642155508134</v>
      </c>
      <c r="M26" s="60">
        <f>I26-K26</f>
        <v>2.0329493068309615E-2</v>
      </c>
      <c r="N26" s="60">
        <f t="shared" si="1"/>
        <v>99.973652270702175</v>
      </c>
      <c r="O26" s="103">
        <f t="shared" si="2"/>
        <v>72.157144042552758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2'!B121</f>
        <v>5.0473237171277709</v>
      </c>
      <c r="H27" s="60">
        <f>'Berekening trap 2'!M121</f>
        <v>99.849339149561047</v>
      </c>
      <c r="I27" s="60">
        <f t="shared" si="3"/>
        <v>0.11387861840255198</v>
      </c>
      <c r="J27" s="60">
        <f>IF(INVOER!$T$36=1,100*'Berekening trap 2'!H121,100*'Berekening trap 2'!I121)</f>
        <v>21.010947802901018</v>
      </c>
      <c r="K27" s="243">
        <f t="shared" si="5"/>
        <v>2.3926977071225028E-2</v>
      </c>
      <c r="L27" s="60">
        <f t="shared" si="0"/>
        <v>98.603704556657192</v>
      </c>
      <c r="M27" s="60">
        <f>I27-K27</f>
        <v>8.9951641331326951E-2</v>
      </c>
      <c r="N27" s="60">
        <f t="shared" si="1"/>
        <v>99.881386386060882</v>
      </c>
      <c r="O27" s="103">
        <f t="shared" si="2"/>
        <v>78.989052197098985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2'!B126</f>
        <v>6.3599878586338638</v>
      </c>
      <c r="H28" s="60">
        <f>'Berekening trap 2'!M126</f>
        <v>99.413167132433031</v>
      </c>
      <c r="I28" s="60">
        <f t="shared" si="3"/>
        <v>0.43617201712801545</v>
      </c>
      <c r="J28" s="60">
        <f>IF(INVOER!$T$36=1,100*'Berekening trap 2'!H126,100*'Berekening trap 2'!I126)</f>
        <v>15.092253149559651</v>
      </c>
      <c r="K28" s="243">
        <f t="shared" si="5"/>
        <v>6.5828184992500774E-2</v>
      </c>
      <c r="L28" s="60">
        <f t="shared" si="0"/>
        <v>95.979220045240112</v>
      </c>
      <c r="M28" s="60">
        <f t="shared" si="4"/>
        <v>0.37034383213551469</v>
      </c>
      <c r="N28" s="60">
        <f t="shared" si="1"/>
        <v>99.501514481694301</v>
      </c>
      <c r="O28" s="103">
        <f t="shared" si="2"/>
        <v>84.907746850440347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2'!B131</f>
        <v>8.014038296118704</v>
      </c>
      <c r="H29" s="60">
        <f>'Berekening trap 2'!M131</f>
        <v>97.847116794410766</v>
      </c>
      <c r="I29" s="60">
        <f t="shared" si="3"/>
        <v>1.566050338022265</v>
      </c>
      <c r="J29" s="60">
        <f>IF(INVOER!$T$36=1,100*'Berekening trap 2'!H131,100*'Berekening trap 2'!I131)</f>
        <v>10.222052069224219</v>
      </c>
      <c r="K29" s="243">
        <f t="shared" si="5"/>
        <v>0.16008248098289779</v>
      </c>
      <c r="L29" s="60">
        <f t="shared" si="0"/>
        <v>89.596938778686962</v>
      </c>
      <c r="M29" s="60">
        <f t="shared" si="4"/>
        <v>1.4059678570393672</v>
      </c>
      <c r="N29" s="60">
        <f t="shared" si="1"/>
        <v>98.059374391897109</v>
      </c>
      <c r="O29" s="103">
        <f t="shared" si="2"/>
        <v>89.777947930775781</v>
      </c>
      <c r="P29" s="133"/>
      <c r="Q29" s="225"/>
    </row>
    <row r="30" spans="1:17" x14ac:dyDescent="0.2">
      <c r="A30" s="43"/>
      <c r="F30" s="6"/>
      <c r="G30" s="64">
        <f>'Berekening trap 2'!B136</f>
        <v>10.098259814202343</v>
      </c>
      <c r="H30" s="60">
        <f>'Berekening trap 2'!M136</f>
        <v>92.599099922463964</v>
      </c>
      <c r="I30" s="60">
        <f t="shared" si="3"/>
        <v>5.2480168719468026</v>
      </c>
      <c r="J30" s="60">
        <f>IF(INVOER!$T$36=1,100*'Berekening trap 2'!H136,100*'Berekening trap 2'!I136)</f>
        <v>6.6727047946924829</v>
      </c>
      <c r="K30" s="243">
        <f>J30*I30/100</f>
        <v>0.35018467344066473</v>
      </c>
      <c r="L30" s="60">
        <f t="shared" si="0"/>
        <v>75.635529213994118</v>
      </c>
      <c r="M30" s="60">
        <f t="shared" si="4"/>
        <v>4.8978321985061379</v>
      </c>
      <c r="N30" s="60">
        <f t="shared" si="1"/>
        <v>93.035532537191443</v>
      </c>
      <c r="O30" s="103">
        <f t="shared" si="2"/>
        <v>93.327295205307522</v>
      </c>
      <c r="P30" s="133"/>
      <c r="Q30" s="225"/>
    </row>
    <row r="31" spans="1:17" x14ac:dyDescent="0.2">
      <c r="A31" s="43"/>
      <c r="F31" s="6"/>
      <c r="G31" s="64">
        <f>'Berekening trap 2'!B141</f>
        <v>12.724527573635584</v>
      </c>
      <c r="H31" s="60">
        <f>'Berekening trap 2'!M141</f>
        <v>75.783916842221274</v>
      </c>
      <c r="I31" s="60">
        <f t="shared" si="3"/>
        <v>16.81518308024269</v>
      </c>
      <c r="J31" s="60">
        <f>IF(INVOER!$T$36=1,100*'Berekening trap 2'!H141,100*'Berekening trap 2'!I141)</f>
        <v>4.1488946665281174</v>
      </c>
      <c r="K31" s="243">
        <f t="shared" si="5"/>
        <v>0.69764423398312747</v>
      </c>
      <c r="L31" s="60">
        <f t="shared" si="0"/>
        <v>47.821356807801678</v>
      </c>
      <c r="M31" s="60">
        <f t="shared" si="4"/>
        <v>16.117538846259563</v>
      </c>
      <c r="N31" s="60">
        <f t="shared" si="1"/>
        <v>76.503327478108361</v>
      </c>
      <c r="O31" s="103">
        <f t="shared" si="2"/>
        <v>95.851105333471878</v>
      </c>
      <c r="P31" s="133"/>
      <c r="Q31" s="225"/>
    </row>
    <row r="32" spans="1:17" x14ac:dyDescent="0.2">
      <c r="A32" s="43"/>
      <c r="F32" s="6"/>
      <c r="G32" s="64">
        <f>'Berekening trap 2'!B146</f>
        <v>16.033812255899235</v>
      </c>
      <c r="H32" s="60">
        <f>'Berekening trap 2'!M146</f>
        <v>42.067311201707582</v>
      </c>
      <c r="I32" s="60">
        <f t="shared" si="3"/>
        <v>33.716605640513691</v>
      </c>
      <c r="J32" s="60">
        <f>IF(INVOER!$T$36=1,100*'Berekening trap 2'!H146,100*'Berekening trap 2'!I146)</f>
        <v>2.3698153472058112</v>
      </c>
      <c r="K32" s="243">
        <f>J32*I32/100</f>
        <v>0.79902129502575359</v>
      </c>
      <c r="L32" s="60">
        <f t="shared" si="0"/>
        <v>15.965412225304124</v>
      </c>
      <c r="M32" s="60">
        <f t="shared" si="4"/>
        <v>32.917584345487938</v>
      </c>
      <c r="N32" s="60">
        <f t="shared" si="1"/>
        <v>42.738851422537174</v>
      </c>
      <c r="O32" s="103">
        <f t="shared" si="2"/>
        <v>97.630184652794185</v>
      </c>
      <c r="P32" s="133"/>
      <c r="Q32" s="225"/>
    </row>
    <row r="33" spans="1:24" x14ac:dyDescent="0.2">
      <c r="A33" s="43"/>
      <c r="F33" s="6"/>
      <c r="G33" s="64">
        <f>'Berekening trap 2'!B151</f>
        <v>20.203746973686044</v>
      </c>
      <c r="H33" s="60">
        <f>'Berekening trap 2'!M151</f>
        <v>15.442998438240341</v>
      </c>
      <c r="I33" s="60">
        <f t="shared" si="3"/>
        <v>26.624312763467241</v>
      </c>
      <c r="J33" s="60">
        <f>IF(INVOER!$T$36=1,100*'Berekening trap 2'!H151,100*'Berekening trap 2'!I151)</f>
        <v>1.2249244597188029</v>
      </c>
      <c r="K33" s="243">
        <f t="shared" si="5"/>
        <v>0.32612771927174544</v>
      </c>
      <c r="L33" s="60">
        <f t="shared" si="0"/>
        <v>2.9631222780728859</v>
      </c>
      <c r="M33" s="60">
        <f t="shared" si="4"/>
        <v>26.298185044195495</v>
      </c>
      <c r="N33" s="60">
        <f t="shared" si="1"/>
        <v>15.764076180518813</v>
      </c>
      <c r="O33" s="103">
        <f t="shared" si="2"/>
        <v>98.775075540281193</v>
      </c>
      <c r="P33" s="133"/>
      <c r="Q33" s="225"/>
    </row>
    <row r="34" spans="1:24" x14ac:dyDescent="0.2">
      <c r="A34" s="43"/>
      <c r="F34" s="6"/>
      <c r="G34" s="64">
        <f>'Berekening trap 2'!B156</f>
        <v>25.458162117779835</v>
      </c>
      <c r="H34" s="60">
        <f>'Berekening trap 2'!M156</f>
        <v>3.589363432292477</v>
      </c>
      <c r="I34" s="60">
        <f>H33-H34</f>
        <v>11.853635005947865</v>
      </c>
      <c r="J34" s="60">
        <f>IF(INVOER!$T$36=1,100*'Berekening trap 2'!H156,100*'Berekening trap 2'!I156)</f>
        <v>0.56287906782748098</v>
      </c>
      <c r="K34" s="243">
        <f t="shared" si="5"/>
        <v>6.6721630225151318E-2</v>
      </c>
      <c r="L34" s="60">
        <f t="shared" si="0"/>
        <v>0.303017261925842</v>
      </c>
      <c r="M34" s="60">
        <f t="shared" si="4"/>
        <v>11.786913375722714</v>
      </c>
      <c r="N34" s="60">
        <f t="shared" si="1"/>
        <v>3.6739133585244694</v>
      </c>
      <c r="O34" s="103">
        <f t="shared" si="2"/>
        <v>99.437120932172519</v>
      </c>
      <c r="P34" s="133"/>
      <c r="Q34" s="225"/>
    </row>
    <row r="35" spans="1:24" x14ac:dyDescent="0.2">
      <c r="A35" s="43"/>
      <c r="F35" s="6"/>
      <c r="G35" s="64">
        <f>'Berekening trap 2'!B161</f>
        <v>32.079099944148396</v>
      </c>
      <c r="H35" s="60">
        <f>'Berekening trap 2'!M161</f>
        <v>0.30153762648784954</v>
      </c>
      <c r="I35" s="60">
        <f t="shared" si="3"/>
        <v>3.2878258058046272</v>
      </c>
      <c r="J35" s="60">
        <f>IF(INVOER!$T$36=1,100*'Berekening trap 2'!H161,100*'Berekening trap 2'!I161)</f>
        <v>0.22519601433062733</v>
      </c>
      <c r="K35" s="243">
        <f t="shared" si="5"/>
        <v>7.4040526728058522E-3</v>
      </c>
      <c r="L35" s="60">
        <f t="shared" si="0"/>
        <v>7.8272674924722563E-3</v>
      </c>
      <c r="M35" s="60">
        <f t="shared" si="4"/>
        <v>3.2804217531318214</v>
      </c>
      <c r="N35" s="60">
        <f t="shared" si="1"/>
        <v>0.3090941004255221</v>
      </c>
      <c r="O35" s="103">
        <f t="shared" si="2"/>
        <v>99.774803985669379</v>
      </c>
      <c r="P35" s="133"/>
      <c r="Q35" s="225"/>
    </row>
    <row r="36" spans="1:24" x14ac:dyDescent="0.2">
      <c r="A36" s="43"/>
      <c r="F36" s="6"/>
      <c r="G36" s="64">
        <f>'Berekening trap 2'!B166</f>
        <v>40.421953810560666</v>
      </c>
      <c r="H36" s="60">
        <f>'Berekening trap 2'!M166</f>
        <v>5.974583234258405E-2</v>
      </c>
      <c r="I36" s="60">
        <f t="shared" si="3"/>
        <v>0.2417917941452655</v>
      </c>
      <c r="J36" s="60">
        <f>IF(INVOER!$T$36=1,100*'Berekening trap 2'!H166,100*'Berekening trap 2'!I166)</f>
        <v>7.6535347379595775E-2</v>
      </c>
      <c r="K36" s="243">
        <f t="shared" si="5"/>
        <v>1.8505618958443608E-4</v>
      </c>
      <c r="L36" s="60">
        <f t="shared" si="0"/>
        <v>4.4931679610195775E-4</v>
      </c>
      <c r="M36" s="60">
        <f t="shared" si="4"/>
        <v>0.24160673795568105</v>
      </c>
      <c r="N36" s="60">
        <f t="shared" si="1"/>
        <v>6.1271391658393293E-2</v>
      </c>
      <c r="O36" s="103">
        <f t="shared" si="2"/>
        <v>99.92346465262041</v>
      </c>
      <c r="P36" s="133"/>
      <c r="Q36" s="225"/>
    </row>
    <row r="37" spans="1:24" x14ac:dyDescent="0.2">
      <c r="A37" s="43"/>
      <c r="F37" s="6"/>
      <c r="G37" s="64">
        <f>'Berekening trap 2'!B171</f>
        <v>50.934544694454502</v>
      </c>
      <c r="H37" s="60">
        <f>'Berekening trap 2'!M171</f>
        <v>9.1157679722775088E-3</v>
      </c>
      <c r="I37" s="60">
        <f t="shared" si="3"/>
        <v>5.0630064370306538E-2</v>
      </c>
      <c r="J37" s="60">
        <f>IF(INVOER!$T$36=1,100*'Berekening trap 2'!H171,100*'Berekening trap 2'!I171)</f>
        <v>2.1465232520661646E-2</v>
      </c>
      <c r="K37" s="243">
        <f t="shared" si="5"/>
        <v>1.0867861042446964E-5</v>
      </c>
      <c r="L37" s="60">
        <f t="shared" si="0"/>
        <v>1.6029246378622994E-5</v>
      </c>
      <c r="M37" s="60">
        <f t="shared" si="4"/>
        <v>5.0619196509264087E-2</v>
      </c>
      <c r="N37" s="60">
        <f t="shared" si="1"/>
        <v>9.349882760563949E-3</v>
      </c>
      <c r="O37" s="103">
        <f t="shared" si="2"/>
        <v>99.978534767479331</v>
      </c>
      <c r="P37" s="133"/>
      <c r="Q37" s="225"/>
    </row>
    <row r="38" spans="1:24" x14ac:dyDescent="0.2">
      <c r="A38" s="43"/>
      <c r="F38" s="6"/>
      <c r="G38" s="64">
        <f>'Berekening trap 2'!B176</f>
        <v>64.181158965987137</v>
      </c>
      <c r="H38" s="60">
        <f>'Berekening trap 2'!M176</f>
        <v>8.8963856679003396E-4</v>
      </c>
      <c r="I38" s="60">
        <f t="shared" si="3"/>
        <v>8.2261294054874756E-3</v>
      </c>
      <c r="J38" s="60">
        <f>IF(INVOER!$T$36=1,100*'Berekening trap 2'!H176,100*'Berekening trap 2'!I176)</f>
        <v>4.8013196746683291E-3</v>
      </c>
      <c r="K38" s="243">
        <f t="shared" si="5"/>
        <v>3.94962769609347E-7</v>
      </c>
      <c r="L38" s="60">
        <f t="shared" si="0"/>
        <v>2.8259209149342026E-7</v>
      </c>
      <c r="M38" s="60">
        <f t="shared" si="4"/>
        <v>8.225734442717866E-3</v>
      </c>
      <c r="N38" s="60">
        <f t="shared" si="1"/>
        <v>9.1251959576949156E-4</v>
      </c>
      <c r="O38" s="103">
        <f t="shared" si="2"/>
        <v>99.995198680325331</v>
      </c>
      <c r="P38" s="133"/>
      <c r="Q38" s="225"/>
    </row>
    <row r="39" spans="1:24" x14ac:dyDescent="0.2">
      <c r="A39" s="43"/>
      <c r="F39" s="6"/>
      <c r="G39" s="64">
        <f>'Berekening trap 2'!B181</f>
        <v>80.872837696452223</v>
      </c>
      <c r="H39" s="60">
        <f>'Berekening trap 2'!M181</f>
        <v>3.2187071079594937E-5</v>
      </c>
      <c r="I39" s="60">
        <f t="shared" si="3"/>
        <v>8.5745149571043902E-4</v>
      </c>
      <c r="J39" s="60">
        <f>IF(INVOER!$T$36=1,100*'Berekening trap 2'!H181,100*'Berekening trap 2'!I181)</f>
        <v>8.2277618667983641E-4</v>
      </c>
      <c r="K39" s="243">
        <f t="shared" si="5"/>
        <v>7.0549067190355718E-9</v>
      </c>
      <c r="L39" s="60">
        <f t="shared" si="0"/>
        <v>1.3220942162599923E-9</v>
      </c>
      <c r="M39" s="60">
        <f t="shared" si="4"/>
        <v>8.5744444080371998E-4</v>
      </c>
      <c r="N39" s="60">
        <f t="shared" si="1"/>
        <v>3.301513436546966E-5</v>
      </c>
      <c r="O39" s="103">
        <f t="shared" si="2"/>
        <v>99.999177223813319</v>
      </c>
      <c r="P39" s="133"/>
      <c r="Q39" s="225"/>
    </row>
    <row r="40" spans="1:24" x14ac:dyDescent="0.2">
      <c r="A40" s="43"/>
      <c r="F40" s="6"/>
      <c r="G40" s="64">
        <f>'Berekening trap 2'!B186</f>
        <v>101.90554334711808</v>
      </c>
      <c r="H40" s="60">
        <f>'Berekening trap 2'!M186</f>
        <v>5.4410211687734578E-15</v>
      </c>
      <c r="I40" s="60">
        <f t="shared" si="3"/>
        <v>3.2187071074153916E-5</v>
      </c>
      <c r="J40" s="60">
        <f>IF(INVOER!$T$36=1,100*'Berekening trap 2'!H186,100*'Berekening trap 2'!I186)</f>
        <v>1.0302448563121805E-4</v>
      </c>
      <c r="K40" s="243">
        <f t="shared" si="5"/>
        <v>3.3160564413901644E-11</v>
      </c>
      <c r="L40" s="60">
        <f>L39-100*K40/SUM($K$18:$K$40)</f>
        <v>2.5444288723236539E-14</v>
      </c>
      <c r="M40" s="60">
        <f>I40-K40</f>
        <v>3.2187037913589499E-5</v>
      </c>
      <c r="N40" s="60">
        <f t="shared" si="1"/>
        <v>-2.3701310011836618E-14</v>
      </c>
      <c r="O40" s="103">
        <f t="shared" si="2"/>
        <v>99.999896975514375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IF(INVOER!$T$36=1,'Berekening trap 2'!N189,'Berekening trap 2'!O189)</f>
        <v>3.0970735170171304</v>
      </c>
      <c r="L41" s="123" t="s">
        <v>150</v>
      </c>
      <c r="M41" s="124">
        <f>SUM(M18:M40)</f>
        <v>97.491767061069169</v>
      </c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2'!N187/'Berekening trap 2'!N189</f>
        <v>0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2'!K56</f>
        <v>127.12514537025412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2'!H57/2</f>
        <v>0.32240257693945007</v>
      </c>
      <c r="E44" s="131" t="s">
        <v>251</v>
      </c>
      <c r="F44" s="131"/>
      <c r="G44" s="6"/>
      <c r="H44" s="6"/>
      <c r="I44" s="6"/>
      <c r="J44" s="6"/>
      <c r="K44" s="6"/>
      <c r="L44" s="6"/>
      <c r="M44" s="133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B15:E15"/>
    <mergeCell ref="G15:O15"/>
    <mergeCell ref="H16:I16"/>
    <mergeCell ref="J16:L16"/>
    <mergeCell ref="M16:N16"/>
    <mergeCell ref="J5:M5"/>
    <mergeCell ref="O5:P5"/>
    <mergeCell ref="I1:P2"/>
    <mergeCell ref="J3:M3"/>
    <mergeCell ref="O3:P3"/>
    <mergeCell ref="J4:M4"/>
    <mergeCell ref="O4:P4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AD84"/>
  <sheetViews>
    <sheetView showGridLines="0" topLeftCell="A2" zoomScale="75" workbookViewId="0">
      <selection activeCell="X45" sqref="X4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30" ht="15.75" customHeight="1" x14ac:dyDescent="0.2">
      <c r="A1" s="104"/>
      <c r="B1" s="105"/>
      <c r="C1" s="105"/>
      <c r="D1" s="105"/>
      <c r="E1" s="105"/>
      <c r="F1" s="106"/>
      <c r="G1" s="106"/>
      <c r="H1" s="5"/>
      <c r="I1" s="439" t="s">
        <v>149</v>
      </c>
      <c r="J1" s="440"/>
      <c r="K1" s="440"/>
      <c r="L1" s="440"/>
      <c r="M1" s="440"/>
      <c r="N1" s="440"/>
      <c r="O1" s="440"/>
      <c r="P1" s="441"/>
      <c r="Q1" s="125"/>
    </row>
    <row r="2" spans="1:30" ht="15.75" customHeight="1" x14ac:dyDescent="0.2">
      <c r="A2" s="107"/>
      <c r="B2" s="109"/>
      <c r="C2" s="108"/>
      <c r="D2" s="108"/>
      <c r="E2" s="108"/>
      <c r="F2" s="109"/>
      <c r="G2" s="109"/>
      <c r="H2" s="6"/>
      <c r="I2" s="442"/>
      <c r="J2" s="443"/>
      <c r="K2" s="443"/>
      <c r="L2" s="443"/>
      <c r="M2" s="443"/>
      <c r="N2" s="443"/>
      <c r="O2" s="443"/>
      <c r="P2" s="444"/>
      <c r="Q2" s="125"/>
    </row>
    <row r="3" spans="1:30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30" t="str">
        <f>INVOER!H2</f>
        <v>Test</v>
      </c>
      <c r="K3" s="430"/>
      <c r="L3" s="430"/>
      <c r="M3" s="431"/>
      <c r="N3" s="119" t="s">
        <v>160</v>
      </c>
      <c r="O3" s="424">
        <f>+INVOER!H5</f>
        <v>0</v>
      </c>
      <c r="P3" s="425"/>
    </row>
    <row r="4" spans="1:30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32">
        <f>INVOER!H3</f>
        <v>0</v>
      </c>
      <c r="K4" s="432"/>
      <c r="L4" s="432"/>
      <c r="M4" s="433"/>
      <c r="N4" s="120" t="s">
        <v>175</v>
      </c>
      <c r="O4" s="426">
        <f>+INVOER!H6</f>
        <v>0</v>
      </c>
      <c r="P4" s="427"/>
    </row>
    <row r="5" spans="1:30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4">
        <f>INVOER!H4</f>
        <v>0</v>
      </c>
      <c r="K5" s="434"/>
      <c r="L5" s="434"/>
      <c r="M5" s="435"/>
      <c r="N5" s="121" t="s">
        <v>176</v>
      </c>
      <c r="O5" s="428"/>
      <c r="P5" s="429"/>
    </row>
    <row r="6" spans="1:30" x14ac:dyDescent="0.2">
      <c r="A6" s="4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30" x14ac:dyDescent="0.2">
      <c r="A7" s="328" t="s">
        <v>281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44"/>
      <c r="X7" s="114"/>
      <c r="Y7" s="115"/>
      <c r="Z7" s="116"/>
      <c r="AA7" s="115"/>
      <c r="AB7" s="115"/>
      <c r="AC7" s="115"/>
    </row>
    <row r="8" spans="1:30" x14ac:dyDescent="0.2">
      <c r="A8" s="41" t="s">
        <v>104</v>
      </c>
      <c r="B8" s="5"/>
      <c r="C8" s="5"/>
      <c r="D8" s="5">
        <f>INVOER!C5</f>
        <v>45</v>
      </c>
      <c r="E8" s="5" t="s">
        <v>106</v>
      </c>
      <c r="F8" s="5"/>
      <c r="G8" s="42"/>
      <c r="H8" s="41" t="s">
        <v>118</v>
      </c>
      <c r="I8" s="5"/>
      <c r="J8" s="54" t="s">
        <v>23</v>
      </c>
      <c r="K8" s="58">
        <f>'Berekening trap 1'!K23</f>
        <v>850</v>
      </c>
      <c r="L8" s="41" t="s">
        <v>123</v>
      </c>
      <c r="M8" s="5"/>
      <c r="N8" s="5"/>
      <c r="O8" s="5"/>
      <c r="P8" s="42"/>
      <c r="X8" s="6"/>
      <c r="Y8" s="115"/>
      <c r="Z8" s="116"/>
      <c r="AA8" s="115"/>
      <c r="AB8" s="115"/>
      <c r="AC8" s="115"/>
    </row>
    <row r="9" spans="1:30" x14ac:dyDescent="0.2">
      <c r="A9" s="43" t="s">
        <v>105</v>
      </c>
      <c r="B9" s="6"/>
      <c r="C9" s="6"/>
      <c r="D9" s="6">
        <f>INVOER!C6</f>
        <v>-30</v>
      </c>
      <c r="E9" s="6" t="str">
        <f>INVOER!S5</f>
        <v>[mbar(g)]</v>
      </c>
      <c r="F9" s="6"/>
      <c r="G9" s="44"/>
      <c r="H9" s="43" t="s">
        <v>142</v>
      </c>
      <c r="I9" s="6"/>
      <c r="J9" s="6">
        <f>INVOER!C15</f>
        <v>6</v>
      </c>
      <c r="K9" s="6"/>
      <c r="L9" s="52" t="s">
        <v>172</v>
      </c>
      <c r="M9" s="57">
        <f>J10</f>
        <v>1250</v>
      </c>
      <c r="N9" s="117" t="s">
        <v>162</v>
      </c>
      <c r="O9" s="57">
        <f>'Berekening trap 1'!K29*'OUTPUT trap 1&amp;2'!M$9</f>
        <v>3106.25</v>
      </c>
      <c r="P9" s="44"/>
      <c r="X9" s="6"/>
      <c r="Y9" s="111"/>
      <c r="Z9" s="110"/>
      <c r="AA9" s="111"/>
      <c r="AB9" s="111"/>
      <c r="AC9" s="111"/>
    </row>
    <row r="10" spans="1:30" x14ac:dyDescent="0.2">
      <c r="A10" s="43" t="s">
        <v>148</v>
      </c>
      <c r="B10" s="6"/>
      <c r="C10" s="6"/>
      <c r="D10" s="8">
        <f>'Berekening trap 1'!C6</f>
        <v>16.361111111111111</v>
      </c>
      <c r="E10" s="6" t="s">
        <v>110</v>
      </c>
      <c r="F10" s="57">
        <f>3600*D10</f>
        <v>58900</v>
      </c>
      <c r="G10" s="44" t="s">
        <v>109</v>
      </c>
      <c r="H10" s="43" t="s">
        <v>177</v>
      </c>
      <c r="I10" s="6"/>
      <c r="J10" s="6">
        <f>'Berekening trap 1'!C13</f>
        <v>1250</v>
      </c>
      <c r="K10" s="6" t="s">
        <v>120</v>
      </c>
      <c r="L10" s="52" t="s">
        <v>171</v>
      </c>
      <c r="M10" s="57">
        <f>'Berekening trap 1'!K24*'OUTPUT trap 1&amp;2'!M$9</f>
        <v>253.75000000000003</v>
      </c>
      <c r="N10" s="117" t="s">
        <v>163</v>
      </c>
      <c r="O10" s="57">
        <f>'Berekening trap 1'!K30*'OUTPUT trap 1&amp;2'!M$9</f>
        <v>1640</v>
      </c>
      <c r="P10" s="44"/>
      <c r="X10" s="114"/>
      <c r="Y10" s="113"/>
      <c r="Z10" s="112"/>
      <c r="AA10" s="113"/>
      <c r="AB10" s="113"/>
      <c r="AC10" s="113"/>
    </row>
    <row r="11" spans="1:30" x14ac:dyDescent="0.2">
      <c r="A11" s="43" t="s">
        <v>148</v>
      </c>
      <c r="B11" s="6"/>
      <c r="C11" s="6"/>
      <c r="D11" s="8">
        <f>INVOER!V9</f>
        <v>13.629993971388537</v>
      </c>
      <c r="E11" s="6" t="s">
        <v>107</v>
      </c>
      <c r="F11" s="57">
        <f>3600*D11</f>
        <v>49067.978296998728</v>
      </c>
      <c r="G11" s="44" t="s">
        <v>108</v>
      </c>
      <c r="H11" s="43" t="s">
        <v>122</v>
      </c>
      <c r="I11" s="6"/>
      <c r="J11" s="117" t="str">
        <f>IF('Berekening trap 1'!C14=1,"NA",'Berekening trap 1'!C14)</f>
        <v>NA</v>
      </c>
      <c r="K11" s="6"/>
      <c r="L11" s="52" t="s">
        <v>170</v>
      </c>
      <c r="M11" s="57">
        <f>'Berekening trap 1'!K25*'OUTPUT trap 1&amp;2'!M$9</f>
        <v>571.25</v>
      </c>
      <c r="N11" s="117" t="s">
        <v>164</v>
      </c>
      <c r="O11" s="57">
        <f>'Berekening trap 1'!K31*'OUTPUT trap 1&amp;2'!M$9</f>
        <v>750</v>
      </c>
      <c r="P11" s="44"/>
      <c r="X11" s="112"/>
      <c r="Y11" s="113"/>
      <c r="Z11" s="112"/>
      <c r="AA11" s="113"/>
      <c r="AB11" s="113"/>
      <c r="AC11" s="113"/>
    </row>
    <row r="12" spans="1:30" x14ac:dyDescent="0.2">
      <c r="A12" s="43" t="s">
        <v>111</v>
      </c>
      <c r="B12" s="6"/>
      <c r="C12" s="6"/>
      <c r="D12" s="6">
        <f>INVOER!T15</f>
        <v>1.073</v>
      </c>
      <c r="E12" s="6" t="s">
        <v>112</v>
      </c>
      <c r="F12" s="6">
        <f>INVOER!U15</f>
        <v>1.2880029337557941</v>
      </c>
      <c r="G12" s="44" t="s">
        <v>141</v>
      </c>
      <c r="H12" s="43" t="s">
        <v>39</v>
      </c>
      <c r="I12" s="6"/>
      <c r="J12" s="61">
        <f>'Berekening trap 1'!R24</f>
        <v>18.811753513330512</v>
      </c>
      <c r="K12" s="6" t="s">
        <v>121</v>
      </c>
      <c r="L12" s="52" t="s">
        <v>169</v>
      </c>
      <c r="M12" s="57">
        <f>'Berekening trap 1'!K26*'OUTPUT trap 1&amp;2'!M$9</f>
        <v>704.99999999999989</v>
      </c>
      <c r="N12" s="117" t="s">
        <v>165</v>
      </c>
      <c r="O12" s="57">
        <f>'Berekening trap 1'!K32*'OUTPUT trap 1&amp;2'!M$9</f>
        <v>500</v>
      </c>
      <c r="P12" s="44"/>
      <c r="X12" s="112"/>
      <c r="Y12" s="6"/>
      <c r="Z12" s="6"/>
      <c r="AA12" s="6"/>
      <c r="AB12" s="6"/>
      <c r="AC12" s="6"/>
    </row>
    <row r="13" spans="1:30" x14ac:dyDescent="0.2">
      <c r="A13" s="43" t="s">
        <v>152</v>
      </c>
      <c r="B13" s="6"/>
      <c r="C13" s="6"/>
      <c r="D13" s="6">
        <f>INVOER!C9</f>
        <v>0.02</v>
      </c>
      <c r="E13" s="6" t="s">
        <v>113</v>
      </c>
      <c r="F13" s="6"/>
      <c r="G13" s="44"/>
      <c r="H13" s="43" t="s">
        <v>119</v>
      </c>
      <c r="I13" s="6"/>
      <c r="J13" s="61">
        <f>'Berekening trap 1'!R25</f>
        <v>23.576258534984305</v>
      </c>
      <c r="K13" s="6" t="s">
        <v>121</v>
      </c>
      <c r="L13" s="52" t="s">
        <v>168</v>
      </c>
      <c r="M13" s="57">
        <f>'Berekening trap 1'!K27*'OUTPUT trap 1&amp;2'!M$9*INVOER!C20</f>
        <v>383.75</v>
      </c>
      <c r="N13" s="117" t="s">
        <v>166</v>
      </c>
      <c r="O13" s="57">
        <f>'Berekening trap 1'!K33*'OUTPUT trap 1&amp;2'!M$9</f>
        <v>375</v>
      </c>
      <c r="P13" s="44"/>
      <c r="X13" s="6"/>
      <c r="Y13" s="6"/>
      <c r="Z13" s="6"/>
      <c r="AA13" s="6"/>
      <c r="AB13" s="6"/>
      <c r="AC13" s="6"/>
    </row>
    <row r="14" spans="1:30" x14ac:dyDescent="0.2">
      <c r="A14" s="43" t="s">
        <v>114</v>
      </c>
      <c r="B14" s="6"/>
      <c r="C14" s="6"/>
      <c r="D14" s="6">
        <f>'Berekening trap 1'!C9</f>
        <v>1500</v>
      </c>
      <c r="E14" s="6" t="s">
        <v>117</v>
      </c>
      <c r="F14" s="6"/>
      <c r="G14" s="44"/>
      <c r="H14" s="43" t="s">
        <v>186</v>
      </c>
      <c r="I14" s="6"/>
      <c r="J14" s="117" t="str">
        <f>INVOER!U36</f>
        <v>Y</v>
      </c>
      <c r="K14" s="6"/>
      <c r="L14" s="52" t="s">
        <v>174</v>
      </c>
      <c r="M14" s="57">
        <f>'Berekening trap 1'!K28*'OUTPUT trap 1&amp;2'!M$9</f>
        <v>535</v>
      </c>
      <c r="N14" s="117" t="s">
        <v>167</v>
      </c>
      <c r="O14" s="57">
        <f>0.625*O12</f>
        <v>312.5</v>
      </c>
      <c r="P14" s="44"/>
      <c r="U14" s="6"/>
      <c r="V14" s="6"/>
      <c r="W14" s="6"/>
      <c r="X14" s="6"/>
    </row>
    <row r="15" spans="1:30" x14ac:dyDescent="0.2">
      <c r="A15" s="45" t="s">
        <v>115</v>
      </c>
      <c r="B15" s="46"/>
      <c r="C15" s="46"/>
      <c r="D15" s="74">
        <f>INVOER!V19*1000</f>
        <v>77.000000000000014</v>
      </c>
      <c r="E15" s="46" t="s">
        <v>116</v>
      </c>
      <c r="F15" s="74">
        <f>INVOER!W19*1000</f>
        <v>92.428915097107321</v>
      </c>
      <c r="G15" s="50" t="s">
        <v>44</v>
      </c>
      <c r="H15" s="45"/>
      <c r="I15" s="46"/>
      <c r="J15" s="46"/>
      <c r="K15" s="46"/>
      <c r="L15" s="53" t="s">
        <v>173</v>
      </c>
      <c r="M15" s="118">
        <f>M9*0.892</f>
        <v>1115</v>
      </c>
      <c r="N15" s="334" t="s">
        <v>296</v>
      </c>
      <c r="O15" s="46">
        <f>O9+O10+3*O12</f>
        <v>6246.25</v>
      </c>
      <c r="P15" s="50"/>
      <c r="R15" s="6"/>
      <c r="S15" s="6"/>
      <c r="T15" s="6"/>
      <c r="U15" s="6"/>
      <c r="V15" s="8"/>
    </row>
    <row r="16" spans="1:30" x14ac:dyDescent="0.2">
      <c r="A16" s="43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4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">
      <c r="A17" s="328" t="s">
        <v>282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4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">
      <c r="A18" s="41" t="s">
        <v>104</v>
      </c>
      <c r="B18" s="5"/>
      <c r="C18" s="5"/>
      <c r="D18" s="5">
        <f>INVOER!C$5</f>
        <v>45</v>
      </c>
      <c r="E18" s="5" t="s">
        <v>106</v>
      </c>
      <c r="F18" s="5"/>
      <c r="G18" s="42"/>
      <c r="H18" s="5" t="s">
        <v>118</v>
      </c>
      <c r="I18" s="5"/>
      <c r="J18" s="54" t="s">
        <v>23</v>
      </c>
      <c r="K18" s="58">
        <f>'Berekening trap 2'!K$23</f>
        <v>850</v>
      </c>
      <c r="L18" s="41" t="s">
        <v>123</v>
      </c>
      <c r="M18" s="5"/>
      <c r="N18" s="5"/>
      <c r="O18" s="5"/>
      <c r="P18" s="42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">
      <c r="A19" s="43" t="s">
        <v>105</v>
      </c>
      <c r="B19" s="6"/>
      <c r="C19" s="6"/>
      <c r="D19" s="6">
        <f>INVOER!C$6-INVOER!C$28/100000</f>
        <v>-30.01803648441528</v>
      </c>
      <c r="E19" s="6">
        <f>INVOER!U12</f>
        <v>0</v>
      </c>
      <c r="F19" s="6"/>
      <c r="G19" s="44"/>
      <c r="H19" s="6" t="s">
        <v>142</v>
      </c>
      <c r="I19" s="6"/>
      <c r="J19" s="6">
        <f>INVOER!E$15</f>
        <v>6</v>
      </c>
      <c r="K19" s="6"/>
      <c r="L19" s="52" t="s">
        <v>172</v>
      </c>
      <c r="M19" s="57">
        <f>J20</f>
        <v>1250</v>
      </c>
      <c r="N19" s="117" t="s">
        <v>162</v>
      </c>
      <c r="O19" s="57">
        <f>'Berekening trap 2'!K$29*'OUTPUT trap 2'!M$7</f>
        <v>3106.25</v>
      </c>
      <c r="P19" s="4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">
      <c r="A20" s="43" t="s">
        <v>148</v>
      </c>
      <c r="B20" s="6"/>
      <c r="C20" s="6"/>
      <c r="D20" s="8">
        <f>'Berekening trap 2'!C$6</f>
        <v>16.666843387760206</v>
      </c>
      <c r="E20" s="6" t="s">
        <v>110</v>
      </c>
      <c r="F20" s="57">
        <f>3600*D20</f>
        <v>60000.636195936742</v>
      </c>
      <c r="G20" s="44" t="s">
        <v>109</v>
      </c>
      <c r="H20" s="6" t="s">
        <v>177</v>
      </c>
      <c r="I20" s="6"/>
      <c r="J20" s="6">
        <f>INVOER!E$18</f>
        <v>1250</v>
      </c>
      <c r="K20" s="44" t="s">
        <v>120</v>
      </c>
      <c r="L20" s="52" t="s">
        <v>171</v>
      </c>
      <c r="M20" s="57">
        <f>'Berekening trap 2'!K$24*M19</f>
        <v>253.75000000000003</v>
      </c>
      <c r="N20" s="117" t="s">
        <v>163</v>
      </c>
      <c r="O20" s="57">
        <f>'Berekening trap 2'!K$30*'OUTPUT trap 2'!M$7</f>
        <v>1640</v>
      </c>
      <c r="P20" s="4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">
      <c r="A21" s="43" t="s">
        <v>148</v>
      </c>
      <c r="B21" s="6"/>
      <c r="C21" s="6"/>
      <c r="D21" s="8">
        <f>INVOER!V$9</f>
        <v>13.629993971388537</v>
      </c>
      <c r="E21" s="6" t="s">
        <v>107</v>
      </c>
      <c r="F21" s="57">
        <f>3600*D21</f>
        <v>49067.978296998728</v>
      </c>
      <c r="G21" s="44" t="s">
        <v>108</v>
      </c>
      <c r="H21" s="6" t="s">
        <v>122</v>
      </c>
      <c r="I21" s="6"/>
      <c r="J21" s="117" t="str">
        <f>IF('Berekening trap 2'!C$14=1,"NA",'Berekening trap 2'!C$14)</f>
        <v>NA</v>
      </c>
      <c r="K21" s="44"/>
      <c r="L21" s="52" t="s">
        <v>170</v>
      </c>
      <c r="M21" s="57">
        <f>'Berekening trap 2'!K$25*M19</f>
        <v>571.25</v>
      </c>
      <c r="N21" s="117" t="s">
        <v>164</v>
      </c>
      <c r="O21" s="57">
        <f>'Berekening trap 2'!K$31*'OUTPUT trap 2'!M$7</f>
        <v>750</v>
      </c>
      <c r="P21" s="44"/>
      <c r="R21" s="6"/>
      <c r="S21" s="6"/>
      <c r="T21" s="6"/>
      <c r="U21" s="6"/>
      <c r="V21" s="6"/>
      <c r="W21" s="6"/>
      <c r="X21" s="6"/>
      <c r="Y21" s="6"/>
      <c r="Z21" s="57"/>
      <c r="AA21" s="6"/>
      <c r="AB21" s="6"/>
      <c r="AC21" s="6"/>
      <c r="AD21" s="6"/>
    </row>
    <row r="22" spans="1:30" x14ac:dyDescent="0.2">
      <c r="A22" s="43" t="s">
        <v>111</v>
      </c>
      <c r="B22" s="6"/>
      <c r="C22" s="6"/>
      <c r="D22" s="6">
        <f>'Berekening trap 2'!C$7</f>
        <v>1.073</v>
      </c>
      <c r="E22" s="6" t="s">
        <v>112</v>
      </c>
      <c r="F22" s="6">
        <f>INVOER!U$15</f>
        <v>1.2880029337557941</v>
      </c>
      <c r="G22" s="44" t="s">
        <v>141</v>
      </c>
      <c r="H22" s="6" t="s">
        <v>39</v>
      </c>
      <c r="I22" s="6"/>
      <c r="J22" s="61">
        <f>'Berekening trap 2'!R$24</f>
        <v>19.163279775228844</v>
      </c>
      <c r="K22" s="44" t="s">
        <v>121</v>
      </c>
      <c r="L22" s="52" t="s">
        <v>169</v>
      </c>
      <c r="M22" s="57">
        <f>'Berekening trap 2'!K$26*M19</f>
        <v>704.99999999999989</v>
      </c>
      <c r="N22" s="117" t="s">
        <v>165</v>
      </c>
      <c r="O22" s="57">
        <f>'Berekening trap 2'!K$32*'OUTPUT trap 2'!M$7</f>
        <v>500</v>
      </c>
      <c r="P22" s="4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">
      <c r="A23" s="43" t="s">
        <v>152</v>
      </c>
      <c r="B23" s="6"/>
      <c r="C23" s="6"/>
      <c r="D23" s="6">
        <f>INVOER!C$9</f>
        <v>0.02</v>
      </c>
      <c r="E23" s="6" t="s">
        <v>113</v>
      </c>
      <c r="F23" s="6"/>
      <c r="G23" s="44"/>
      <c r="H23" s="43" t="s">
        <v>119</v>
      </c>
      <c r="I23" s="6"/>
      <c r="J23" s="61">
        <f>'Berekening trap 2'!R$25</f>
        <v>24.016816828844515</v>
      </c>
      <c r="K23" s="44" t="s">
        <v>121</v>
      </c>
      <c r="L23" s="52" t="s">
        <v>168</v>
      </c>
      <c r="M23" s="57">
        <f>'Berekening trap 2'!K$27*M19*INVOER!C20</f>
        <v>383.75</v>
      </c>
      <c r="N23" s="117" t="s">
        <v>166</v>
      </c>
      <c r="O23" s="57">
        <f>'Berekening trap 2'!K$33*'OUTPUT trap 2'!M$7</f>
        <v>375</v>
      </c>
      <c r="P23" s="4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">
      <c r="A24" s="43" t="s">
        <v>114</v>
      </c>
      <c r="B24" s="6"/>
      <c r="C24" s="6"/>
      <c r="D24" s="6">
        <f>'Berekening trap 1'!C$9</f>
        <v>1500</v>
      </c>
      <c r="E24" s="6" t="s">
        <v>117</v>
      </c>
      <c r="F24" s="6"/>
      <c r="G24" s="44"/>
      <c r="H24" s="6" t="s">
        <v>186</v>
      </c>
      <c r="I24" s="6"/>
      <c r="J24" s="117" t="str">
        <f>INVOER!U$37</f>
        <v>Y</v>
      </c>
      <c r="K24" s="6"/>
      <c r="L24" s="52" t="s">
        <v>174</v>
      </c>
      <c r="M24" s="57">
        <f>'Berekening trap 2'!K$28*M19</f>
        <v>535</v>
      </c>
      <c r="N24" s="117" t="s">
        <v>167</v>
      </c>
      <c r="O24" s="57">
        <f>0.625*O22</f>
        <v>312.5</v>
      </c>
      <c r="P24" s="44"/>
      <c r="Q24"/>
      <c r="U24" s="133"/>
      <c r="V24" s="6"/>
    </row>
    <row r="25" spans="1:30" x14ac:dyDescent="0.2">
      <c r="A25" s="45" t="s">
        <v>115</v>
      </c>
      <c r="B25" s="46"/>
      <c r="C25" s="46"/>
      <c r="D25" s="391">
        <f>'OUTPUT trap 2'!D13</f>
        <v>0.61941359020238929</v>
      </c>
      <c r="E25" s="392" t="s">
        <v>116</v>
      </c>
      <c r="F25" s="391">
        <f>'OUTPUT trap 2'!F13</f>
        <v>0.74352891089365014</v>
      </c>
      <c r="G25" s="50" t="s">
        <v>44</v>
      </c>
      <c r="H25" s="46"/>
      <c r="I25" s="46"/>
      <c r="J25" s="46"/>
      <c r="K25" s="46"/>
      <c r="L25" s="53" t="s">
        <v>173</v>
      </c>
      <c r="M25" s="118">
        <f>M19*0.892</f>
        <v>1115</v>
      </c>
      <c r="N25" s="334" t="s">
        <v>296</v>
      </c>
      <c r="O25" s="118">
        <f>O19+O20+3*O22</f>
        <v>6246.25</v>
      </c>
      <c r="P25" s="50"/>
      <c r="Q25"/>
      <c r="U25" s="133"/>
      <c r="V25" s="6"/>
    </row>
    <row r="26" spans="1:30" x14ac:dyDescent="0.2">
      <c r="A26" s="43"/>
      <c r="B26" s="6"/>
      <c r="C26" s="6"/>
      <c r="D26" s="6"/>
      <c r="E26" s="6"/>
      <c r="F26" s="6"/>
      <c r="G26" s="6"/>
      <c r="H26" s="6"/>
      <c r="I26" s="6"/>
      <c r="J26" s="133"/>
      <c r="K26" s="322"/>
      <c r="L26" s="133"/>
      <c r="M26" s="133"/>
      <c r="N26" s="133"/>
      <c r="O26" s="133"/>
      <c r="P26" s="325"/>
      <c r="Q26"/>
      <c r="U26" s="133"/>
      <c r="V26" s="6"/>
    </row>
    <row r="27" spans="1:30" x14ac:dyDescent="0.2">
      <c r="A27" s="4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33"/>
      <c r="O27" s="133"/>
      <c r="P27" s="325"/>
      <c r="Q27"/>
      <c r="U27" s="133"/>
      <c r="V27" s="6"/>
    </row>
    <row r="28" spans="1:30" x14ac:dyDescent="0.2">
      <c r="A28" s="43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133"/>
      <c r="O28" s="133"/>
      <c r="P28" s="325"/>
      <c r="Q28"/>
      <c r="U28" s="133"/>
      <c r="V28" s="6"/>
    </row>
    <row r="29" spans="1:30" x14ac:dyDescent="0.2">
      <c r="A29" s="43"/>
      <c r="B29" s="421" t="s">
        <v>272</v>
      </c>
      <c r="C29" s="422"/>
      <c r="D29" s="422"/>
      <c r="E29" s="423"/>
      <c r="F29" s="421" t="s">
        <v>273</v>
      </c>
      <c r="G29" s="422"/>
      <c r="H29" s="422"/>
      <c r="I29" s="423"/>
      <c r="J29" s="421" t="s">
        <v>274</v>
      </c>
      <c r="K29" s="422"/>
      <c r="L29" s="422"/>
      <c r="M29" s="423"/>
      <c r="N29" s="133"/>
      <c r="O29" s="133"/>
      <c r="P29" s="325"/>
      <c r="Q29"/>
      <c r="U29" s="133"/>
      <c r="V29" s="6"/>
    </row>
    <row r="30" spans="1:30" x14ac:dyDescent="0.2">
      <c r="A30" s="43"/>
      <c r="B30" s="43" t="s">
        <v>129</v>
      </c>
      <c r="C30" s="6"/>
      <c r="D30" s="389">
        <f>'OUTPUT trap 1'!D16</f>
        <v>99.195566765970923</v>
      </c>
      <c r="E30" s="44" t="s">
        <v>5</v>
      </c>
      <c r="F30" s="43" t="s">
        <v>129</v>
      </c>
      <c r="G30" s="6"/>
      <c r="H30" s="389">
        <f>'OUTPUT trap 2'!D16</f>
        <v>96.902926482982863</v>
      </c>
      <c r="I30" s="44" t="s">
        <v>5</v>
      </c>
      <c r="J30" s="43" t="s">
        <v>129</v>
      </c>
      <c r="K30" s="6"/>
      <c r="L30" s="389">
        <f>D30+(1-D30/100)*H30</f>
        <v>99.975086111346798</v>
      </c>
      <c r="M30" s="44" t="s">
        <v>5</v>
      </c>
      <c r="N30" s="133"/>
      <c r="O30" s="133"/>
      <c r="P30" s="325"/>
      <c r="Q30"/>
      <c r="U30" s="133"/>
      <c r="V30" s="6"/>
    </row>
    <row r="31" spans="1:30" x14ac:dyDescent="0.2">
      <c r="A31" s="43"/>
      <c r="B31" s="43" t="s">
        <v>130</v>
      </c>
      <c r="C31" s="6"/>
      <c r="D31" s="389">
        <f>'OUTPUT trap 1'!D17</f>
        <v>0.61941359020238929</v>
      </c>
      <c r="E31" s="44" t="s">
        <v>143</v>
      </c>
      <c r="F31" s="43" t="s">
        <v>130</v>
      </c>
      <c r="G31" s="6"/>
      <c r="H31" s="389">
        <f>'OUTPUT trap 2'!D17</f>
        <v>1.8831793522966874E-2</v>
      </c>
      <c r="I31" s="44" t="s">
        <v>143</v>
      </c>
      <c r="J31" s="43" t="s">
        <v>130</v>
      </c>
      <c r="K31" s="6"/>
      <c r="L31" s="390">
        <f>H31</f>
        <v>1.8831793522966874E-2</v>
      </c>
      <c r="M31" s="44" t="s">
        <v>143</v>
      </c>
      <c r="N31" s="133"/>
      <c r="O31" s="133"/>
      <c r="P31" s="325"/>
      <c r="Q31"/>
      <c r="U31" s="133"/>
      <c r="V31" s="6"/>
    </row>
    <row r="32" spans="1:30" x14ac:dyDescent="0.2">
      <c r="A32" s="43"/>
      <c r="B32" s="43" t="s">
        <v>130</v>
      </c>
      <c r="C32" s="6"/>
      <c r="D32" s="393">
        <f>'OUTPUT trap 1'!D18</f>
        <v>0.74352891089365014</v>
      </c>
      <c r="E32" s="44" t="s">
        <v>44</v>
      </c>
      <c r="F32" s="43" t="s">
        <v>130</v>
      </c>
      <c r="G32" s="6"/>
      <c r="H32" s="393">
        <f>'OUTPUT trap 2'!D18</f>
        <v>2.3027636990653137E-2</v>
      </c>
      <c r="I32" s="44" t="s">
        <v>44</v>
      </c>
      <c r="J32" s="43" t="s">
        <v>130</v>
      </c>
      <c r="K32" s="6"/>
      <c r="L32" s="390">
        <f>H32</f>
        <v>2.3027636990653137E-2</v>
      </c>
      <c r="M32" s="44" t="s">
        <v>44</v>
      </c>
      <c r="N32" s="133"/>
      <c r="O32" s="133"/>
      <c r="P32" s="325"/>
      <c r="Q32"/>
      <c r="U32" s="133"/>
      <c r="V32" s="6"/>
    </row>
    <row r="33" spans="1:24" x14ac:dyDescent="0.2">
      <c r="A33" s="43"/>
      <c r="B33" s="95" t="s">
        <v>153</v>
      </c>
      <c r="C33" s="96"/>
      <c r="D33" s="8"/>
      <c r="E33" s="97"/>
      <c r="F33" s="95" t="s">
        <v>153</v>
      </c>
      <c r="G33" s="96"/>
      <c r="H33" s="8"/>
      <c r="I33" s="97"/>
      <c r="J33" s="95" t="s">
        <v>153</v>
      </c>
      <c r="K33" s="96"/>
      <c r="L33" s="96"/>
      <c r="M33" s="97"/>
      <c r="N33" s="133"/>
      <c r="O33" s="133"/>
      <c r="P33" s="325"/>
      <c r="Q33"/>
      <c r="U33" s="133"/>
      <c r="V33" s="142"/>
    </row>
    <row r="34" spans="1:24" x14ac:dyDescent="0.2">
      <c r="A34" s="43"/>
      <c r="B34" s="126" t="s">
        <v>178</v>
      </c>
      <c r="C34" s="6"/>
      <c r="D34" s="57">
        <f>'OUTPUT trap 1'!D20</f>
        <v>1803.6484415278442</v>
      </c>
      <c r="E34" s="44" t="s">
        <v>131</v>
      </c>
      <c r="F34" s="126" t="s">
        <v>178</v>
      </c>
      <c r="G34" s="6"/>
      <c r="H34" s="57">
        <f>'OUTPUT trap 2'!D20</f>
        <v>1667.9678321814874</v>
      </c>
      <c r="I34" s="44" t="s">
        <v>131</v>
      </c>
      <c r="J34" s="126" t="s">
        <v>178</v>
      </c>
      <c r="K34" s="6"/>
      <c r="L34" s="57">
        <f>D34+H34</f>
        <v>3471.6162737093318</v>
      </c>
      <c r="M34" s="44" t="s">
        <v>131</v>
      </c>
      <c r="N34" s="133"/>
      <c r="O34" s="133"/>
      <c r="P34" s="325"/>
      <c r="Q34"/>
      <c r="U34" s="133"/>
      <c r="V34" s="142"/>
    </row>
    <row r="35" spans="1:24" x14ac:dyDescent="0.2">
      <c r="A35" s="43"/>
      <c r="B35" s="127" t="s">
        <v>179</v>
      </c>
      <c r="C35" s="98"/>
      <c r="D35" s="99">
        <f>'OUTPUT trap 1'!D21</f>
        <v>1171.8019138010372</v>
      </c>
      <c r="E35" s="100" t="s">
        <v>131</v>
      </c>
      <c r="F35" s="127" t="s">
        <v>179</v>
      </c>
      <c r="G35" s="98"/>
      <c r="H35" s="99">
        <f>'OUTPUT trap 2'!D21</f>
        <v>1216.0048972624784</v>
      </c>
      <c r="I35" s="100" t="s">
        <v>131</v>
      </c>
      <c r="J35" s="127" t="s">
        <v>179</v>
      </c>
      <c r="K35" s="98"/>
      <c r="L35" s="99">
        <f>D35+H35</f>
        <v>2387.8068110635159</v>
      </c>
      <c r="M35" s="100" t="s">
        <v>131</v>
      </c>
      <c r="N35" s="133"/>
      <c r="O35" s="133"/>
      <c r="P35" s="325"/>
      <c r="Q35"/>
      <c r="U35" s="133"/>
      <c r="V35" s="6"/>
    </row>
    <row r="36" spans="1:24" x14ac:dyDescent="0.2">
      <c r="A36" s="43"/>
      <c r="B36" s="43" t="s">
        <v>73</v>
      </c>
      <c r="C36" s="6"/>
      <c r="D36" s="8">
        <f>'OUTPUT trap 1'!D22</f>
        <v>0.68620726181660807</v>
      </c>
      <c r="E36" s="44" t="s">
        <v>132</v>
      </c>
      <c r="F36" s="43" t="s">
        <v>73</v>
      </c>
      <c r="G36" s="6"/>
      <c r="H36" s="8">
        <f>'OUTPUT trap 2'!D22</f>
        <v>0.68760984722374341</v>
      </c>
      <c r="I36" s="44" t="s">
        <v>132</v>
      </c>
      <c r="J36" s="43" t="s">
        <v>73</v>
      </c>
      <c r="K36" s="6"/>
      <c r="L36" s="56">
        <f>'Berekening trap 2'!P51</f>
        <v>0.66006095483980709</v>
      </c>
      <c r="M36" s="44" t="s">
        <v>132</v>
      </c>
      <c r="N36" s="133"/>
      <c r="O36" s="133"/>
      <c r="P36" s="325"/>
      <c r="Q36"/>
      <c r="U36" s="133"/>
      <c r="V36" s="6"/>
    </row>
    <row r="37" spans="1:24" x14ac:dyDescent="0.2">
      <c r="A37" s="43"/>
      <c r="B37" s="43" t="s">
        <v>75</v>
      </c>
      <c r="C37" s="6"/>
      <c r="D37" s="8">
        <f>'OUTPUT trap 1'!D23</f>
        <v>0.74482099353581055</v>
      </c>
      <c r="E37" s="44" t="s">
        <v>132</v>
      </c>
      <c r="F37" s="43" t="s">
        <v>75</v>
      </c>
      <c r="G37" s="6"/>
      <c r="H37" s="8">
        <f>'OUTPUT trap 2'!D23</f>
        <v>0.75847310926630329</v>
      </c>
      <c r="I37" s="44" t="s">
        <v>132</v>
      </c>
      <c r="J37" s="43" t="s">
        <v>75</v>
      </c>
      <c r="K37" s="6"/>
      <c r="L37" s="56">
        <f>'Berekening trap 2'!P52</f>
        <v>0.66006095483980709</v>
      </c>
      <c r="M37" s="44" t="s">
        <v>132</v>
      </c>
      <c r="N37" s="133"/>
      <c r="O37" s="133"/>
      <c r="P37" s="325"/>
      <c r="Q37"/>
      <c r="U37" s="133"/>
      <c r="V37" s="6"/>
    </row>
    <row r="38" spans="1:24" x14ac:dyDescent="0.2">
      <c r="A38" s="43"/>
      <c r="B38" s="43" t="s">
        <v>77</v>
      </c>
      <c r="C38" s="6"/>
      <c r="D38" s="8">
        <f>'OUTPUT trap 1'!D24</f>
        <v>1.8620865438356906</v>
      </c>
      <c r="E38" s="44" t="s">
        <v>132</v>
      </c>
      <c r="F38" s="43" t="s">
        <v>77</v>
      </c>
      <c r="G38" s="6"/>
      <c r="H38" s="8">
        <f>'OUTPUT trap 2'!D24</f>
        <v>2.1092330615811519</v>
      </c>
      <c r="I38" s="44" t="s">
        <v>132</v>
      </c>
      <c r="J38" s="43" t="s">
        <v>77</v>
      </c>
      <c r="K38" s="6"/>
      <c r="L38" s="56">
        <f>'Berekening trap 2'!P53</f>
        <v>1.1495618636498102</v>
      </c>
      <c r="M38" s="44" t="s">
        <v>132</v>
      </c>
      <c r="N38" s="133"/>
      <c r="O38" s="133"/>
      <c r="P38" s="325"/>
      <c r="Q38"/>
      <c r="U38" s="133"/>
      <c r="V38" s="6"/>
    </row>
    <row r="39" spans="1:24" x14ac:dyDescent="0.2">
      <c r="A39" s="43"/>
      <c r="B39" s="43" t="s">
        <v>79</v>
      </c>
      <c r="C39" s="6"/>
      <c r="D39" s="8">
        <f>'OUTPUT trap 1'!D25</f>
        <v>6.8259540145338988</v>
      </c>
      <c r="E39" s="44" t="s">
        <v>132</v>
      </c>
      <c r="F39" s="43" t="s">
        <v>79</v>
      </c>
      <c r="G39" s="6"/>
      <c r="H39" s="8">
        <f>'OUTPUT trap 2'!D25</f>
        <v>8.1104861980605527</v>
      </c>
      <c r="I39" s="44" t="s">
        <v>132</v>
      </c>
      <c r="J39" s="43" t="s">
        <v>79</v>
      </c>
      <c r="K39" s="6"/>
      <c r="L39" s="56">
        <f>'Berekening trap 2'!P54</f>
        <v>3.178856372300912</v>
      </c>
      <c r="M39" s="44" t="s">
        <v>132</v>
      </c>
      <c r="N39" s="133"/>
      <c r="O39" s="133"/>
      <c r="P39" s="325"/>
      <c r="Q39"/>
      <c r="U39" s="133"/>
      <c r="V39" s="6"/>
    </row>
    <row r="40" spans="1:24" x14ac:dyDescent="0.2">
      <c r="A40" s="43"/>
      <c r="B40" s="45" t="s">
        <v>80</v>
      </c>
      <c r="C40" s="46"/>
      <c r="D40" s="327">
        <f>'OUTPUT trap 1'!D26</f>
        <v>9.4756678610161078</v>
      </c>
      <c r="E40" s="50" t="s">
        <v>132</v>
      </c>
      <c r="F40" s="45" t="s">
        <v>80</v>
      </c>
      <c r="G40" s="46"/>
      <c r="H40" s="327">
        <f>'OUTPUT trap 2'!D26</f>
        <v>11.672421867682866</v>
      </c>
      <c r="I40" s="50" t="s">
        <v>132</v>
      </c>
      <c r="J40" s="45" t="s">
        <v>80</v>
      </c>
      <c r="K40" s="46"/>
      <c r="L40" s="132">
        <f>'Berekening trap 2'!P55</f>
        <v>4.393636096647322</v>
      </c>
      <c r="M40" s="50" t="s">
        <v>132</v>
      </c>
      <c r="N40" s="133"/>
      <c r="O40" s="133"/>
      <c r="P40" s="325"/>
      <c r="Q40" s="323"/>
      <c r="R40" s="6"/>
      <c r="S40" s="6"/>
      <c r="T40" s="6"/>
      <c r="U40" s="133"/>
      <c r="V40" s="6"/>
      <c r="W40" s="6"/>
      <c r="X40" s="6"/>
    </row>
    <row r="41" spans="1:24" x14ac:dyDescent="0.2">
      <c r="A41" s="43"/>
      <c r="B41" s="6"/>
      <c r="C41" s="6"/>
      <c r="D41" s="6"/>
      <c r="E41" s="6"/>
      <c r="F41" s="6"/>
      <c r="G41" s="6"/>
      <c r="H41" s="6"/>
      <c r="I41" s="6"/>
      <c r="J41" s="133"/>
      <c r="K41" s="322"/>
      <c r="L41" s="133"/>
      <c r="M41" s="133"/>
      <c r="N41" s="133"/>
      <c r="O41" s="133"/>
      <c r="P41" s="325"/>
      <c r="R41" s="6"/>
      <c r="S41" s="133"/>
      <c r="T41" s="6"/>
      <c r="U41" s="6"/>
      <c r="V41" s="6"/>
      <c r="W41" s="6"/>
      <c r="X41" s="6"/>
    </row>
    <row r="42" spans="1:24" x14ac:dyDescent="0.2">
      <c r="A42" s="43"/>
      <c r="B42" s="155"/>
      <c r="C42" s="6"/>
      <c r="D42" s="6"/>
      <c r="E42" s="6"/>
      <c r="F42" s="6"/>
      <c r="G42" s="6"/>
      <c r="H42" s="6"/>
      <c r="I42" s="6"/>
      <c r="J42" s="117"/>
      <c r="K42" s="133"/>
      <c r="L42" s="133"/>
      <c r="M42" s="6"/>
      <c r="N42" s="6"/>
      <c r="O42" s="6"/>
      <c r="P42" s="44"/>
      <c r="R42" s="6"/>
      <c r="S42" s="133"/>
      <c r="T42" s="6"/>
      <c r="U42" s="228"/>
      <c r="V42" s="222"/>
      <c r="W42" s="6"/>
      <c r="X42" s="6"/>
    </row>
    <row r="43" spans="1:24" x14ac:dyDescent="0.2">
      <c r="A43" s="43"/>
      <c r="B43" s="155" t="s">
        <v>278</v>
      </c>
      <c r="C43" s="6"/>
      <c r="D43" s="6"/>
      <c r="E43" s="6"/>
      <c r="F43" s="6"/>
      <c r="G43" s="133"/>
      <c r="H43" s="6"/>
      <c r="I43" s="6"/>
      <c r="J43" s="6"/>
      <c r="K43" s="6"/>
      <c r="L43" s="6"/>
      <c r="M43" s="6"/>
      <c r="N43" s="6"/>
      <c r="O43" s="6"/>
      <c r="P43" s="325"/>
      <c r="R43" s="6"/>
      <c r="S43" s="6"/>
      <c r="T43" s="6"/>
      <c r="U43" s="6"/>
      <c r="V43" s="6"/>
      <c r="W43" s="6"/>
      <c r="X43" s="6"/>
    </row>
    <row r="44" spans="1:24" x14ac:dyDescent="0.2">
      <c r="A44" s="43"/>
      <c r="B44" s="221" t="s">
        <v>255</v>
      </c>
      <c r="C44" s="6"/>
      <c r="D44" s="247">
        <f>'Berekening trap 2'!K56</f>
        <v>127.12514537025412</v>
      </c>
      <c r="E44" s="326" t="s">
        <v>280</v>
      </c>
      <c r="F44" s="131"/>
      <c r="G44" s="6"/>
      <c r="H44" s="6"/>
      <c r="I44" s="6"/>
      <c r="J44" s="117"/>
      <c r="K44" s="122"/>
      <c r="L44" s="117"/>
      <c r="M44" s="133"/>
      <c r="N44" s="6"/>
      <c r="O44" s="6"/>
      <c r="P44" s="325"/>
      <c r="R44" s="142"/>
      <c r="S44" s="142"/>
      <c r="T44" s="142"/>
      <c r="U44" s="142"/>
      <c r="V44" s="142"/>
      <c r="W44" s="6"/>
      <c r="X44" s="6"/>
    </row>
    <row r="45" spans="1:24" x14ac:dyDescent="0.2">
      <c r="A45" s="43"/>
      <c r="B45" s="221" t="s">
        <v>256</v>
      </c>
      <c r="C45" s="6"/>
      <c r="D45" s="248">
        <f>'Berekening trap 1'!B76</f>
        <v>0.32240257693945007</v>
      </c>
      <c r="E45" s="326" t="s">
        <v>277</v>
      </c>
      <c r="F45" s="131"/>
      <c r="G45" s="6"/>
      <c r="H45" s="6"/>
      <c r="I45" s="6"/>
      <c r="J45" s="6"/>
      <c r="K45" s="6"/>
      <c r="L45" s="6"/>
      <c r="M45" s="6"/>
      <c r="N45" s="6"/>
      <c r="O45" s="6"/>
      <c r="P45" s="325"/>
      <c r="R45" s="142"/>
      <c r="S45" s="142"/>
      <c r="T45" s="142"/>
      <c r="U45" s="142"/>
      <c r="V45" s="142"/>
      <c r="W45" s="6"/>
      <c r="X45" s="6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324"/>
      <c r="R46" s="142"/>
      <c r="S46" s="142"/>
      <c r="T46" s="142"/>
      <c r="X46" s="6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42"/>
      <c r="V47" s="142"/>
      <c r="W47" s="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42"/>
      <c r="V49" s="142"/>
      <c r="W49" s="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R50" s="166"/>
      <c r="S50" s="166"/>
      <c r="T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R51" s="166"/>
      <c r="S51" s="166"/>
      <c r="T51" s="166"/>
      <c r="U51" s="142"/>
      <c r="V51" s="142"/>
      <c r="W51" s="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  <c r="U53" s="142"/>
      <c r="V53" s="142"/>
      <c r="W53" s="6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  <c r="U55" s="142"/>
      <c r="V55" s="142"/>
      <c r="W55" s="6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  <c r="U57" s="142"/>
      <c r="V57" s="142"/>
      <c r="W57" s="6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  <c r="U59" s="142"/>
      <c r="V59" s="142"/>
      <c r="W59" s="6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122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122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3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44"/>
    </row>
    <row r="84" spans="1:16" x14ac:dyDescent="0.2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50"/>
    </row>
  </sheetData>
  <mergeCells count="10">
    <mergeCell ref="B29:E29"/>
    <mergeCell ref="F29:I29"/>
    <mergeCell ref="J29:M29"/>
    <mergeCell ref="I1:P2"/>
    <mergeCell ref="J3:M3"/>
    <mergeCell ref="O3:P3"/>
    <mergeCell ref="J4:M4"/>
    <mergeCell ref="O4:P4"/>
    <mergeCell ref="J5:M5"/>
    <mergeCell ref="O5:P5"/>
  </mergeCells>
  <pageMargins left="0.51" right="0.17" top="0.49" bottom="0.55000000000000004" header="0.36" footer="0.51"/>
  <pageSetup paperSize="9" scale="71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4</vt:i4>
      </vt:variant>
    </vt:vector>
  </HeadingPairs>
  <TitlesOfParts>
    <vt:vector size="10" baseType="lpstr">
      <vt:lpstr>INVOER</vt:lpstr>
      <vt:lpstr>Berekening trap 1</vt:lpstr>
      <vt:lpstr>Berekening trap 2</vt:lpstr>
      <vt:lpstr>OUTPUT trap 1</vt:lpstr>
      <vt:lpstr>OUTPUT trap 2</vt:lpstr>
      <vt:lpstr>OUTPUT trap 1&amp;2</vt:lpstr>
      <vt:lpstr>INVOER!Afdrukbereik</vt:lpstr>
      <vt:lpstr>'OUTPUT trap 1'!Afdrukbereik</vt:lpstr>
      <vt:lpstr>'OUTPUT trap 1&amp;2'!Afdrukbereik</vt:lpstr>
      <vt:lpstr>'OUTPUT trap 2'!Afdrukbereik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Guus van Gemert</dc:creator>
  <cp:lastModifiedBy>Gerrit Pathuis</cp:lastModifiedBy>
  <cp:lastPrinted>2018-03-28T10:34:18Z</cp:lastPrinted>
  <dcterms:created xsi:type="dcterms:W3CDTF">2002-02-06T11:54:34Z</dcterms:created>
  <dcterms:modified xsi:type="dcterms:W3CDTF">2020-03-09T08:54:11Z</dcterms:modified>
</cp:coreProperties>
</file>