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23955" windowHeight="9780"/>
  </bookViews>
  <sheets>
    <sheet name="warmteoverdracht cilinder" sheetId="6" r:id="rId1"/>
    <sheet name="heat loss estimation" sheetId="1" r:id="rId2"/>
    <sheet name="weight estimation" sheetId="4" r:id="rId3"/>
    <sheet name="lining properties" sheetId="3" r:id="rId4"/>
    <sheet name="Blad2" sheetId="2" r:id="rId5"/>
  </sheets>
  <definedNames>
    <definedName name="_Regression_Int" localSheetId="2" hidden="1">1</definedName>
    <definedName name="_xlnm.Print_Area" localSheetId="0">'warmteoverdracht cilinder'!$A$1:$K$31</definedName>
    <definedName name="_xlnm.Print_Area" localSheetId="2">'weight estimation'!$F$2:$L$50</definedName>
  </definedNames>
  <calcPr calcId="125725"/>
</workbook>
</file>

<file path=xl/calcChain.xml><?xml version="1.0" encoding="utf-8"?>
<calcChain xmlns="http://schemas.openxmlformats.org/spreadsheetml/2006/main">
  <c r="B9" i="4"/>
  <c r="B7"/>
  <c r="B12" i="1"/>
  <c r="B18"/>
  <c r="B17"/>
  <c r="B19" l="1"/>
  <c r="S23" i="4" l="1"/>
  <c r="C29" i="3" l="1"/>
  <c r="C28"/>
  <c r="C27"/>
  <c r="T8" i="4"/>
  <c r="D42" i="6" l="1"/>
  <c r="D43"/>
  <c r="C11" i="1"/>
  <c r="C9"/>
  <c r="C17" s="1"/>
  <c r="C10"/>
  <c r="C8"/>
  <c r="C18" s="1"/>
  <c r="C19" l="1"/>
  <c r="T49" i="6"/>
  <c r="S52" s="1"/>
  <c r="T53" s="1"/>
  <c r="O51"/>
  <c r="N54"/>
  <c r="D17"/>
  <c r="P20" l="1"/>
  <c r="M43" s="1"/>
  <c r="M41" l="1"/>
  <c r="M42" s="1"/>
  <c r="S42" s="1"/>
  <c r="N41"/>
  <c r="S41"/>
  <c r="R41"/>
  <c r="Q41"/>
  <c r="O41"/>
  <c r="P41"/>
  <c r="G17"/>
  <c r="D18"/>
  <c r="F17" s="1"/>
  <c r="S43" l="1"/>
  <c r="Q42"/>
  <c r="Q43" s="1"/>
  <c r="I45" s="1"/>
  <c r="R42"/>
  <c r="R43" s="1"/>
  <c r="I44" s="1"/>
  <c r="O42"/>
  <c r="O43" s="1"/>
  <c r="I47" s="1"/>
  <c r="P42"/>
  <c r="P43" s="1"/>
  <c r="I35" s="1"/>
  <c r="N42"/>
  <c r="N43" s="1"/>
  <c r="I48" s="1"/>
  <c r="D19"/>
  <c r="F18" s="1"/>
  <c r="I46" l="1"/>
  <c r="I50" s="1"/>
  <c r="I49"/>
  <c r="I38"/>
  <c r="D20"/>
  <c r="F19" s="1"/>
  <c r="I51" l="1"/>
  <c r="D21"/>
  <c r="F20" s="1"/>
  <c r="K43" i="4"/>
  <c r="J43"/>
  <c r="B25"/>
  <c r="B24"/>
  <c r="G33" s="1"/>
  <c r="B23"/>
  <c r="K34" s="1"/>
  <c r="K46" s="1"/>
  <c r="B22"/>
  <c r="B21"/>
  <c r="B20"/>
  <c r="B19"/>
  <c r="F11" s="1"/>
  <c r="B18"/>
  <c r="B17"/>
  <c r="B16"/>
  <c r="B15"/>
  <c r="B14"/>
  <c r="B13"/>
  <c r="B12"/>
  <c r="K14" s="1"/>
  <c r="B11"/>
  <c r="D11" s="1"/>
  <c r="F10"/>
  <c r="B10"/>
  <c r="G13" s="1"/>
  <c r="B8"/>
  <c r="F18"/>
  <c r="B6"/>
  <c r="L12" l="1"/>
  <c r="O33"/>
  <c r="G5"/>
  <c r="F8" s="1"/>
  <c r="J32"/>
  <c r="O31"/>
  <c r="G41"/>
  <c r="N22"/>
  <c r="O22" s="1"/>
  <c r="N15"/>
  <c r="O15" s="1"/>
  <c r="N8"/>
  <c r="O8" s="1"/>
  <c r="G21"/>
  <c r="N23"/>
  <c r="O23" s="1"/>
  <c r="H19"/>
  <c r="J23"/>
  <c r="J8"/>
  <c r="G15"/>
  <c r="H20"/>
  <c r="J44" s="1"/>
  <c r="N14"/>
  <c r="O14" s="1"/>
  <c r="N21"/>
  <c r="O21" s="1"/>
  <c r="N7"/>
  <c r="O7" s="1"/>
  <c r="F37"/>
  <c r="O32"/>
  <c r="H27"/>
  <c r="J45" s="1"/>
  <c r="N20"/>
  <c r="O20" s="1"/>
  <c r="N6"/>
  <c r="N13"/>
  <c r="O13" s="1"/>
  <c r="H46"/>
  <c r="I12"/>
  <c r="I14"/>
  <c r="I52" i="6"/>
  <c r="I53" s="1"/>
  <c r="D22"/>
  <c r="F21" s="1"/>
  <c r="G35" i="4"/>
  <c r="J39"/>
  <c r="J29"/>
  <c r="H34"/>
  <c r="J46" s="1"/>
  <c r="F15"/>
  <c r="J16"/>
  <c r="L20"/>
  <c r="G22"/>
  <c r="F33"/>
  <c r="K9"/>
  <c r="B24" i="1"/>
  <c r="C26" s="1"/>
  <c r="K45" i="4" l="1"/>
  <c r="K44"/>
  <c r="N9"/>
  <c r="O9" s="1"/>
  <c r="O34"/>
  <c r="N16"/>
  <c r="O16" s="1"/>
  <c r="P16" s="1"/>
  <c r="P23"/>
  <c r="P34"/>
  <c r="O6"/>
  <c r="N27"/>
  <c r="O27" s="1"/>
  <c r="P27" s="1"/>
  <c r="D23" i="6"/>
  <c r="F22" s="1"/>
  <c r="J47" i="4"/>
  <c r="K47" l="1"/>
  <c r="P9"/>
  <c r="O40"/>
  <c r="S21" s="1"/>
  <c r="S24" s="1"/>
  <c r="T9"/>
  <c r="T10" s="1"/>
  <c r="I36" i="6"/>
  <c r="I37" s="1"/>
  <c r="I39" s="1"/>
  <c r="I40" s="1"/>
  <c r="B26" i="1"/>
  <c r="F26" i="6" l="1"/>
  <c r="F27" s="1"/>
  <c r="F29" l="1"/>
  <c r="H17" l="1"/>
  <c r="G18" s="1"/>
  <c r="H18" s="1"/>
  <c r="G19" s="1"/>
  <c r="H19" s="1"/>
  <c r="G20" s="1"/>
  <c r="H20" s="1"/>
  <c r="F30"/>
  <c r="F28"/>
  <c r="I17" l="1"/>
  <c r="I18"/>
  <c r="I19"/>
  <c r="G21"/>
  <c r="H21" s="1"/>
  <c r="I20" l="1"/>
  <c r="G22"/>
  <c r="H22" s="1"/>
  <c r="H23" l="1"/>
  <c r="F6" s="1"/>
  <c r="I21"/>
  <c r="I22"/>
</calcChain>
</file>

<file path=xl/comments1.xml><?xml version="1.0" encoding="utf-8"?>
<comments xmlns="http://schemas.openxmlformats.org/spreadsheetml/2006/main">
  <authors>
    <author>Guus van Gemert</author>
  </authors>
  <commentList>
    <comment ref="D35" authorId="0">
      <text>
        <r>
          <rPr>
            <sz val="9"/>
            <color indexed="81"/>
            <rFont val="Tahoma"/>
            <family val="2"/>
          </rPr>
          <t>Perry, Table 5-4</t>
        </r>
      </text>
    </comment>
    <comment ref="I38" authorId="0">
      <text>
        <r>
          <rPr>
            <sz val="9"/>
            <color indexed="81"/>
            <rFont val="Tahoma"/>
            <family val="2"/>
          </rPr>
          <t>Pr for gases is approx. 0.7</t>
        </r>
      </text>
    </comment>
    <comment ref="I39" authorId="0">
      <text>
        <r>
          <rPr>
            <sz val="9"/>
            <color indexed="81"/>
            <rFont val="Tahoma"/>
            <family val="2"/>
          </rPr>
          <t>Churchill and Bernstein equation for forced convection past a cilinder</t>
        </r>
      </text>
    </comment>
    <comment ref="D43" authorId="0">
      <text>
        <r>
          <rPr>
            <sz val="9"/>
            <color indexed="81"/>
            <rFont val="Tahoma"/>
            <family val="2"/>
          </rPr>
          <t>Perry 8th ed. equation 5-12</t>
        </r>
      </text>
    </comment>
    <comment ref="I49" authorId="0">
      <text>
        <r>
          <rPr>
            <sz val="9"/>
            <color indexed="81"/>
            <rFont val="Tahoma"/>
            <family val="2"/>
          </rPr>
          <t>Pr for gases is approx. 0.7</t>
        </r>
      </text>
    </comment>
    <comment ref="I52" authorId="0">
      <text>
        <r>
          <rPr>
            <sz val="9"/>
            <color indexed="81"/>
            <rFont val="Tahoma"/>
            <family val="2"/>
          </rPr>
          <t>Perry 8th ed. equation 5-35 for laminar and turbulent flow on isothermal vertical walls</t>
        </r>
      </text>
    </comment>
  </commentList>
</comments>
</file>

<file path=xl/sharedStrings.xml><?xml version="1.0" encoding="utf-8"?>
<sst xmlns="http://schemas.openxmlformats.org/spreadsheetml/2006/main" count="469" uniqueCount="358">
  <si>
    <t>of cone</t>
  </si>
  <si>
    <t>of cilinder</t>
  </si>
  <si>
    <t>total</t>
  </si>
  <si>
    <t>J/kgK</t>
  </si>
  <si>
    <t>dT</t>
  </si>
  <si>
    <t>C</t>
  </si>
  <si>
    <t>kg/s</t>
  </si>
  <si>
    <t>kW</t>
  </si>
  <si>
    <t>m2</t>
  </si>
  <si>
    <t>Cpgas</t>
  </si>
  <si>
    <t>D</t>
  </si>
  <si>
    <t>L</t>
  </si>
  <si>
    <t>M</t>
  </si>
  <si>
    <t>mm</t>
  </si>
  <si>
    <t>Surface areas</t>
  </si>
  <si>
    <t>Heat loss and insulation of Hisarna cyclone</t>
  </si>
  <si>
    <t>12-2-2016, GVG</t>
  </si>
  <si>
    <t>d</t>
  </si>
  <si>
    <t>Acceptable temperature drop of gas</t>
  </si>
  <si>
    <t>heat loss</t>
  </si>
  <si>
    <t>Acceptable on gas side</t>
  </si>
  <si>
    <t>kW/m2</t>
  </si>
  <si>
    <t>kg/m3</t>
  </si>
  <si>
    <t>refractory thickness</t>
  </si>
  <si>
    <t>density of refractory</t>
  </si>
  <si>
    <t>refractory volume of cone</t>
  </si>
  <si>
    <t>steel thickness</t>
  </si>
  <si>
    <t>density of steel</t>
  </si>
  <si>
    <t>tangential outlet</t>
  </si>
  <si>
    <t>P</t>
  </si>
  <si>
    <t>density metal of vortex finder</t>
  </si>
  <si>
    <t>Y-section upstream cyclones</t>
  </si>
  <si>
    <t>Type</t>
  </si>
  <si>
    <t>Diameter</t>
  </si>
  <si>
    <t>A</t>
  </si>
  <si>
    <t>Tangentiële uitlaat</t>
  </si>
  <si>
    <t>B</t>
  </si>
  <si>
    <t>E</t>
  </si>
  <si>
    <t>F</t>
  </si>
  <si>
    <t>F'</t>
  </si>
  <si>
    <t>G</t>
  </si>
  <si>
    <t>H</t>
  </si>
  <si>
    <t>J</t>
  </si>
  <si>
    <t>K</t>
  </si>
  <si>
    <t>O</t>
  </si>
  <si>
    <t>Q</t>
  </si>
  <si>
    <t>x</t>
  </si>
  <si>
    <t>R</t>
  </si>
  <si>
    <t>3P</t>
  </si>
  <si>
    <t>0,625P</t>
  </si>
  <si>
    <t>Bunker</t>
  </si>
  <si>
    <t>Vortexpunt</t>
  </si>
  <si>
    <t>3-P</t>
  </si>
  <si>
    <t>steel stickness</t>
  </si>
  <si>
    <t>flange width</t>
  </si>
  <si>
    <t>steel volume of inlet scroll</t>
  </si>
  <si>
    <t>metal thickness of vortex finder</t>
  </si>
  <si>
    <t>refractory of cilinder</t>
  </si>
  <si>
    <t>refractory of dust outlet</t>
  </si>
  <si>
    <t>refractory of inlet scroll</t>
  </si>
  <si>
    <t>steel of cone</t>
  </si>
  <si>
    <t>steel of cilinder</t>
  </si>
  <si>
    <t>steel of dust outlet</t>
  </si>
  <si>
    <t>metal of vortex finder</t>
  </si>
  <si>
    <t>flange cilinder-cone (2x)</t>
  </si>
  <si>
    <t>flange of outlet</t>
  </si>
  <si>
    <t>flange of inlet</t>
  </si>
  <si>
    <t>flange of vortex finder</t>
  </si>
  <si>
    <t>18-2-2016, GVG</t>
  </si>
  <si>
    <t>note: incl. hex metal</t>
  </si>
  <si>
    <t>WARMTEOVERDRACHT</t>
  </si>
  <si>
    <t>CILINDER</t>
  </si>
  <si>
    <t>Inwendige diameter</t>
  </si>
  <si>
    <t>[mm]</t>
  </si>
  <si>
    <t>Temperatuur inwendig:</t>
  </si>
  <si>
    <t>[°C]</t>
  </si>
  <si>
    <t>Buitentemperatuur</t>
  </si>
  <si>
    <t>m/s</t>
  </si>
  <si>
    <t>materiaal</t>
  </si>
  <si>
    <t>dikte</t>
  </si>
  <si>
    <t>r(inw)</t>
  </si>
  <si>
    <t>lambda</t>
  </si>
  <si>
    <t>ln(r2/r1)</t>
  </si>
  <si>
    <t>Temp</t>
  </si>
  <si>
    <t>[m]</t>
  </si>
  <si>
    <t>[W/mK]</t>
  </si>
  <si>
    <t>1e laag</t>
  </si>
  <si>
    <t>2e laag</t>
  </si>
  <si>
    <t>3e laag</t>
  </si>
  <si>
    <t>4e laag</t>
  </si>
  <si>
    <t>5e laag</t>
  </si>
  <si>
    <t>6e laag</t>
  </si>
  <si>
    <t>Buitenradius</t>
  </si>
  <si>
    <t>CURON127S</t>
  </si>
  <si>
    <t>GOLITE</t>
  </si>
  <si>
    <t>SKAMOLEX</t>
  </si>
  <si>
    <t>Calcon</t>
  </si>
  <si>
    <t>staal</t>
  </si>
  <si>
    <t>ALU99.5</t>
  </si>
  <si>
    <t>Rockwool</t>
  </si>
  <si>
    <t>°C</t>
  </si>
  <si>
    <t>1.06mix</t>
  </si>
  <si>
    <t>super 1100E</t>
  </si>
  <si>
    <t>STRALINGSCOEFFIECENTEN</t>
  </si>
  <si>
    <t>LUCHTSTROMING langs wand vlgs Recknagel pag.114</t>
  </si>
  <si>
    <t>Recknagel pag. 122</t>
  </si>
  <si>
    <t>v&lt; 5m/s:</t>
  </si>
  <si>
    <t>alpha= 5.8+4*v [W/m2K]</t>
  </si>
  <si>
    <t>aluminium</t>
  </si>
  <si>
    <t>v&gt; 5 m/s</t>
  </si>
  <si>
    <r>
      <t>alpha= 7.15*v</t>
    </r>
    <r>
      <rPr>
        <vertAlign val="superscript"/>
        <sz val="10"/>
        <rFont val="Courier"/>
        <family val="3"/>
      </rPr>
      <t>0.78</t>
    </r>
  </si>
  <si>
    <t>verz.staal</t>
  </si>
  <si>
    <t>alpha wind=</t>
  </si>
  <si>
    <t>CONVECTIE vlgs Recknagel pag. 116</t>
  </si>
  <si>
    <t>selectie:</t>
  </si>
  <si>
    <r>
      <t>alpha= 8.3*((T</t>
    </r>
    <r>
      <rPr>
        <vertAlign val="subscript"/>
        <sz val="10"/>
        <rFont val="Arial"/>
        <family val="2"/>
      </rPr>
      <t>wand</t>
    </r>
    <r>
      <rPr>
        <sz val="11"/>
        <color theme="1"/>
        <rFont val="Calibri"/>
        <family val="2"/>
        <scheme val="minor"/>
      </rPr>
      <t>-T</t>
    </r>
    <r>
      <rPr>
        <vertAlign val="subscript"/>
        <sz val="10"/>
        <rFont val="Arial"/>
        <family val="2"/>
      </rPr>
      <t>a</t>
    </r>
    <r>
      <rPr>
        <sz val="11"/>
        <color theme="1"/>
        <rFont val="Calibri"/>
        <family val="2"/>
        <scheme val="minor"/>
      </rPr>
      <t>)/T</t>
    </r>
    <r>
      <rPr>
        <vertAlign val="subscript"/>
        <sz val="10"/>
        <rFont val="Arial"/>
        <family val="2"/>
      </rPr>
      <t>a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0"/>
        <rFont val="Arial"/>
        <family val="2"/>
      </rPr>
      <t>0.25</t>
    </r>
  </si>
  <si>
    <t>alpha straling</t>
  </si>
  <si>
    <t>alpha=</t>
  </si>
  <si>
    <t>emissivity</t>
  </si>
  <si>
    <t>h</t>
  </si>
  <si>
    <t>warmteverlies</t>
  </si>
  <si>
    <t>Ra</t>
  </si>
  <si>
    <t>Pr</t>
  </si>
  <si>
    <t>Nu</t>
  </si>
  <si>
    <t>kin visc</t>
  </si>
  <si>
    <t>thermal diffusivity</t>
  </si>
  <si>
    <t>Convectie en straling: Rtot=1/(2.pi().buitenradius.htot)</t>
  </si>
  <si>
    <t>gem.</t>
  </si>
  <si>
    <t>STRALING</t>
  </si>
  <si>
    <t>Re</t>
  </si>
  <si>
    <t>hD/k</t>
  </si>
  <si>
    <t>Duitwendig</t>
  </si>
  <si>
    <t>Length of cilinder</t>
  </si>
  <si>
    <t>[W/m2K]</t>
  </si>
  <si>
    <t>FORCED CONVECTION</t>
  </si>
  <si>
    <t>vol.expansiecoeff.</t>
  </si>
  <si>
    <t>NATURAL CONVECTION</t>
  </si>
  <si>
    <t>Windsnelheid</t>
  </si>
  <si>
    <t>Temperatuur buitenwand</t>
  </si>
  <si>
    <t>Materiaal buitenwand</t>
  </si>
  <si>
    <r>
      <t>2*pi()*</t>
    </r>
    <r>
      <rPr>
        <sz val="10"/>
        <rFont val="Calibri"/>
        <family val="2"/>
      </rPr>
      <t>λ</t>
    </r>
  </si>
  <si>
    <t>Oude berekening Geljon</t>
  </si>
  <si>
    <t>warmteverlies per uitwendig oppervlak</t>
  </si>
  <si>
    <t>warmteverlies per axiale lengte</t>
  </si>
  <si>
    <t>Update GVG, 18-2-2016, DRAFT</t>
  </si>
  <si>
    <t>Temperature</t>
  </si>
  <si>
    <t>Density</t>
  </si>
  <si>
    <t>Specific Heat</t>
  </si>
  <si>
    <t>(kJ/(kg K))</t>
  </si>
  <si>
    <t>Thermal Conductivity</t>
  </si>
  <si>
    <t>(W/(m K))</t>
  </si>
  <si>
    <t>Kinematic Viscosity</t>
  </si>
  <si>
    <t>Expansion Coefficient</t>
  </si>
  <si>
    <t>- b -</t>
  </si>
  <si>
    <t>Prandtl's Number</t>
  </si>
  <si>
    <t>-150</t>
  </si>
  <si>
    <t>0.0116</t>
  </si>
  <si>
    <t>3.08</t>
  </si>
  <si>
    <t>8.21</t>
  </si>
  <si>
    <t>0.76</t>
  </si>
  <si>
    <t>0.0160</t>
  </si>
  <si>
    <t>5.95</t>
  </si>
  <si>
    <t>5.82</t>
  </si>
  <si>
    <t>0.74</t>
  </si>
  <si>
    <t>0.0204</t>
  </si>
  <si>
    <t>9.55</t>
  </si>
  <si>
    <t>4.51</t>
  </si>
  <si>
    <t>0.725</t>
  </si>
  <si>
    <t>0.0243</t>
  </si>
  <si>
    <t>13.30</t>
  </si>
  <si>
    <t>3.67</t>
  </si>
  <si>
    <t>0.715</t>
  </si>
  <si>
    <t>0.0257</t>
  </si>
  <si>
    <t>15.11</t>
  </si>
  <si>
    <t>3.43</t>
  </si>
  <si>
    <t>0.713</t>
  </si>
  <si>
    <t>0.0271</t>
  </si>
  <si>
    <t>16.97</t>
  </si>
  <si>
    <t>3.20</t>
  </si>
  <si>
    <t>0.711</t>
  </si>
  <si>
    <t>0.0285</t>
  </si>
  <si>
    <t>18.90</t>
  </si>
  <si>
    <t>3.00</t>
  </si>
  <si>
    <t>0.709</t>
  </si>
  <si>
    <t>0.0299</t>
  </si>
  <si>
    <t>20.94</t>
  </si>
  <si>
    <t>2.83</t>
  </si>
  <si>
    <t>0.708</t>
  </si>
  <si>
    <t>0.946</t>
  </si>
  <si>
    <t>0.0314</t>
  </si>
  <si>
    <t>23.06</t>
  </si>
  <si>
    <t>2.68</t>
  </si>
  <si>
    <t>0.703</t>
  </si>
  <si>
    <t>0.898</t>
  </si>
  <si>
    <t>0.0328</t>
  </si>
  <si>
    <t>25.23</t>
  </si>
  <si>
    <t>2.55</t>
  </si>
  <si>
    <t>0.70</t>
  </si>
  <si>
    <t>0.854</t>
  </si>
  <si>
    <t>0.0343</t>
  </si>
  <si>
    <t>27.55</t>
  </si>
  <si>
    <t>2.43</t>
  </si>
  <si>
    <t>0.695</t>
  </si>
  <si>
    <t>0.815</t>
  </si>
  <si>
    <t>0.0358</t>
  </si>
  <si>
    <t>29.85</t>
  </si>
  <si>
    <t>2.32</t>
  </si>
  <si>
    <t>0.69</t>
  </si>
  <si>
    <t>0.779</t>
  </si>
  <si>
    <t>0.0372</t>
  </si>
  <si>
    <t>32.29</t>
  </si>
  <si>
    <t>2.21</t>
  </si>
  <si>
    <t>0.746</t>
  </si>
  <si>
    <t>0.0386</t>
  </si>
  <si>
    <t>34.63</t>
  </si>
  <si>
    <t>2.11</t>
  </si>
  <si>
    <t>0.685</t>
  </si>
  <si>
    <t>0.675</t>
  </si>
  <si>
    <t>0.0421</t>
  </si>
  <si>
    <t>41.17</t>
  </si>
  <si>
    <t>1.91</t>
  </si>
  <si>
    <t>0.68</t>
  </si>
  <si>
    <t>0.616</t>
  </si>
  <si>
    <t>0.0454</t>
  </si>
  <si>
    <t>47.85</t>
  </si>
  <si>
    <t>1.75</t>
  </si>
  <si>
    <t>0.566</t>
  </si>
  <si>
    <t>0.0485</t>
  </si>
  <si>
    <t>55.05</t>
  </si>
  <si>
    <t>1.61</t>
  </si>
  <si>
    <t>0.524</t>
  </si>
  <si>
    <t>0.0515</t>
  </si>
  <si>
    <t>62.53</t>
  </si>
  <si>
    <t>1.49</t>
  </si>
  <si>
    <t>T</t>
  </si>
  <si>
    <t>λ</t>
  </si>
  <si>
    <t>ρ</t>
  </si>
  <si>
    <t>ν</t>
  </si>
  <si>
    <t>exp.coeff</t>
  </si>
  <si>
    <r>
      <t>c</t>
    </r>
    <r>
      <rPr>
        <vertAlign val="subscript"/>
        <sz val="10"/>
        <color theme="1"/>
        <rFont val="Arial"/>
        <family val="2"/>
      </rPr>
      <t>p</t>
    </r>
  </si>
  <si>
    <t>Cp</t>
  </si>
  <si>
    <t>[kg/m3]</t>
  </si>
  <si>
    <t>[J/kgK]</t>
  </si>
  <si>
    <t>[m2/s]</t>
  </si>
  <si>
    <t>(Tbuitenwand-Tbuiten)/2=</t>
  </si>
  <si>
    <t>MEERVOUDIGE, VERTICALE</t>
  </si>
  <si>
    <t>ZOEKTABEL LUCHTEIGENSCHAPPEN</t>
  </si>
  <si>
    <t>[W/mK]-1</t>
  </si>
  <si>
    <t>[W/m]</t>
  </si>
  <si>
    <t>[W/m2]</t>
  </si>
  <si>
    <t>uitw.</t>
  </si>
  <si>
    <t>inw.</t>
  </si>
  <si>
    <t>WARMTEGELEIDINGSCOEFFICIENTEN [W/m2K]</t>
  </si>
  <si>
    <r>
      <t>[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C]</t>
    </r>
  </si>
  <si>
    <r>
      <t>[kg/m</t>
    </r>
    <r>
      <rPr>
        <vertAlign val="superscript"/>
        <sz val="10"/>
        <color theme="1"/>
        <rFont val="Arial"/>
        <family val="2"/>
      </rPr>
      <t>3]</t>
    </r>
  </si>
  <si>
    <t>[J/(kgK]</t>
  </si>
  <si>
    <t>[W/(mK]</t>
  </si>
  <si>
    <r>
      <t>x 10</t>
    </r>
    <r>
      <rPr>
        <vertAlign val="superscript"/>
        <sz val="10"/>
        <color theme="1"/>
        <rFont val="Arial"/>
        <family val="2"/>
      </rPr>
      <t>-6</t>
    </r>
    <r>
      <rPr>
        <sz val="10"/>
        <color theme="1"/>
        <rFont val="Arial"/>
        <family val="2"/>
      </rPr>
      <t xml:space="preserve"> [m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/s]</t>
    </r>
  </si>
  <si>
    <t>[K]-1</t>
  </si>
  <si>
    <t>[W]</t>
  </si>
  <si>
    <t>totale warmteweerstand per meter axiale lengte</t>
  </si>
  <si>
    <t>??????</t>
  </si>
  <si>
    <t>CURON140HS</t>
  </si>
  <si>
    <t>CURON140LHS</t>
  </si>
  <si>
    <t>FLUCON 140HS</t>
  </si>
  <si>
    <t>FLUCON 140LHS</t>
  </si>
  <si>
    <t>Let op: lambda is functie van (gemiddelde) temperatuur van de laag. Zie tabel.</t>
  </si>
  <si>
    <t>internal</t>
  </si>
  <si>
    <t>external</t>
  </si>
  <si>
    <t>thickness</t>
  </si>
  <si>
    <t>Dimensions of cyclone</t>
  </si>
  <si>
    <t>gas fow</t>
  </si>
  <si>
    <t>From EOS calculations</t>
  </si>
  <si>
    <t>air properties</t>
  </si>
  <si>
    <t>Tmax</t>
  </si>
  <si>
    <t>density</t>
  </si>
  <si>
    <t>Cold crushing strength</t>
  </si>
  <si>
    <t>Chemical analysis</t>
  </si>
  <si>
    <t>application</t>
  </si>
  <si>
    <t>Curon 127 S</t>
  </si>
  <si>
    <t>Curon 140 HS</t>
  </si>
  <si>
    <t>high streng, good resistance to slack attack, applications in boilers, incinerators</t>
  </si>
  <si>
    <t>good abrasion resistance</t>
  </si>
  <si>
    <t>conductivity</t>
  </si>
  <si>
    <t>Curon 140 L HS</t>
  </si>
  <si>
    <t>lightweight, good abrasion resistance</t>
  </si>
  <si>
    <t>erosion loss</t>
  </si>
  <si>
    <t>cm3</t>
  </si>
  <si>
    <t>&lt;10</t>
  </si>
  <si>
    <t>&lt;12</t>
  </si>
  <si>
    <t>Flucon 140 HS</t>
  </si>
  <si>
    <t>low cement castable, good abrasion resistance</t>
  </si>
  <si>
    <t>Twand</t>
  </si>
  <si>
    <t>Flucon 140L HS</t>
  </si>
  <si>
    <t>lightweight low cement, good abrasion resistance</t>
  </si>
  <si>
    <t>W/mK</t>
  </si>
  <si>
    <t>MPa @1000C</t>
  </si>
  <si>
    <t>MPa @ 815C</t>
  </si>
  <si>
    <t>MPa @600C</t>
  </si>
  <si>
    <t>%AL2O3</t>
  </si>
  <si>
    <t>%SiO2</t>
  </si>
  <si>
    <t>laklaag</t>
  </si>
  <si>
    <t>properties of lining Gouda Vuurvast</t>
  </si>
  <si>
    <t>http://www.matweb.com/search/GetMatlsByTradename.aspx?tn=GOLITE</t>
  </si>
  <si>
    <t>http://www.matweb.com/search/QuickText.aspx?SearchText=curon</t>
  </si>
  <si>
    <t>http://www.matweb.com/search/QuickText.aspx?SearchText=flucon</t>
  </si>
  <si>
    <t>Hex metal approximation as cilinders</t>
  </si>
  <si>
    <t>diameter</t>
  </si>
  <si>
    <t>height</t>
  </si>
  <si>
    <t>mass per m2</t>
  </si>
  <si>
    <t>kg/m2</t>
  </si>
  <si>
    <t>total  area</t>
  </si>
  <si>
    <t>by approximation</t>
  </si>
  <si>
    <t>total hex mass</t>
  </si>
  <si>
    <t>kg</t>
  </si>
  <si>
    <t>Weight estimations per cyclone</t>
  </si>
  <si>
    <t>shrinkage</t>
  </si>
  <si>
    <t>%</t>
  </si>
  <si>
    <t>Linear coefficient of thermal expansion</t>
  </si>
  <si>
    <t>steel</t>
  </si>
  <si>
    <t>stainless</t>
  </si>
  <si>
    <t>m/mK</t>
  </si>
  <si>
    <t>m</t>
  </si>
  <si>
    <t>pi*diameter</t>
  </si>
  <si>
    <t>expansion</t>
  </si>
  <si>
    <t>mm/K</t>
  </si>
  <si>
    <t>deltaT</t>
  </si>
  <si>
    <t>max. grain</t>
  </si>
  <si>
    <t>--&gt;</t>
  </si>
  <si>
    <t>Total dead mass per cyclone</t>
  </si>
  <si>
    <t>Emergency weight</t>
  </si>
  <si>
    <t>insulation thickness</t>
  </si>
  <si>
    <t>density of insulation</t>
  </si>
  <si>
    <t>note: applied on inside</t>
  </si>
  <si>
    <t>supports</t>
  </si>
  <si>
    <t>NIET VAN TOEPASSING</t>
  </si>
  <si>
    <t>filled with slag / water?</t>
  </si>
  <si>
    <t>weight</t>
  </si>
  <si>
    <t>F/A</t>
  </si>
  <si>
    <t>Mpa</t>
  </si>
  <si>
    <t>N</t>
  </si>
  <si>
    <t>Number of cyclones parallel</t>
  </si>
  <si>
    <t>Total flow per battery</t>
  </si>
  <si>
    <t>Vervallen</t>
  </si>
  <si>
    <t>AC</t>
  </si>
  <si>
    <t>AC 850</t>
  </si>
  <si>
    <r>
      <t xml:space="preserve">- </t>
    </r>
    <r>
      <rPr>
        <i/>
        <sz val="11"/>
        <color theme="1"/>
        <rFont val="Arial"/>
        <family val="2"/>
      </rPr>
      <t>t</t>
    </r>
    <r>
      <rPr>
        <sz val="11"/>
        <color theme="1"/>
        <rFont val="Arial"/>
        <family val="2"/>
      </rPr>
      <t xml:space="preserve"> -</t>
    </r>
  </si>
  <si>
    <r>
      <t xml:space="preserve">- </t>
    </r>
    <r>
      <rPr>
        <i/>
        <sz val="11"/>
        <color theme="1"/>
        <rFont val="Arial"/>
        <family val="2"/>
      </rPr>
      <t>ρ -</t>
    </r>
  </si>
  <si>
    <r>
      <t xml:space="preserve">- </t>
    </r>
    <r>
      <rPr>
        <i/>
        <sz val="11"/>
        <color theme="1"/>
        <rFont val="Arial"/>
        <family val="2"/>
      </rPr>
      <t>c</t>
    </r>
    <r>
      <rPr>
        <i/>
        <vertAlign val="subscript"/>
        <sz val="11"/>
        <color theme="1"/>
        <rFont val="Arial"/>
        <family val="2"/>
      </rPr>
      <t>p</t>
    </r>
    <r>
      <rPr>
        <sz val="11"/>
        <color theme="1"/>
        <rFont val="Arial"/>
        <family val="2"/>
      </rPr>
      <t xml:space="preserve"> -</t>
    </r>
  </si>
  <si>
    <r>
      <t xml:space="preserve">- </t>
    </r>
    <r>
      <rPr>
        <i/>
        <sz val="11"/>
        <color theme="1"/>
        <rFont val="Arial"/>
        <family val="2"/>
      </rPr>
      <t>k</t>
    </r>
    <r>
      <rPr>
        <sz val="11"/>
        <color theme="1"/>
        <rFont val="Arial"/>
        <family val="2"/>
      </rPr>
      <t xml:space="preserve"> -</t>
    </r>
  </si>
  <si>
    <r>
      <t>- ν</t>
    </r>
    <r>
      <rPr>
        <sz val="11"/>
        <color theme="1"/>
        <rFont val="Arial"/>
        <family val="2"/>
      </rPr>
      <t xml:space="preserve"> -</t>
    </r>
  </si>
  <si>
    <r>
      <t>- P</t>
    </r>
    <r>
      <rPr>
        <i/>
        <vertAlign val="subscript"/>
        <sz val="11"/>
        <color theme="1"/>
        <rFont val="Arial"/>
        <family val="2"/>
      </rPr>
      <t xml:space="preserve">r </t>
    </r>
    <r>
      <rPr>
        <i/>
        <sz val="11"/>
        <color theme="1"/>
        <rFont val="Arial"/>
        <family val="2"/>
      </rPr>
      <t>-</t>
    </r>
  </si>
  <si>
    <r>
      <t>(</t>
    </r>
    <r>
      <rPr>
        <i/>
        <vertAlign val="superscript"/>
        <sz val="11"/>
        <color theme="1"/>
        <rFont val="Arial"/>
        <family val="2"/>
      </rPr>
      <t>o</t>
    </r>
    <r>
      <rPr>
        <i/>
        <sz val="11"/>
        <color theme="1"/>
        <rFont val="Arial"/>
        <family val="2"/>
      </rPr>
      <t>C)</t>
    </r>
  </si>
  <si>
    <r>
      <t>(kg/m</t>
    </r>
    <r>
      <rPr>
        <i/>
        <vertAlign val="superscript"/>
        <sz val="11"/>
        <color theme="1"/>
        <rFont val="Arial"/>
        <family val="2"/>
      </rPr>
      <t>3</t>
    </r>
    <r>
      <rPr>
        <i/>
        <sz val="11"/>
        <color theme="1"/>
        <rFont val="Arial"/>
        <family val="2"/>
      </rPr>
      <t>)</t>
    </r>
  </si>
  <si>
    <r>
      <t>x 10</t>
    </r>
    <r>
      <rPr>
        <i/>
        <vertAlign val="superscript"/>
        <sz val="11"/>
        <color theme="1"/>
        <rFont val="Arial"/>
        <family val="2"/>
      </rPr>
      <t>-6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(m</t>
    </r>
    <r>
      <rPr>
        <i/>
        <vertAlign val="superscript"/>
        <sz val="11"/>
        <color theme="1"/>
        <rFont val="Arial"/>
        <family val="2"/>
      </rPr>
      <t>2</t>
    </r>
    <r>
      <rPr>
        <i/>
        <sz val="11"/>
        <color theme="1"/>
        <rFont val="Arial"/>
        <family val="2"/>
      </rPr>
      <t>/s)</t>
    </r>
  </si>
  <si>
    <r>
      <t>x 10</t>
    </r>
    <r>
      <rPr>
        <i/>
        <vertAlign val="superscript"/>
        <sz val="11"/>
        <color theme="1"/>
        <rFont val="Arial"/>
        <family val="2"/>
      </rPr>
      <t>-3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(1/K)</t>
    </r>
  </si>
  <si>
    <t>Average loss over surface area</t>
  </si>
  <si>
    <t>Weight estimation of cyclone</t>
  </si>
</sst>
</file>

<file path=xl/styles.xml><?xml version="1.0" encoding="utf-8"?>
<styleSheet xmlns="http://schemas.openxmlformats.org/spreadsheetml/2006/main">
  <numFmts count="14">
    <numFmt numFmtId="164" formatCode="dd/mm/yy"/>
    <numFmt numFmtId="165" formatCode="0.0"/>
    <numFmt numFmtId="166" formatCode="0.000"/>
    <numFmt numFmtId="167" formatCode="0.0000"/>
    <numFmt numFmtId="168" formatCode="#,##0.000_ ;\-#,##0.000\ "/>
    <numFmt numFmtId="169" formatCode="#,##0.00_ ;\-#,##0.00\ "/>
    <numFmt numFmtId="170" formatCode="#,##0.0_);\(#,##0.0\)"/>
    <numFmt numFmtId="171" formatCode="#,##0_ ;\-#,##0\ "/>
    <numFmt numFmtId="172" formatCode="0&quot; kg&quot;"/>
    <numFmt numFmtId="173" formatCode="0.00&quot; m3&quot;"/>
    <numFmt numFmtId="174" formatCode="0.000_)"/>
    <numFmt numFmtId="175" formatCode="0_)"/>
    <numFmt numFmtId="176" formatCode="0.0_)"/>
    <numFmt numFmtId="177" formatCode="0.00_)"/>
  </numFmts>
  <fonts count="43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Helv"/>
    </font>
    <font>
      <sz val="10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sz val="12"/>
      <color indexed="12"/>
      <name val="Helv"/>
    </font>
    <font>
      <b/>
      <sz val="12"/>
      <color theme="1"/>
      <name val="Calibri"/>
      <family val="2"/>
      <scheme val="minor"/>
    </font>
    <font>
      <sz val="16"/>
      <name val="Arial"/>
      <family val="2"/>
    </font>
    <font>
      <b/>
      <sz val="12"/>
      <name val="Arial"/>
      <family val="2"/>
    </font>
    <font>
      <sz val="6"/>
      <name val="Arial"/>
      <family val="2"/>
    </font>
    <font>
      <sz val="12"/>
      <color indexed="12"/>
      <name val="Arial"/>
      <family val="2"/>
    </font>
    <font>
      <b/>
      <sz val="12"/>
      <color indexed="10"/>
      <name val="Arial"/>
      <family val="2"/>
    </font>
    <font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name val="Courier"/>
      <family val="3"/>
    </font>
    <font>
      <sz val="10"/>
      <color indexed="12"/>
      <name val="Courier"/>
      <family val="3"/>
    </font>
    <font>
      <vertAlign val="superscript"/>
      <sz val="10"/>
      <name val="Courier"/>
      <family val="3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</font>
    <font>
      <sz val="11"/>
      <color indexed="10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sz val="10"/>
      <color theme="1"/>
      <name val="Calibri"/>
      <family val="2"/>
    </font>
    <font>
      <vertAlign val="superscript"/>
      <sz val="10"/>
      <color theme="1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9"/>
      <name val="Symbol"/>
      <family val="1"/>
      <charset val="2"/>
    </font>
    <font>
      <i/>
      <sz val="11"/>
      <color theme="1"/>
      <name val="Arial"/>
      <family val="2"/>
    </font>
    <font>
      <i/>
      <vertAlign val="subscript"/>
      <sz val="11"/>
      <color theme="1"/>
      <name val="Arial"/>
      <family val="2"/>
    </font>
    <font>
      <i/>
      <vertAlign val="superscript"/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gray125">
        <fgColor indexed="9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gray0625">
        <fgColor indexed="8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medium">
        <color rgb="FFC0C0C0"/>
      </left>
      <right style="medium">
        <color rgb="FFC0C0C0"/>
      </right>
      <top/>
      <bottom style="medium">
        <color rgb="FFC0C0C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0C0C0"/>
      </left>
      <right style="medium">
        <color rgb="FFC0C0C0"/>
      </right>
      <top style="thick">
        <color rgb="FFC0C0C0"/>
      </top>
      <bottom/>
      <diagonal/>
    </border>
    <border>
      <left style="medium">
        <color rgb="FFC0C0C0"/>
      </left>
      <right style="medium">
        <color rgb="FFC0C0C0"/>
      </right>
      <top style="thick">
        <color rgb="FFC0C0C0"/>
      </top>
      <bottom/>
      <diagonal/>
    </border>
    <border>
      <left style="medium">
        <color rgb="FFC0C0C0"/>
      </left>
      <right style="thick">
        <color rgb="FFC0C0C0"/>
      </right>
      <top style="thick">
        <color rgb="FFC0C0C0"/>
      </top>
      <bottom/>
      <diagonal/>
    </border>
    <border>
      <left style="thick">
        <color rgb="FFC0C0C0"/>
      </left>
      <right style="medium">
        <color rgb="FFC0C0C0"/>
      </right>
      <top/>
      <bottom/>
      <diagonal/>
    </border>
    <border>
      <left style="medium">
        <color rgb="FFC0C0C0"/>
      </left>
      <right style="thick">
        <color rgb="FFC0C0C0"/>
      </right>
      <top/>
      <bottom/>
      <diagonal/>
    </border>
    <border>
      <left style="thick">
        <color rgb="FFC0C0C0"/>
      </left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thick">
        <color rgb="FFC0C0C0"/>
      </right>
      <top/>
      <bottom style="medium">
        <color rgb="FFC0C0C0"/>
      </bottom>
      <diagonal/>
    </border>
    <border>
      <left style="thick">
        <color rgb="FFC0C0C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0C0C0"/>
      </right>
      <top style="medium">
        <color rgb="FFCCCCCC"/>
      </top>
      <bottom style="medium">
        <color rgb="FFCCCCCC"/>
      </bottom>
      <diagonal/>
    </border>
    <border>
      <left style="thick">
        <color rgb="FFC0C0C0"/>
      </left>
      <right style="medium">
        <color rgb="FFCCCCCC"/>
      </right>
      <top style="medium">
        <color rgb="FFCCCCCC"/>
      </top>
      <bottom style="thick">
        <color rgb="FFC0C0C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C0C0C0"/>
      </bottom>
      <diagonal/>
    </border>
    <border>
      <left style="medium">
        <color rgb="FFCCCCCC"/>
      </left>
      <right style="thick">
        <color rgb="FFC0C0C0"/>
      </right>
      <top style="medium">
        <color rgb="FFCCCCCC"/>
      </top>
      <bottom style="thick">
        <color rgb="FFC0C0C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</borders>
  <cellStyleXfs count="4">
    <xf numFmtId="0" fontId="0" fillId="0" borderId="0"/>
    <xf numFmtId="0" fontId="8" fillId="0" borderId="0"/>
    <xf numFmtId="0" fontId="9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35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Continuous" vertic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Border="1"/>
    <xf numFmtId="166" fontId="0" fillId="0" borderId="0" xfId="0" applyNumberFormat="1" applyBorder="1"/>
    <xf numFmtId="167" fontId="0" fillId="0" borderId="0" xfId="0" applyNumberFormat="1" applyBorder="1"/>
    <xf numFmtId="0" fontId="0" fillId="0" borderId="0" xfId="0" applyFont="1"/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Fill="1" applyBorder="1"/>
    <xf numFmtId="167" fontId="0" fillId="0" borderId="0" xfId="0" applyNumberFormat="1" applyFont="1" applyBorder="1"/>
    <xf numFmtId="166" fontId="0" fillId="0" borderId="0" xfId="0" applyNumberFormat="1" applyFont="1" applyBorder="1"/>
    <xf numFmtId="0" fontId="4" fillId="0" borderId="0" xfId="0" applyFont="1" applyBorder="1" applyAlignment="1" applyProtection="1">
      <alignment horizontal="left"/>
    </xf>
    <xf numFmtId="0" fontId="5" fillId="0" borderId="0" xfId="0" applyFont="1" applyBorder="1" applyAlignment="1">
      <alignment vertical="center"/>
    </xf>
    <xf numFmtId="164" fontId="5" fillId="0" borderId="0" xfId="0" applyNumberFormat="1" applyFont="1" applyBorder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>
      <alignment horizontal="left"/>
    </xf>
    <xf numFmtId="0" fontId="4" fillId="0" borderId="0" xfId="0" applyFont="1" applyFill="1" applyBorder="1" applyAlignment="1" applyProtection="1">
      <alignment horizontal="left"/>
    </xf>
    <xf numFmtId="0" fontId="4" fillId="0" borderId="0" xfId="0" applyFont="1" applyFill="1" applyBorder="1" applyProtection="1"/>
    <xf numFmtId="0" fontId="4" fillId="0" borderId="1" xfId="0" applyFont="1" applyFill="1" applyBorder="1" applyAlignment="1" applyProtection="1">
      <alignment horizontal="left"/>
    </xf>
    <xf numFmtId="0" fontId="4" fillId="0" borderId="1" xfId="0" applyFont="1" applyFill="1" applyBorder="1" applyProtection="1"/>
    <xf numFmtId="0" fontId="4" fillId="0" borderId="0" xfId="0" applyFont="1" applyFill="1" applyBorder="1"/>
    <xf numFmtId="0" fontId="5" fillId="0" borderId="0" xfId="0" applyFont="1" applyBorder="1" applyAlignment="1">
      <alignment horizontal="left"/>
    </xf>
    <xf numFmtId="0" fontId="0" fillId="0" borderId="0" xfId="0" applyBorder="1" applyAlignment="1"/>
    <xf numFmtId="0" fontId="0" fillId="0" borderId="1" xfId="0" applyBorder="1" applyAlignment="1"/>
    <xf numFmtId="0" fontId="0" fillId="0" borderId="1" xfId="0" applyFont="1" applyBorder="1" applyAlignment="1"/>
    <xf numFmtId="0" fontId="0" fillId="0" borderId="1" xfId="0" applyFont="1" applyBorder="1" applyAlignment="1">
      <alignment horizontal="left"/>
    </xf>
    <xf numFmtId="0" fontId="0" fillId="0" borderId="0" xfId="0" applyAlignment="1"/>
    <xf numFmtId="0" fontId="6" fillId="0" borderId="0" xfId="0" applyFont="1" applyBorder="1" applyAlignment="1" applyProtection="1">
      <alignment horizontal="left"/>
    </xf>
    <xf numFmtId="0" fontId="0" fillId="0" borderId="1" xfId="0" applyFont="1" applyBorder="1"/>
    <xf numFmtId="0" fontId="0" fillId="0" borderId="0" xfId="0" applyFill="1" applyBorder="1" applyAlignment="1"/>
    <xf numFmtId="0" fontId="8" fillId="0" borderId="0" xfId="1"/>
    <xf numFmtId="0" fontId="9" fillId="0" borderId="0" xfId="1" applyFont="1"/>
    <xf numFmtId="0" fontId="9" fillId="0" borderId="0" xfId="1" applyFont="1" applyAlignment="1">
      <alignment horizontal="center"/>
    </xf>
    <xf numFmtId="0" fontId="10" fillId="0" borderId="0" xfId="1" applyFont="1" applyAlignment="1">
      <alignment horizontal="center" vertical="center"/>
    </xf>
    <xf numFmtId="37" fontId="10" fillId="0" borderId="0" xfId="1" applyNumberFormat="1" applyFont="1" applyAlignment="1">
      <alignment horizontal="center" vertical="center"/>
    </xf>
    <xf numFmtId="0" fontId="9" fillId="0" borderId="2" xfId="1" applyFont="1" applyBorder="1" applyAlignment="1" applyProtection="1">
      <alignment horizontal="centerContinuous" vertical="center"/>
    </xf>
    <xf numFmtId="0" fontId="9" fillId="0" borderId="2" xfId="1" applyFont="1" applyBorder="1" applyAlignment="1" applyProtection="1">
      <alignment horizontal="center" vertical="center"/>
    </xf>
    <xf numFmtId="37" fontId="9" fillId="0" borderId="0" xfId="1" applyNumberFormat="1" applyFont="1" applyAlignment="1">
      <alignment vertical="center"/>
    </xf>
    <xf numFmtId="37" fontId="9" fillId="0" borderId="0" xfId="1" applyNumberFormat="1" applyFont="1"/>
    <xf numFmtId="37" fontId="8" fillId="0" borderId="0" xfId="1" applyNumberFormat="1"/>
    <xf numFmtId="37" fontId="9" fillId="0" borderId="0" xfId="1" applyNumberFormat="1" applyFont="1" applyAlignment="1">
      <alignment horizontal="left"/>
    </xf>
    <xf numFmtId="37" fontId="9" fillId="0" borderId="0" xfId="1" applyNumberFormat="1" applyFont="1" applyAlignment="1">
      <alignment horizontal="center"/>
    </xf>
    <xf numFmtId="168" fontId="12" fillId="0" borderId="0" xfId="1" applyNumberFormat="1" applyFont="1" applyBorder="1" applyAlignment="1" applyProtection="1">
      <alignment vertical="center"/>
    </xf>
    <xf numFmtId="37" fontId="9" fillId="0" borderId="0" xfId="1" applyNumberFormat="1" applyFont="1" applyAlignment="1">
      <alignment horizontal="right"/>
    </xf>
    <xf numFmtId="37" fontId="9" fillId="0" borderId="0" xfId="1" applyNumberFormat="1" applyFont="1" applyAlignment="1">
      <alignment horizontal="right" vertical="center"/>
    </xf>
    <xf numFmtId="37" fontId="9" fillId="0" borderId="0" xfId="1" applyNumberFormat="1" applyFont="1" applyAlignment="1">
      <alignment horizontal="center" vertical="center"/>
    </xf>
    <xf numFmtId="37" fontId="9" fillId="0" borderId="0" xfId="1" applyNumberFormat="1" applyFont="1" applyAlignment="1"/>
    <xf numFmtId="169" fontId="12" fillId="0" borderId="0" xfId="1" applyNumberFormat="1" applyFont="1" applyBorder="1" applyAlignment="1" applyProtection="1">
      <alignment vertical="center"/>
    </xf>
    <xf numFmtId="37" fontId="9" fillId="0" borderId="0" xfId="1" applyNumberFormat="1" applyFont="1" applyAlignment="1">
      <alignment horizontal="center" vertical="top"/>
    </xf>
    <xf numFmtId="0" fontId="13" fillId="2" borderId="2" xfId="1" applyFont="1" applyFill="1" applyBorder="1" applyAlignment="1" applyProtection="1">
      <alignment horizontal="centerContinuous" vertical="center"/>
    </xf>
    <xf numFmtId="169" fontId="12" fillId="0" borderId="0" xfId="1" applyNumberFormat="1" applyFont="1" applyBorder="1" applyAlignment="1">
      <alignment horizontal="right" vertical="center"/>
    </xf>
    <xf numFmtId="0" fontId="8" fillId="0" borderId="0" xfId="1" applyAlignment="1">
      <alignment vertical="center"/>
    </xf>
    <xf numFmtId="170" fontId="14" fillId="0" borderId="0" xfId="1" applyNumberFormat="1" applyFont="1" applyAlignment="1" applyProtection="1">
      <alignment vertical="center"/>
      <protection locked="0"/>
    </xf>
    <xf numFmtId="37" fontId="9" fillId="0" borderId="3" xfId="1" quotePrefix="1" applyNumberFormat="1" applyFont="1" applyBorder="1" applyAlignment="1">
      <alignment horizontal="center" vertical="center"/>
    </xf>
    <xf numFmtId="37" fontId="9" fillId="0" borderId="3" xfId="1" applyNumberFormat="1" applyFont="1" applyBorder="1" applyAlignment="1">
      <alignment horizontal="center" vertical="center"/>
    </xf>
    <xf numFmtId="37" fontId="9" fillId="0" borderId="4" xfId="1" applyNumberFormat="1" applyFont="1" applyBorder="1" applyAlignment="1">
      <alignment vertical="center"/>
    </xf>
    <xf numFmtId="37" fontId="9" fillId="0" borderId="5" xfId="1" applyNumberFormat="1" applyFont="1" applyBorder="1" applyAlignment="1">
      <alignment vertical="center"/>
    </xf>
    <xf numFmtId="37" fontId="9" fillId="0" borderId="6" xfId="1" applyNumberFormat="1" applyFont="1" applyBorder="1" applyAlignment="1">
      <alignment vertical="center"/>
    </xf>
    <xf numFmtId="37" fontId="9" fillId="0" borderId="7" xfId="1" applyNumberFormat="1" applyFont="1" applyBorder="1" applyAlignment="1">
      <alignment vertical="center"/>
    </xf>
    <xf numFmtId="37" fontId="9" fillId="0" borderId="8" xfId="1" applyNumberFormat="1" applyFont="1" applyBorder="1" applyAlignment="1">
      <alignment vertical="center"/>
    </xf>
    <xf numFmtId="37" fontId="9" fillId="0" borderId="9" xfId="1" applyNumberFormat="1" applyFont="1" applyBorder="1" applyAlignment="1">
      <alignment vertical="center"/>
    </xf>
    <xf numFmtId="171" fontId="12" fillId="0" borderId="0" xfId="1" applyNumberFormat="1" applyFont="1" applyBorder="1" applyAlignment="1" applyProtection="1">
      <alignment vertical="center"/>
    </xf>
    <xf numFmtId="0" fontId="7" fillId="0" borderId="1" xfId="0" applyFont="1" applyBorder="1"/>
    <xf numFmtId="0" fontId="7" fillId="0" borderId="0" xfId="0" applyFont="1"/>
    <xf numFmtId="0" fontId="7" fillId="3" borderId="0" xfId="0" applyFont="1" applyFill="1"/>
    <xf numFmtId="2" fontId="7" fillId="0" borderId="0" xfId="0" applyNumberFormat="1" applyFont="1" applyBorder="1"/>
    <xf numFmtId="0" fontId="7" fillId="0" borderId="0" xfId="0" applyFont="1" applyBorder="1"/>
    <xf numFmtId="0" fontId="4" fillId="0" borderId="0" xfId="1" applyFont="1"/>
    <xf numFmtId="0" fontId="4" fillId="3" borderId="0" xfId="1" applyFont="1" applyFill="1"/>
    <xf numFmtId="172" fontId="7" fillId="0" borderId="0" xfId="0" applyNumberFormat="1" applyFont="1"/>
    <xf numFmtId="172" fontId="4" fillId="0" borderId="0" xfId="1" applyNumberFormat="1" applyFont="1"/>
    <xf numFmtId="173" fontId="7" fillId="0" borderId="0" xfId="0" applyNumberFormat="1" applyFont="1"/>
    <xf numFmtId="173" fontId="7" fillId="0" borderId="0" xfId="0" applyNumberFormat="1" applyFont="1" applyBorder="1"/>
    <xf numFmtId="0" fontId="15" fillId="0" borderId="1" xfId="0" applyFont="1" applyBorder="1"/>
    <xf numFmtId="0" fontId="4" fillId="0" borderId="0" xfId="1" applyFont="1" applyBorder="1"/>
    <xf numFmtId="0" fontId="16" fillId="0" borderId="4" xfId="2" applyFont="1" applyBorder="1" applyAlignment="1" applyProtection="1"/>
    <xf numFmtId="0" fontId="9" fillId="0" borderId="10" xfId="2" applyFont="1" applyBorder="1" applyAlignment="1" applyProtection="1"/>
    <xf numFmtId="0" fontId="10" fillId="0" borderId="10" xfId="2" applyFont="1" applyBorder="1" applyAlignment="1" applyProtection="1"/>
    <xf numFmtId="0" fontId="11" fillId="0" borderId="10" xfId="2" applyFont="1" applyBorder="1" applyAlignment="1" applyProtection="1"/>
    <xf numFmtId="0" fontId="9" fillId="0" borderId="0" xfId="2"/>
    <xf numFmtId="0" fontId="16" fillId="0" borderId="6" xfId="2" applyFont="1" applyBorder="1" applyAlignment="1" applyProtection="1"/>
    <xf numFmtId="0" fontId="9" fillId="0" borderId="0" xfId="2" applyFont="1" applyBorder="1" applyAlignment="1" applyProtection="1"/>
    <xf numFmtId="0" fontId="10" fillId="0" borderId="0" xfId="2" applyFont="1" applyBorder="1" applyAlignment="1" applyProtection="1"/>
    <xf numFmtId="0" fontId="11" fillId="0" borderId="0" xfId="2" applyFont="1" applyBorder="1" applyAlignment="1" applyProtection="1"/>
    <xf numFmtId="0" fontId="18" fillId="0" borderId="6" xfId="2" applyFont="1" applyBorder="1" applyAlignment="1" applyProtection="1"/>
    <xf numFmtId="0" fontId="19" fillId="0" borderId="0" xfId="2" applyFont="1" applyBorder="1" applyAlignment="1" applyProtection="1"/>
    <xf numFmtId="0" fontId="10" fillId="0" borderId="13" xfId="2" applyFont="1" applyBorder="1" applyAlignment="1" applyProtection="1"/>
    <xf numFmtId="0" fontId="10" fillId="0" borderId="1" xfId="2" applyFont="1" applyBorder="1" applyAlignment="1" applyProtection="1"/>
    <xf numFmtId="0" fontId="9" fillId="0" borderId="1" xfId="2" applyFont="1" applyBorder="1" applyAlignment="1" applyProtection="1"/>
    <xf numFmtId="0" fontId="9" fillId="0" borderId="4" xfId="2" applyFont="1" applyBorder="1" applyAlignment="1" applyProtection="1">
      <alignment horizontal="left"/>
    </xf>
    <xf numFmtId="0" fontId="9" fillId="0" borderId="10" xfId="2" applyFont="1" applyBorder="1" applyProtection="1"/>
    <xf numFmtId="0" fontId="9" fillId="0" borderId="6" xfId="2" applyFont="1" applyBorder="1" applyAlignment="1" applyProtection="1">
      <alignment horizontal="left"/>
    </xf>
    <xf numFmtId="0" fontId="9" fillId="0" borderId="0" xfId="2" applyFont="1" applyBorder="1" applyAlignment="1" applyProtection="1">
      <alignment horizontal="left"/>
    </xf>
    <xf numFmtId="0" fontId="9" fillId="0" borderId="0" xfId="2" applyFont="1" applyBorder="1" applyProtection="1"/>
    <xf numFmtId="0" fontId="21" fillId="0" borderId="0" xfId="2" applyFont="1" applyBorder="1" applyProtection="1"/>
    <xf numFmtId="0" fontId="9" fillId="0" borderId="12" xfId="2" applyFont="1" applyBorder="1" applyProtection="1"/>
    <xf numFmtId="0" fontId="9" fillId="0" borderId="0" xfId="2" applyFont="1" applyBorder="1" applyProtection="1">
      <protection locked="0"/>
    </xf>
    <xf numFmtId="0" fontId="9" fillId="0" borderId="0" xfId="2" applyFont="1" applyBorder="1" applyAlignment="1" applyProtection="1">
      <alignment horizontal="right"/>
    </xf>
    <xf numFmtId="0" fontId="9" fillId="0" borderId="0" xfId="2" applyFont="1" applyFill="1" applyBorder="1" applyProtection="1">
      <protection locked="0"/>
    </xf>
    <xf numFmtId="0" fontId="9" fillId="0" borderId="0" xfId="2" applyFont="1" applyFill="1" applyBorder="1" applyProtection="1"/>
    <xf numFmtId="0" fontId="9" fillId="0" borderId="6" xfId="2" applyFont="1" applyBorder="1" applyProtection="1"/>
    <xf numFmtId="0" fontId="9" fillId="0" borderId="0" xfId="2" applyFont="1" applyBorder="1" applyAlignment="1" applyProtection="1">
      <alignment horizontal="center"/>
    </xf>
    <xf numFmtId="0" fontId="9" fillId="0" borderId="0" xfId="2" applyBorder="1" applyAlignment="1" applyProtection="1">
      <alignment horizontal="left"/>
    </xf>
    <xf numFmtId="0" fontId="9" fillId="4" borderId="0" xfId="2" applyFont="1" applyFill="1" applyBorder="1" applyProtection="1"/>
    <xf numFmtId="174" fontId="9" fillId="0" borderId="0" xfId="2" applyNumberFormat="1" applyFont="1" applyBorder="1" applyProtection="1"/>
    <xf numFmtId="165" fontId="9" fillId="0" borderId="0" xfId="2" applyNumberFormat="1" applyFont="1" applyBorder="1" applyProtection="1"/>
    <xf numFmtId="176" fontId="9" fillId="0" borderId="0" xfId="2" applyNumberFormat="1" applyFont="1" applyBorder="1" applyProtection="1"/>
    <xf numFmtId="0" fontId="9" fillId="0" borderId="0" xfId="2" applyProtection="1"/>
    <xf numFmtId="0" fontId="9" fillId="0" borderId="13" xfId="2" applyBorder="1" applyProtection="1"/>
    <xf numFmtId="0" fontId="9" fillId="0" borderId="1" xfId="2" applyBorder="1" applyProtection="1"/>
    <xf numFmtId="165" fontId="9" fillId="0" borderId="1" xfId="2" applyNumberFormat="1" applyBorder="1" applyProtection="1"/>
    <xf numFmtId="0" fontId="12" fillId="0" borderId="1" xfId="2" applyFont="1" applyBorder="1" applyProtection="1"/>
    <xf numFmtId="0" fontId="12" fillId="0" borderId="14" xfId="2" applyFont="1" applyBorder="1" applyProtection="1"/>
    <xf numFmtId="0" fontId="9" fillId="0" borderId="0" xfId="2" applyAlignment="1" applyProtection="1">
      <alignment horizontal="left"/>
    </xf>
    <xf numFmtId="0" fontId="9" fillId="0" borderId="4" xfId="2" applyBorder="1" applyAlignment="1" applyProtection="1">
      <alignment horizontal="left"/>
    </xf>
    <xf numFmtId="0" fontId="9" fillId="0" borderId="10" xfId="2" applyBorder="1" applyProtection="1"/>
    <xf numFmtId="0" fontId="23" fillId="0" borderId="10" xfId="2" applyFont="1" applyBorder="1" applyProtection="1"/>
    <xf numFmtId="0" fontId="9" fillId="0" borderId="11" xfId="2" applyBorder="1" applyProtection="1"/>
    <xf numFmtId="0" fontId="9" fillId="0" borderId="6" xfId="2" applyBorder="1" applyProtection="1"/>
    <xf numFmtId="0" fontId="9" fillId="0" borderId="0" xfId="2" applyBorder="1" applyProtection="1"/>
    <xf numFmtId="0" fontId="24" fillId="0" borderId="12" xfId="2" applyFont="1" applyBorder="1" applyProtection="1"/>
    <xf numFmtId="0" fontId="9" fillId="0" borderId="6" xfId="2" applyBorder="1" applyAlignment="1" applyProtection="1">
      <alignment horizontal="left"/>
    </xf>
    <xf numFmtId="0" fontId="9" fillId="0" borderId="12" xfId="2" applyBorder="1" applyProtection="1"/>
    <xf numFmtId="2" fontId="9" fillId="0" borderId="0" xfId="2" applyNumberFormat="1" applyBorder="1" applyProtection="1"/>
    <xf numFmtId="0" fontId="9" fillId="0" borderId="12" xfId="2" applyBorder="1" applyProtection="1">
      <protection locked="0"/>
    </xf>
    <xf numFmtId="0" fontId="9" fillId="0" borderId="12" xfId="2" applyBorder="1" applyAlignment="1" applyProtection="1">
      <alignment horizontal="left"/>
    </xf>
    <xf numFmtId="0" fontId="9" fillId="0" borderId="13" xfId="2" applyBorder="1" applyAlignment="1" applyProtection="1">
      <alignment horizontal="left"/>
    </xf>
    <xf numFmtId="0" fontId="9" fillId="0" borderId="14" xfId="2" applyBorder="1" applyProtection="1"/>
    <xf numFmtId="177" fontId="9" fillId="0" borderId="1" xfId="2" applyNumberFormat="1" applyBorder="1" applyProtection="1"/>
    <xf numFmtId="0" fontId="9" fillId="0" borderId="14" xfId="2" applyBorder="1"/>
    <xf numFmtId="174" fontId="9" fillId="0" borderId="0" xfId="2" applyNumberFormat="1" applyFont="1" applyFill="1" applyBorder="1" applyProtection="1"/>
    <xf numFmtId="0" fontId="9" fillId="4" borderId="10" xfId="2" applyFont="1" applyFill="1" applyBorder="1" applyProtection="1"/>
    <xf numFmtId="0" fontId="9" fillId="0" borderId="13" xfId="2" applyFont="1" applyBorder="1" applyAlignment="1" applyProtection="1">
      <alignment horizontal="left"/>
    </xf>
    <xf numFmtId="0" fontId="9" fillId="4" borderId="1" xfId="2" applyFont="1" applyFill="1" applyBorder="1" applyProtection="1"/>
    <xf numFmtId="0" fontId="9" fillId="0" borderId="6" xfId="2" applyBorder="1"/>
    <xf numFmtId="0" fontId="9" fillId="0" borderId="0" xfId="2" applyBorder="1"/>
    <xf numFmtId="2" fontId="9" fillId="0" borderId="0" xfId="2" applyNumberFormat="1" applyBorder="1"/>
    <xf numFmtId="0" fontId="17" fillId="0" borderId="12" xfId="2" applyFont="1" applyBorder="1" applyAlignment="1" applyProtection="1"/>
    <xf numFmtId="0" fontId="20" fillId="0" borderId="10" xfId="2" applyFont="1" applyBorder="1" applyAlignment="1" applyProtection="1"/>
    <xf numFmtId="0" fontId="17" fillId="0" borderId="10" xfId="2" applyFont="1" applyBorder="1" applyAlignment="1" applyProtection="1"/>
    <xf numFmtId="0" fontId="17" fillId="0" borderId="11" xfId="2" applyFont="1" applyBorder="1" applyAlignment="1" applyProtection="1"/>
    <xf numFmtId="0" fontId="9" fillId="0" borderId="4" xfId="2" applyBorder="1"/>
    <xf numFmtId="0" fontId="9" fillId="0" borderId="10" xfId="2" applyBorder="1"/>
    <xf numFmtId="0" fontId="9" fillId="0" borderId="11" xfId="2" applyBorder="1"/>
    <xf numFmtId="0" fontId="9" fillId="0" borderId="12" xfId="2" applyBorder="1"/>
    <xf numFmtId="11" fontId="9" fillId="0" borderId="0" xfId="2" applyNumberFormat="1" applyBorder="1"/>
    <xf numFmtId="0" fontId="9" fillId="0" borderId="13" xfId="2" applyBorder="1"/>
    <xf numFmtId="0" fontId="9" fillId="0" borderId="1" xfId="2" applyBorder="1"/>
    <xf numFmtId="0" fontId="9" fillId="0" borderId="12" xfId="2" quotePrefix="1" applyBorder="1"/>
    <xf numFmtId="0" fontId="9" fillId="0" borderId="1" xfId="2" applyFont="1" applyBorder="1" applyAlignment="1" applyProtection="1">
      <alignment horizontal="center"/>
    </xf>
    <xf numFmtId="0" fontId="9" fillId="0" borderId="10" xfId="2" applyBorder="1" applyAlignment="1" applyProtection="1">
      <alignment horizontal="left"/>
    </xf>
    <xf numFmtId="0" fontId="21" fillId="0" borderId="6" xfId="2" applyFont="1" applyBorder="1" applyAlignment="1" applyProtection="1">
      <alignment horizontal="left"/>
    </xf>
    <xf numFmtId="1" fontId="9" fillId="0" borderId="0" xfId="2" applyNumberFormat="1" applyFont="1" applyBorder="1" applyProtection="1"/>
    <xf numFmtId="0" fontId="9" fillId="0" borderId="1" xfId="2" applyFill="1" applyBorder="1" applyProtection="1"/>
    <xf numFmtId="0" fontId="9" fillId="0" borderId="0" xfId="2" applyFill="1" applyBorder="1"/>
    <xf numFmtId="0" fontId="9" fillId="0" borderId="1" xfId="2" applyBorder="1" applyAlignment="1" applyProtection="1">
      <alignment horizontal="left"/>
    </xf>
    <xf numFmtId="0" fontId="9" fillId="0" borderId="4" xfId="2" applyFont="1" applyBorder="1" applyProtection="1"/>
    <xf numFmtId="0" fontId="9" fillId="0" borderId="10" xfId="2" applyFont="1" applyBorder="1" applyAlignment="1" applyProtection="1">
      <alignment horizontal="center"/>
      <protection locked="0"/>
    </xf>
    <xf numFmtId="0" fontId="9" fillId="0" borderId="18" xfId="2" applyFont="1" applyBorder="1" applyAlignment="1" applyProtection="1">
      <alignment horizontal="center"/>
    </xf>
    <xf numFmtId="0" fontId="9" fillId="0" borderId="10" xfId="2" applyFont="1" applyBorder="1" applyAlignment="1" applyProtection="1">
      <alignment horizontal="center"/>
    </xf>
    <xf numFmtId="0" fontId="9" fillId="0" borderId="11" xfId="2" applyFont="1" applyBorder="1" applyAlignment="1" applyProtection="1">
      <alignment horizontal="center"/>
    </xf>
    <xf numFmtId="0" fontId="9" fillId="4" borderId="15" xfId="2" applyFont="1" applyFill="1" applyBorder="1" applyProtection="1">
      <protection locked="0"/>
    </xf>
    <xf numFmtId="0" fontId="9" fillId="4" borderId="16" xfId="2" applyFont="1" applyFill="1" applyBorder="1" applyProtection="1">
      <protection locked="0"/>
    </xf>
    <xf numFmtId="0" fontId="9" fillId="0" borderId="0" xfId="2" applyBorder="1" applyAlignment="1" applyProtection="1">
      <alignment horizontal="right"/>
    </xf>
    <xf numFmtId="2" fontId="9" fillId="0" borderId="0" xfId="2" applyNumberFormat="1" applyFill="1" applyBorder="1" applyProtection="1"/>
    <xf numFmtId="0" fontId="9" fillId="0" borderId="6" xfId="2" applyFont="1" applyBorder="1" applyAlignment="1" applyProtection="1">
      <alignment horizontal="right"/>
    </xf>
    <xf numFmtId="0" fontId="30" fillId="0" borderId="21" xfId="0" applyFont="1" applyBorder="1" applyAlignment="1">
      <alignment horizontal="center" wrapText="1"/>
    </xf>
    <xf numFmtId="3" fontId="30" fillId="0" borderId="21" xfId="0" applyNumberFormat="1" applyFont="1" applyBorder="1" applyAlignment="1">
      <alignment horizontal="center" wrapText="1"/>
    </xf>
    <xf numFmtId="0" fontId="30" fillId="0" borderId="29" xfId="0" applyFont="1" applyBorder="1" applyAlignment="1">
      <alignment horizontal="center" wrapText="1"/>
    </xf>
    <xf numFmtId="0" fontId="30" fillId="0" borderId="30" xfId="0" applyFont="1" applyBorder="1" applyAlignment="1">
      <alignment horizontal="center" wrapText="1"/>
    </xf>
    <xf numFmtId="0" fontId="30" fillId="0" borderId="31" xfId="0" applyFont="1" applyBorder="1" applyAlignment="1">
      <alignment horizontal="center" wrapText="1"/>
    </xf>
    <xf numFmtId="0" fontId="30" fillId="0" borderId="32" xfId="0" applyFont="1" applyBorder="1" applyAlignment="1">
      <alignment horizontal="center" wrapText="1"/>
    </xf>
    <xf numFmtId="3" fontId="30" fillId="0" borderId="32" xfId="0" applyNumberFormat="1" applyFont="1" applyBorder="1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2" fillId="0" borderId="0" xfId="0" applyFont="1" applyBorder="1" applyAlignment="1">
      <alignment horizontal="center" vertical="center" wrapText="1"/>
    </xf>
    <xf numFmtId="3" fontId="32" fillId="0" borderId="0" xfId="0" applyNumberFormat="1" applyFont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3" fontId="32" fillId="0" borderId="1" xfId="0" applyNumberFormat="1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11" fontId="9" fillId="0" borderId="0" xfId="2" applyNumberFormat="1" applyFill="1" applyBorder="1"/>
    <xf numFmtId="166" fontId="32" fillId="0" borderId="0" xfId="0" applyNumberFormat="1" applyFont="1" applyBorder="1" applyAlignment="1">
      <alignment horizontal="center" vertical="center" wrapText="1"/>
    </xf>
    <xf numFmtId="165" fontId="9" fillId="5" borderId="17" xfId="2" applyNumberFormat="1" applyFont="1" applyFill="1" applyBorder="1" applyProtection="1">
      <protection locked="0"/>
    </xf>
    <xf numFmtId="177" fontId="4" fillId="0" borderId="0" xfId="1" applyNumberFormat="1" applyFont="1" applyFill="1" applyBorder="1"/>
    <xf numFmtId="177" fontId="4" fillId="0" borderId="0" xfId="1" quotePrefix="1" applyNumberFormat="1" applyFont="1" applyFill="1" applyBorder="1"/>
    <xf numFmtId="177" fontId="36" fillId="0" borderId="0" xfId="1" applyNumberFormat="1" applyFont="1" applyFill="1" applyBorder="1"/>
    <xf numFmtId="0" fontId="9" fillId="0" borderId="4" xfId="2" applyBorder="1" applyAlignment="1">
      <alignment horizontal="center"/>
    </xf>
    <xf numFmtId="0" fontId="9" fillId="0" borderId="10" xfId="2" applyBorder="1" applyAlignment="1">
      <alignment horizontal="center"/>
    </xf>
    <xf numFmtId="0" fontId="9" fillId="0" borderId="11" xfId="2" applyBorder="1" applyAlignment="1">
      <alignment horizontal="center"/>
    </xf>
    <xf numFmtId="0" fontId="9" fillId="0" borderId="6" xfId="2" applyBorder="1" applyAlignment="1">
      <alignment horizontal="center"/>
    </xf>
    <xf numFmtId="0" fontId="9" fillId="0" borderId="0" xfId="2" applyBorder="1" applyAlignment="1">
      <alignment horizontal="center"/>
    </xf>
    <xf numFmtId="0" fontId="9" fillId="0" borderId="12" xfId="2" applyBorder="1" applyAlignment="1">
      <alignment horizontal="center"/>
    </xf>
    <xf numFmtId="0" fontId="9" fillId="0" borderId="13" xfId="2" applyBorder="1" applyAlignment="1">
      <alignment horizontal="center"/>
    </xf>
    <xf numFmtId="0" fontId="9" fillId="0" borderId="1" xfId="2" applyBorder="1" applyAlignment="1">
      <alignment horizontal="center"/>
    </xf>
    <xf numFmtId="0" fontId="9" fillId="0" borderId="14" xfId="2" applyBorder="1" applyAlignment="1">
      <alignment horizontal="center"/>
    </xf>
    <xf numFmtId="3" fontId="9" fillId="0" borderId="0" xfId="2" applyNumberFormat="1" applyFont="1" applyFill="1" applyBorder="1" applyProtection="1"/>
    <xf numFmtId="166" fontId="9" fillId="0" borderId="0" xfId="2" applyNumberFormat="1" applyFont="1" applyFill="1" applyBorder="1" applyProtection="1"/>
    <xf numFmtId="0" fontId="9" fillId="0" borderId="12" xfId="2" applyFont="1" applyBorder="1" applyAlignment="1" applyProtection="1">
      <alignment horizontal="center"/>
    </xf>
    <xf numFmtId="1" fontId="9" fillId="0" borderId="0" xfId="2" applyNumberFormat="1" applyBorder="1"/>
    <xf numFmtId="0" fontId="9" fillId="0" borderId="0" xfId="2" applyBorder="1" applyAlignment="1">
      <alignment horizontal="right"/>
    </xf>
    <xf numFmtId="0" fontId="9" fillId="4" borderId="10" xfId="2" applyFont="1" applyFill="1" applyBorder="1" applyAlignment="1" applyProtection="1">
      <alignment horizontal="center"/>
      <protection locked="0"/>
    </xf>
    <xf numFmtId="167" fontId="9" fillId="0" borderId="10" xfId="2" applyNumberFormat="1" applyFont="1" applyFill="1" applyBorder="1" applyAlignment="1" applyProtection="1">
      <alignment horizontal="center"/>
    </xf>
    <xf numFmtId="165" fontId="9" fillId="0" borderId="10" xfId="2" applyNumberFormat="1" applyFont="1" applyBorder="1" applyAlignment="1" applyProtection="1">
      <alignment horizontal="center"/>
    </xf>
    <xf numFmtId="165" fontId="9" fillId="0" borderId="10" xfId="2" applyNumberFormat="1" applyFont="1" applyFill="1" applyBorder="1" applyAlignment="1" applyProtection="1">
      <alignment horizontal="center"/>
    </xf>
    <xf numFmtId="175" fontId="9" fillId="0" borderId="11" xfId="2" applyNumberFormat="1" applyBorder="1" applyAlignment="1" applyProtection="1">
      <alignment horizontal="center"/>
    </xf>
    <xf numFmtId="0" fontId="9" fillId="4" borderId="0" xfId="2" applyFont="1" applyFill="1" applyBorder="1" applyAlignment="1" applyProtection="1">
      <alignment horizontal="center"/>
      <protection locked="0"/>
    </xf>
    <xf numFmtId="167" fontId="9" fillId="0" borderId="0" xfId="2" applyNumberFormat="1" applyFont="1" applyFill="1" applyBorder="1" applyAlignment="1" applyProtection="1">
      <alignment horizontal="center"/>
    </xf>
    <xf numFmtId="165" fontId="9" fillId="0" borderId="0" xfId="2" applyNumberFormat="1" applyFont="1" applyBorder="1" applyAlignment="1" applyProtection="1">
      <alignment horizontal="center"/>
    </xf>
    <xf numFmtId="165" fontId="9" fillId="0" borderId="0" xfId="2" applyNumberFormat="1" applyFont="1" applyFill="1" applyBorder="1" applyAlignment="1" applyProtection="1">
      <alignment horizontal="center"/>
    </xf>
    <xf numFmtId="175" fontId="9" fillId="0" borderId="12" xfId="2" applyNumberFormat="1" applyBorder="1" applyAlignment="1" applyProtection="1">
      <alignment horizontal="center"/>
    </xf>
    <xf numFmtId="166" fontId="9" fillId="0" borderId="0" xfId="2" applyNumberFormat="1" applyFont="1" applyBorder="1" applyAlignment="1" applyProtection="1">
      <alignment horizontal="center"/>
    </xf>
    <xf numFmtId="0" fontId="9" fillId="4" borderId="1" xfId="2" applyFont="1" applyFill="1" applyBorder="1" applyAlignment="1" applyProtection="1">
      <alignment horizontal="center"/>
      <protection locked="0"/>
    </xf>
    <xf numFmtId="167" fontId="9" fillId="0" borderId="1" xfId="2" applyNumberFormat="1" applyFont="1" applyFill="1" applyBorder="1" applyAlignment="1" applyProtection="1">
      <alignment horizontal="center"/>
    </xf>
    <xf numFmtId="165" fontId="9" fillId="0" borderId="1" xfId="2" applyNumberFormat="1" applyFont="1" applyBorder="1" applyAlignment="1" applyProtection="1">
      <alignment horizontal="center"/>
    </xf>
    <xf numFmtId="165" fontId="9" fillId="0" borderId="1" xfId="2" applyNumberFormat="1" applyFont="1" applyFill="1" applyBorder="1" applyAlignment="1" applyProtection="1">
      <alignment horizontal="center"/>
    </xf>
    <xf numFmtId="175" fontId="9" fillId="0" borderId="14" xfId="2" applyNumberFormat="1" applyBorder="1" applyAlignment="1" applyProtection="1">
      <alignment horizontal="center"/>
    </xf>
    <xf numFmtId="174" fontId="9" fillId="0" borderId="0" xfId="2" applyNumberFormat="1" applyFont="1" applyFill="1" applyBorder="1" applyAlignment="1" applyProtection="1">
      <alignment horizontal="center"/>
    </xf>
    <xf numFmtId="0" fontId="9" fillId="0" borderId="3" xfId="2" applyFill="1" applyBorder="1"/>
    <xf numFmtId="0" fontId="0" fillId="0" borderId="4" xfId="0" applyBorder="1" applyAlignment="1" applyProtection="1">
      <alignment horizontal="left"/>
    </xf>
    <xf numFmtId="0" fontId="0" fillId="0" borderId="10" xfId="0" applyBorder="1" applyProtection="1"/>
    <xf numFmtId="0" fontId="0" fillId="0" borderId="11" xfId="0" applyBorder="1" applyProtection="1"/>
    <xf numFmtId="0" fontId="0" fillId="0" borderId="6" xfId="0" applyBorder="1" applyProtection="1"/>
    <xf numFmtId="0" fontId="0" fillId="0" borderId="0" xfId="0" applyBorder="1" applyProtection="1"/>
    <xf numFmtId="0" fontId="24" fillId="0" borderId="12" xfId="0" applyFont="1" applyBorder="1" applyProtection="1"/>
    <xf numFmtId="2" fontId="0" fillId="0" borderId="0" xfId="0" applyNumberFormat="1" applyBorder="1" applyProtection="1"/>
    <xf numFmtId="0" fontId="0" fillId="0" borderId="12" xfId="0" applyBorder="1" applyProtection="1">
      <protection locked="0"/>
    </xf>
    <xf numFmtId="0" fontId="0" fillId="0" borderId="12" xfId="0" applyBorder="1" applyAlignment="1" applyProtection="1">
      <alignment horizontal="left"/>
    </xf>
    <xf numFmtId="0" fontId="0" fillId="0" borderId="12" xfId="0" applyBorder="1" applyProtection="1"/>
    <xf numFmtId="0" fontId="0" fillId="0" borderId="13" xfId="0" applyBorder="1" applyAlignment="1" applyProtection="1">
      <alignment horizontal="left"/>
    </xf>
    <xf numFmtId="0" fontId="0" fillId="0" borderId="1" xfId="0" applyBorder="1" applyProtection="1"/>
    <xf numFmtId="177" fontId="0" fillId="0" borderId="14" xfId="0" applyNumberFormat="1" applyBorder="1" applyProtection="1"/>
    <xf numFmtId="2" fontId="32" fillId="0" borderId="0" xfId="2" applyNumberFormat="1" applyFont="1"/>
    <xf numFmtId="0" fontId="12" fillId="0" borderId="0" xfId="2" applyFont="1" applyBorder="1" applyProtection="1"/>
    <xf numFmtId="0" fontId="12" fillId="0" borderId="12" xfId="2" applyFont="1" applyBorder="1" applyProtection="1"/>
    <xf numFmtId="0" fontId="12" fillId="0" borderId="4" xfId="2" applyFont="1" applyBorder="1" applyAlignment="1" applyProtection="1">
      <alignment horizontal="center"/>
    </xf>
    <xf numFmtId="0" fontId="12" fillId="0" borderId="13" xfId="2" applyFont="1" applyBorder="1" applyAlignment="1" applyProtection="1">
      <alignment horizontal="center"/>
    </xf>
    <xf numFmtId="0" fontId="9" fillId="0" borderId="6" xfId="2" applyBorder="1" applyAlignment="1" applyProtection="1">
      <alignment horizontal="center"/>
    </xf>
    <xf numFmtId="0" fontId="12" fillId="0" borderId="15" xfId="2" applyFont="1" applyBorder="1" applyAlignment="1" applyProtection="1">
      <alignment horizontal="center"/>
    </xf>
    <xf numFmtId="0" fontId="12" fillId="0" borderId="10" xfId="2" applyFont="1" applyBorder="1" applyAlignment="1" applyProtection="1">
      <alignment horizontal="center"/>
    </xf>
    <xf numFmtId="0" fontId="12" fillId="0" borderId="17" xfId="2" applyFont="1" applyBorder="1" applyAlignment="1" applyProtection="1">
      <alignment horizontal="center"/>
    </xf>
    <xf numFmtId="0" fontId="12" fillId="0" borderId="1" xfId="2" applyFont="1" applyBorder="1" applyAlignment="1" applyProtection="1">
      <alignment horizontal="center"/>
    </xf>
    <xf numFmtId="0" fontId="9" fillId="0" borderId="16" xfId="2" applyBorder="1" applyAlignment="1" applyProtection="1">
      <alignment horizontal="center"/>
    </xf>
    <xf numFmtId="0" fontId="9" fillId="0" borderId="0" xfId="2" applyBorder="1" applyAlignment="1" applyProtection="1">
      <alignment horizontal="center"/>
    </xf>
    <xf numFmtId="0" fontId="9" fillId="0" borderId="16" xfId="2" applyBorder="1" applyAlignment="1">
      <alignment horizontal="center"/>
    </xf>
    <xf numFmtId="2" fontId="9" fillId="0" borderId="16" xfId="2" applyNumberFormat="1" applyBorder="1" applyAlignment="1" applyProtection="1">
      <alignment horizontal="center"/>
    </xf>
    <xf numFmtId="0" fontId="9" fillId="0" borderId="17" xfId="2" applyBorder="1" applyAlignment="1">
      <alignment horizontal="center"/>
    </xf>
    <xf numFmtId="0" fontId="0" fillId="0" borderId="0" xfId="0" applyBorder="1" applyAlignment="1">
      <alignment horizontal="left"/>
    </xf>
    <xf numFmtId="0" fontId="9" fillId="0" borderId="34" xfId="1" applyFont="1" applyBorder="1" applyAlignment="1" applyProtection="1">
      <alignment horizontal="center" vertical="center"/>
    </xf>
    <xf numFmtId="37" fontId="11" fillId="0" borderId="34" xfId="1" applyNumberFormat="1" applyFont="1" applyBorder="1" applyAlignment="1" applyProtection="1">
      <alignment vertical="center"/>
      <protection locked="0"/>
    </xf>
    <xf numFmtId="37" fontId="9" fillId="0" borderId="34" xfId="1" applyNumberFormat="1" applyFont="1" applyBorder="1" applyAlignment="1" applyProtection="1">
      <alignment vertical="center"/>
    </xf>
    <xf numFmtId="170" fontId="9" fillId="0" borderId="34" xfId="1" applyNumberFormat="1" applyFont="1" applyBorder="1" applyAlignment="1" applyProtection="1">
      <alignment vertical="center"/>
    </xf>
    <xf numFmtId="37" fontId="9" fillId="0" borderId="15" xfId="1" applyNumberFormat="1" applyFont="1" applyFill="1" applyBorder="1" applyAlignment="1">
      <alignment vertical="center"/>
    </xf>
    <xf numFmtId="0" fontId="9" fillId="0" borderId="16" xfId="1" applyFont="1" applyFill="1" applyBorder="1"/>
    <xf numFmtId="168" fontId="9" fillId="0" borderId="16" xfId="1" applyNumberFormat="1" applyFont="1" applyFill="1" applyBorder="1" applyAlignment="1" applyProtection="1">
      <alignment vertical="center"/>
    </xf>
    <xf numFmtId="168" fontId="9" fillId="0" borderId="0" xfId="1" applyNumberFormat="1" applyFont="1" applyBorder="1" applyAlignment="1" applyProtection="1">
      <alignment vertical="center"/>
    </xf>
    <xf numFmtId="0" fontId="9" fillId="0" borderId="16" xfId="1" applyFont="1" applyFill="1" applyBorder="1" applyAlignment="1" applyProtection="1">
      <alignment vertical="center"/>
    </xf>
    <xf numFmtId="171" fontId="9" fillId="0" borderId="35" xfId="1" applyNumberFormat="1" applyFont="1" applyBorder="1" applyAlignment="1" applyProtection="1">
      <alignment vertical="center"/>
    </xf>
    <xf numFmtId="169" fontId="9" fillId="0" borderId="16" xfId="1" applyNumberFormat="1" applyFont="1" applyFill="1" applyBorder="1" applyAlignment="1" applyProtection="1">
      <alignment vertical="center"/>
    </xf>
    <xf numFmtId="169" fontId="9" fillId="0" borderId="0" xfId="1" applyNumberFormat="1" applyFont="1" applyBorder="1" applyAlignment="1" applyProtection="1">
      <alignment vertical="center"/>
    </xf>
    <xf numFmtId="169" fontId="9" fillId="0" borderId="16" xfId="1" applyNumberFormat="1" applyFont="1" applyFill="1" applyBorder="1" applyAlignment="1">
      <alignment horizontal="right" vertical="center"/>
    </xf>
    <xf numFmtId="169" fontId="9" fillId="0" borderId="0" xfId="1" applyNumberFormat="1" applyFont="1" applyBorder="1" applyAlignment="1">
      <alignment horizontal="right" vertical="center"/>
    </xf>
    <xf numFmtId="169" fontId="9" fillId="0" borderId="17" xfId="1" applyNumberFormat="1" applyFont="1" applyFill="1" applyBorder="1" applyAlignment="1">
      <alignment horizontal="right" vertical="center"/>
    </xf>
    <xf numFmtId="1" fontId="0" fillId="7" borderId="4" xfId="0" applyNumberFormat="1" applyFont="1" applyFill="1" applyBorder="1" applyAlignment="1"/>
    <xf numFmtId="0" fontId="0" fillId="0" borderId="11" xfId="0" applyBorder="1"/>
    <xf numFmtId="1" fontId="0" fillId="7" borderId="6" xfId="0" applyNumberFormat="1" applyFont="1" applyFill="1" applyBorder="1" applyAlignment="1"/>
    <xf numFmtId="0" fontId="0" fillId="0" borderId="12" xfId="0" applyBorder="1"/>
    <xf numFmtId="1" fontId="0" fillId="0" borderId="12" xfId="0" applyNumberFormat="1" applyBorder="1"/>
    <xf numFmtId="1" fontId="0" fillId="7" borderId="13" xfId="0" applyNumberFormat="1" applyFont="1" applyFill="1" applyBorder="1" applyAlignment="1"/>
    <xf numFmtId="0" fontId="0" fillId="0" borderId="14" xfId="0" applyBorder="1"/>
    <xf numFmtId="165" fontId="4" fillId="0" borderId="4" xfId="0" applyNumberFormat="1" applyFont="1" applyFill="1" applyBorder="1" applyProtection="1"/>
    <xf numFmtId="165" fontId="4" fillId="0" borderId="11" xfId="0" applyNumberFormat="1" applyFont="1" applyFill="1" applyBorder="1" applyProtection="1"/>
    <xf numFmtId="165" fontId="4" fillId="0" borderId="6" xfId="0" applyNumberFormat="1" applyFont="1" applyFill="1" applyBorder="1" applyProtection="1"/>
    <xf numFmtId="165" fontId="4" fillId="0" borderId="12" xfId="0" applyNumberFormat="1" applyFont="1" applyFill="1" applyBorder="1" applyProtection="1"/>
    <xf numFmtId="0" fontId="4" fillId="0" borderId="6" xfId="0" applyFont="1" applyFill="1" applyBorder="1"/>
    <xf numFmtId="0" fontId="4" fillId="0" borderId="12" xfId="0" applyFont="1" applyFill="1" applyBorder="1"/>
    <xf numFmtId="0" fontId="4" fillId="7" borderId="6" xfId="0" applyFont="1" applyFill="1" applyBorder="1"/>
    <xf numFmtId="0" fontId="0" fillId="0" borderId="6" xfId="0" applyFont="1" applyFill="1" applyBorder="1"/>
    <xf numFmtId="0" fontId="0" fillId="0" borderId="12" xfId="0" applyFont="1" applyFill="1" applyBorder="1"/>
    <xf numFmtId="165" fontId="0" fillId="0" borderId="13" xfId="0" applyNumberFormat="1" applyFont="1" applyBorder="1"/>
    <xf numFmtId="1" fontId="38" fillId="0" borderId="0" xfId="2" applyNumberFormat="1" applyFont="1" applyBorder="1" applyProtection="1"/>
    <xf numFmtId="165" fontId="37" fillId="0" borderId="14" xfId="0" applyNumberFormat="1" applyFont="1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12" fillId="0" borderId="10" xfId="2" applyFont="1" applyBorder="1" applyAlignment="1">
      <alignment horizontal="center"/>
    </xf>
    <xf numFmtId="0" fontId="12" fillId="0" borderId="1" xfId="2" applyFont="1" applyBorder="1" applyAlignment="1">
      <alignment horizontal="center"/>
    </xf>
    <xf numFmtId="0" fontId="7" fillId="0" borderId="0" xfId="0" applyFont="1" applyFill="1" applyBorder="1"/>
    <xf numFmtId="0" fontId="7" fillId="0" borderId="0" xfId="0" applyFont="1" applyBorder="1" applyAlignment="1">
      <alignment horizontal="center"/>
    </xf>
    <xf numFmtId="167" fontId="7" fillId="0" borderId="0" xfId="0" applyNumberFormat="1" applyFont="1" applyBorder="1"/>
    <xf numFmtId="166" fontId="7" fillId="0" borderId="0" xfId="0" applyNumberFormat="1" applyFont="1" applyBorder="1"/>
    <xf numFmtId="0" fontId="4" fillId="0" borderId="1" xfId="1" applyFont="1" applyBorder="1"/>
    <xf numFmtId="172" fontId="36" fillId="0" borderId="0" xfId="1" applyNumberFormat="1" applyFont="1"/>
    <xf numFmtId="0" fontId="4" fillId="0" borderId="0" xfId="1" applyFont="1" applyFill="1"/>
    <xf numFmtId="165" fontId="7" fillId="0" borderId="0" xfId="0" applyNumberFormat="1" applyFont="1"/>
    <xf numFmtId="1" fontId="7" fillId="0" borderId="0" xfId="0" applyNumberFormat="1" applyFont="1"/>
    <xf numFmtId="0" fontId="36" fillId="0" borderId="1" xfId="1" applyFont="1" applyBorder="1"/>
    <xf numFmtId="11" fontId="0" fillId="0" borderId="0" xfId="0" applyNumberFormat="1"/>
    <xf numFmtId="1" fontId="0" fillId="0" borderId="0" xfId="0" applyNumberFormat="1"/>
    <xf numFmtId="0" fontId="0" fillId="0" borderId="0" xfId="0" quotePrefix="1"/>
    <xf numFmtId="0" fontId="36" fillId="0" borderId="0" xfId="1" applyFont="1"/>
    <xf numFmtId="0" fontId="36" fillId="6" borderId="0" xfId="1" applyFont="1" applyFill="1"/>
    <xf numFmtId="0" fontId="4" fillId="6" borderId="0" xfId="1" applyFont="1" applyFill="1"/>
    <xf numFmtId="166" fontId="0" fillId="0" borderId="4" xfId="0" applyNumberFormat="1" applyBorder="1"/>
    <xf numFmtId="166" fontId="0" fillId="0" borderId="6" xfId="0" applyNumberFormat="1" applyBorder="1"/>
    <xf numFmtId="166" fontId="0" fillId="0" borderId="13" xfId="0" applyNumberFormat="1" applyFill="1" applyBorder="1"/>
    <xf numFmtId="2" fontId="7" fillId="0" borderId="1" xfId="0" applyNumberFormat="1" applyFont="1" applyBorder="1"/>
    <xf numFmtId="0" fontId="3" fillId="8" borderId="36" xfId="0" applyFont="1" applyFill="1" applyBorder="1" applyAlignment="1" applyProtection="1">
      <alignment horizontal="center" vertical="center"/>
    </xf>
    <xf numFmtId="168" fontId="12" fillId="0" borderId="36" xfId="0" applyNumberFormat="1" applyFont="1" applyBorder="1" applyAlignment="1" applyProtection="1">
      <alignment vertical="center"/>
    </xf>
    <xf numFmtId="0" fontId="3" fillId="8" borderId="37" xfId="0" applyFont="1" applyFill="1" applyBorder="1" applyAlignment="1" applyProtection="1">
      <alignment vertical="center"/>
    </xf>
    <xf numFmtId="0" fontId="3" fillId="8" borderId="38" xfId="0" applyFont="1" applyFill="1" applyBorder="1" applyAlignment="1" applyProtection="1">
      <alignment vertical="center"/>
    </xf>
    <xf numFmtId="169" fontId="12" fillId="0" borderId="36" xfId="0" applyNumberFormat="1" applyFont="1" applyBorder="1" applyAlignment="1" applyProtection="1">
      <alignment vertical="center"/>
    </xf>
    <xf numFmtId="0" fontId="39" fillId="8" borderId="36" xfId="0" applyFont="1" applyFill="1" applyBorder="1" applyAlignment="1" applyProtection="1">
      <alignment horizontal="center" vertical="center"/>
    </xf>
    <xf numFmtId="0" fontId="3" fillId="0" borderId="36" xfId="0" applyFont="1" applyBorder="1" applyAlignment="1">
      <alignment horizontal="center" vertical="center"/>
    </xf>
    <xf numFmtId="169" fontId="12" fillId="0" borderId="36" xfId="0" applyNumberFormat="1" applyFont="1" applyBorder="1" applyAlignment="1">
      <alignment horizontal="right" vertical="center"/>
    </xf>
    <xf numFmtId="0" fontId="9" fillId="0" borderId="39" xfId="0" applyFont="1" applyBorder="1" applyAlignment="1">
      <alignment horizontal="center" vertical="center"/>
    </xf>
    <xf numFmtId="0" fontId="3" fillId="8" borderId="39" xfId="0" applyFont="1" applyFill="1" applyBorder="1" applyAlignment="1" applyProtection="1">
      <alignment horizontal="centerContinuous" vertical="center"/>
    </xf>
    <xf numFmtId="0" fontId="9" fillId="0" borderId="40" xfId="0" applyFont="1" applyBorder="1" applyAlignment="1">
      <alignment horizontal="center" vertical="center"/>
    </xf>
    <xf numFmtId="0" fontId="3" fillId="8" borderId="40" xfId="0" applyNumberFormat="1" applyFont="1" applyFill="1" applyBorder="1" applyAlignment="1" applyProtection="1">
      <alignment horizontal="center" vertical="center"/>
    </xf>
    <xf numFmtId="172" fontId="7" fillId="0" borderId="10" xfId="0" applyNumberFormat="1" applyFont="1" applyBorder="1"/>
    <xf numFmtId="0" fontId="10" fillId="0" borderId="6" xfId="2" applyFont="1" applyBorder="1" applyAlignment="1" applyProtection="1">
      <alignment horizontal="center"/>
    </xf>
    <xf numFmtId="0" fontId="10" fillId="0" borderId="0" xfId="2" applyFont="1" applyBorder="1" applyAlignment="1" applyProtection="1">
      <alignment horizontal="center"/>
    </xf>
    <xf numFmtId="0" fontId="10" fillId="0" borderId="12" xfId="2" applyFont="1" applyBorder="1" applyAlignment="1" applyProtection="1">
      <alignment horizontal="center"/>
    </xf>
    <xf numFmtId="0" fontId="29" fillId="0" borderId="13" xfId="2" applyFont="1" applyBorder="1" applyAlignment="1" applyProtection="1">
      <alignment horizontal="center"/>
    </xf>
    <xf numFmtId="0" fontId="29" fillId="0" borderId="1" xfId="2" applyFont="1" applyBorder="1" applyAlignment="1" applyProtection="1">
      <alignment horizontal="center"/>
    </xf>
    <xf numFmtId="0" fontId="29" fillId="0" borderId="14" xfId="2" applyFont="1" applyBorder="1" applyAlignment="1" applyProtection="1">
      <alignment horizontal="center"/>
    </xf>
    <xf numFmtId="0" fontId="10" fillId="6" borderId="6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0" fillId="0" borderId="4" xfId="2" applyFont="1" applyBorder="1" applyAlignment="1" applyProtection="1">
      <alignment horizontal="center"/>
    </xf>
    <xf numFmtId="0" fontId="10" fillId="0" borderId="10" xfId="2" applyFont="1" applyBorder="1" applyAlignment="1" applyProtection="1">
      <alignment horizontal="center"/>
    </xf>
    <xf numFmtId="0" fontId="10" fillId="0" borderId="11" xfId="2" applyFont="1" applyBorder="1" applyAlignment="1" applyProtection="1">
      <alignment horizontal="center"/>
    </xf>
    <xf numFmtId="37" fontId="9" fillId="0" borderId="0" xfId="1" applyNumberFormat="1" applyFont="1" applyAlignment="1">
      <alignment horizontal="right" vertical="center"/>
    </xf>
    <xf numFmtId="37" fontId="9" fillId="0" borderId="0" xfId="1" applyNumberFormat="1" applyFont="1" applyAlignment="1">
      <alignment horizontal="center"/>
    </xf>
    <xf numFmtId="37" fontId="9" fillId="0" borderId="0" xfId="1" applyNumberFormat="1" applyFont="1" applyAlignment="1">
      <alignment horizontal="left" vertical="center"/>
    </xf>
    <xf numFmtId="37" fontId="9" fillId="0" borderId="0" xfId="1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31" fillId="0" borderId="22" xfId="3" applyFont="1" applyBorder="1" applyAlignment="1" applyProtection="1">
      <alignment horizontal="center" vertical="center" wrapText="1"/>
    </xf>
    <xf numFmtId="0" fontId="31" fillId="0" borderId="23" xfId="3" applyFont="1" applyBorder="1" applyAlignment="1" applyProtection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5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40" fillId="0" borderId="19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0" fillId="0" borderId="20" xfId="0" applyFont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 wrapText="1"/>
    </xf>
  </cellXfs>
  <cellStyles count="4">
    <cellStyle name="Hyperlink" xfId="3" builtinId="8"/>
    <cellStyle name="Standaard" xfId="0" builtinId="0"/>
    <cellStyle name="Standaard 2" xfId="1"/>
    <cellStyle name="Standaard 3" xfId="2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1"/>
      </font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wmf"/><Relationship Id="rId2" Type="http://schemas.openxmlformats.org/officeDocument/2006/relationships/image" Target="../media/image5.wmf"/><Relationship Id="rId1" Type="http://schemas.openxmlformats.org/officeDocument/2006/relationships/image" Target="../media/image4.wmf"/><Relationship Id="rId4" Type="http://schemas.openxmlformats.org/officeDocument/2006/relationships/image" Target="../media/image7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0</xdr:rowOff>
    </xdr:from>
    <xdr:to>
      <xdr:col>3</xdr:col>
      <xdr:colOff>419099</xdr:colOff>
      <xdr:row>3</xdr:row>
      <xdr:rowOff>154739</xdr:rowOff>
    </xdr:to>
    <xdr:pic>
      <xdr:nvPicPr>
        <xdr:cNvPr id="8" name="Picture 6" descr="C:\Users\ferdyo\Pictures\start_logo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49" y="0"/>
          <a:ext cx="2409825" cy="869114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161925</xdr:colOff>
      <xdr:row>6</xdr:row>
      <xdr:rowOff>66675</xdr:rowOff>
    </xdr:from>
    <xdr:to>
      <xdr:col>11</xdr:col>
      <xdr:colOff>228865</xdr:colOff>
      <xdr:row>24</xdr:row>
      <xdr:rowOff>67154</xdr:rowOff>
    </xdr:to>
    <xdr:pic>
      <xdr:nvPicPr>
        <xdr:cNvPr id="400" name="Afbeelding 399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95875" y="1095375"/>
          <a:ext cx="1895740" cy="34294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609600</xdr:colOff>
      <xdr:row>6</xdr:row>
      <xdr:rowOff>152400</xdr:rowOff>
    </xdr:from>
    <xdr:to>
      <xdr:col>10</xdr:col>
      <xdr:colOff>828675</xdr:colOff>
      <xdr:row>23</xdr:row>
      <xdr:rowOff>57150</xdr:rowOff>
    </xdr:to>
    <xdr:pic>
      <xdr:nvPicPr>
        <xdr:cNvPr id="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76950" y="1209675"/>
          <a:ext cx="1685925" cy="3305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142875</xdr:colOff>
      <xdr:row>29</xdr:row>
      <xdr:rowOff>47625</xdr:rowOff>
    </xdr:from>
    <xdr:to>
      <xdr:col>10</xdr:col>
      <xdr:colOff>533400</xdr:colOff>
      <xdr:row>37</xdr:row>
      <xdr:rowOff>180975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238875" y="5705475"/>
          <a:ext cx="1228725" cy="1733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9</xdr:col>
      <xdr:colOff>123825</xdr:colOff>
      <xdr:row>13</xdr:row>
      <xdr:rowOff>28575</xdr:rowOff>
    </xdr:from>
    <xdr:to>
      <xdr:col>9</xdr:col>
      <xdr:colOff>523875</xdr:colOff>
      <xdr:row>13</xdr:row>
      <xdr:rowOff>85725</xdr:rowOff>
    </xdr:to>
    <xdr:sp macro="" textlink="">
      <xdr:nvSpPr>
        <xdr:cNvPr id="4" name="Line 8"/>
        <xdr:cNvSpPr>
          <a:spLocks noChangeShapeType="1"/>
        </xdr:cNvSpPr>
      </xdr:nvSpPr>
      <xdr:spPr bwMode="auto">
        <a:xfrm flipH="1">
          <a:off x="6219825" y="2486025"/>
          <a:ext cx="400050" cy="571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stealth" w="med" len="sm"/>
        </a:ln>
      </xdr:spPr>
    </xdr:sp>
    <xdr:clientData/>
  </xdr:twoCellAnchor>
  <xdr:twoCellAnchor>
    <xdr:from>
      <xdr:col>9</xdr:col>
      <xdr:colOff>114300</xdr:colOff>
      <xdr:row>11</xdr:row>
      <xdr:rowOff>114300</xdr:rowOff>
    </xdr:from>
    <xdr:to>
      <xdr:col>9</xdr:col>
      <xdr:colOff>561975</xdr:colOff>
      <xdr:row>12</xdr:row>
      <xdr:rowOff>190500</xdr:rowOff>
    </xdr:to>
    <xdr:sp macro="" textlink="">
      <xdr:nvSpPr>
        <xdr:cNvPr id="5" name="Line 9"/>
        <xdr:cNvSpPr>
          <a:spLocks noChangeShapeType="1"/>
        </xdr:cNvSpPr>
      </xdr:nvSpPr>
      <xdr:spPr bwMode="auto">
        <a:xfrm flipH="1">
          <a:off x="6210300" y="2171700"/>
          <a:ext cx="447675" cy="2762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stealth" w="med" len="sm"/>
        </a:ln>
      </xdr:spPr>
    </xdr:sp>
    <xdr:clientData/>
  </xdr:twoCellAnchor>
  <xdr:twoCellAnchor editAs="oneCell">
    <xdr:from>
      <xdr:col>5</xdr:col>
      <xdr:colOff>285750</xdr:colOff>
      <xdr:row>5</xdr:row>
      <xdr:rowOff>9525</xdr:rowOff>
    </xdr:from>
    <xdr:to>
      <xdr:col>7</xdr:col>
      <xdr:colOff>438150</xdr:colOff>
      <xdr:row>38</xdr:row>
      <xdr:rowOff>28575</xdr:rowOff>
    </xdr:to>
    <xdr:pic>
      <xdr:nvPicPr>
        <xdr:cNvPr id="6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990850" y="866775"/>
          <a:ext cx="2009775" cy="6619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200025</xdr:colOff>
      <xdr:row>41</xdr:row>
      <xdr:rowOff>19050</xdr:rowOff>
    </xdr:from>
    <xdr:to>
      <xdr:col>7</xdr:col>
      <xdr:colOff>19050</xdr:colOff>
      <xdr:row>49</xdr:row>
      <xdr:rowOff>0</xdr:rowOff>
    </xdr:to>
    <xdr:pic>
      <xdr:nvPicPr>
        <xdr:cNvPr id="7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810000" y="8077200"/>
          <a:ext cx="771525" cy="1581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ngineeringtoolbox.com/dynamic-absolute-kinematic-viscosity-d_412.html" TargetMode="External"/><Relationship Id="rId2" Type="http://schemas.openxmlformats.org/officeDocument/2006/relationships/hyperlink" Target="http://www.engineeringtoolbox.com/density-specific-weight-gravity-d_290.html" TargetMode="External"/><Relationship Id="rId1" Type="http://schemas.openxmlformats.org/officeDocument/2006/relationships/hyperlink" Target="http://www.engineeringtoolbox.com/temperature-d_29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>
    <pageSetUpPr fitToPage="1"/>
  </sheetPr>
  <dimension ref="A1:AF74"/>
  <sheetViews>
    <sheetView showZeros="0" tabSelected="1" workbookViewId="0">
      <selection activeCell="C10" sqref="C10"/>
    </sheetView>
  </sheetViews>
  <sheetFormatPr defaultRowHeight="12.75"/>
  <cols>
    <col min="1" max="1" width="9.140625" style="83"/>
    <col min="2" max="2" width="12.42578125" style="83" bestFit="1" customWidth="1"/>
    <col min="3" max="3" width="9.140625" style="83"/>
    <col min="4" max="4" width="9.42578125" style="83" bestFit="1" customWidth="1"/>
    <col min="5" max="7" width="9.140625" style="83"/>
    <col min="8" max="9" width="9.140625" style="83" customWidth="1"/>
    <col min="10" max="10" width="8.42578125" style="83" customWidth="1"/>
    <col min="11" max="11" width="7.28515625" style="83" customWidth="1"/>
    <col min="12" max="13" width="9.140625" style="83"/>
    <col min="14" max="14" width="9.7109375" style="83" bestFit="1" customWidth="1"/>
    <col min="15" max="15" width="10.7109375" style="83" bestFit="1" customWidth="1"/>
    <col min="16" max="16" width="11.5703125" style="83" bestFit="1" customWidth="1"/>
    <col min="17" max="17" width="11.85546875" style="83" customWidth="1"/>
    <col min="18" max="18" width="12.7109375" style="83" bestFit="1" customWidth="1"/>
    <col min="19" max="259" width="9.140625" style="83"/>
    <col min="260" max="260" width="9.42578125" style="83" bestFit="1" customWidth="1"/>
    <col min="261" max="263" width="9.140625" style="83"/>
    <col min="264" max="264" width="7.140625" style="83" customWidth="1"/>
    <col min="265" max="265" width="7.42578125" style="83" customWidth="1"/>
    <col min="266" max="266" width="7.5703125" style="83" customWidth="1"/>
    <col min="267" max="267" width="7.28515625" style="83" customWidth="1"/>
    <col min="268" max="515" width="9.140625" style="83"/>
    <col min="516" max="516" width="9.42578125" style="83" bestFit="1" customWidth="1"/>
    <col min="517" max="519" width="9.140625" style="83"/>
    <col min="520" max="520" width="7.140625" style="83" customWidth="1"/>
    <col min="521" max="521" width="7.42578125" style="83" customWidth="1"/>
    <col min="522" max="522" width="7.5703125" style="83" customWidth="1"/>
    <col min="523" max="523" width="7.28515625" style="83" customWidth="1"/>
    <col min="524" max="771" width="9.140625" style="83"/>
    <col min="772" max="772" width="9.42578125" style="83" bestFit="1" customWidth="1"/>
    <col min="773" max="775" width="9.140625" style="83"/>
    <col min="776" max="776" width="7.140625" style="83" customWidth="1"/>
    <col min="777" max="777" width="7.42578125" style="83" customWidth="1"/>
    <col min="778" max="778" width="7.5703125" style="83" customWidth="1"/>
    <col min="779" max="779" width="7.28515625" style="83" customWidth="1"/>
    <col min="780" max="1027" width="9.140625" style="83"/>
    <col min="1028" max="1028" width="9.42578125" style="83" bestFit="1" customWidth="1"/>
    <col min="1029" max="1031" width="9.140625" style="83"/>
    <col min="1032" max="1032" width="7.140625" style="83" customWidth="1"/>
    <col min="1033" max="1033" width="7.42578125" style="83" customWidth="1"/>
    <col min="1034" max="1034" width="7.5703125" style="83" customWidth="1"/>
    <col min="1035" max="1035" width="7.28515625" style="83" customWidth="1"/>
    <col min="1036" max="1283" width="9.140625" style="83"/>
    <col min="1284" max="1284" width="9.42578125" style="83" bestFit="1" customWidth="1"/>
    <col min="1285" max="1287" width="9.140625" style="83"/>
    <col min="1288" max="1288" width="7.140625" style="83" customWidth="1"/>
    <col min="1289" max="1289" width="7.42578125" style="83" customWidth="1"/>
    <col min="1290" max="1290" width="7.5703125" style="83" customWidth="1"/>
    <col min="1291" max="1291" width="7.28515625" style="83" customWidth="1"/>
    <col min="1292" max="1539" width="9.140625" style="83"/>
    <col min="1540" max="1540" width="9.42578125" style="83" bestFit="1" customWidth="1"/>
    <col min="1541" max="1543" width="9.140625" style="83"/>
    <col min="1544" max="1544" width="7.140625" style="83" customWidth="1"/>
    <col min="1545" max="1545" width="7.42578125" style="83" customWidth="1"/>
    <col min="1546" max="1546" width="7.5703125" style="83" customWidth="1"/>
    <col min="1547" max="1547" width="7.28515625" style="83" customWidth="1"/>
    <col min="1548" max="1795" width="9.140625" style="83"/>
    <col min="1796" max="1796" width="9.42578125" style="83" bestFit="1" customWidth="1"/>
    <col min="1797" max="1799" width="9.140625" style="83"/>
    <col min="1800" max="1800" width="7.140625" style="83" customWidth="1"/>
    <col min="1801" max="1801" width="7.42578125" style="83" customWidth="1"/>
    <col min="1802" max="1802" width="7.5703125" style="83" customWidth="1"/>
    <col min="1803" max="1803" width="7.28515625" style="83" customWidth="1"/>
    <col min="1804" max="2051" width="9.140625" style="83"/>
    <col min="2052" max="2052" width="9.42578125" style="83" bestFit="1" customWidth="1"/>
    <col min="2053" max="2055" width="9.140625" style="83"/>
    <col min="2056" max="2056" width="7.140625" style="83" customWidth="1"/>
    <col min="2057" max="2057" width="7.42578125" style="83" customWidth="1"/>
    <col min="2058" max="2058" width="7.5703125" style="83" customWidth="1"/>
    <col min="2059" max="2059" width="7.28515625" style="83" customWidth="1"/>
    <col min="2060" max="2307" width="9.140625" style="83"/>
    <col min="2308" max="2308" width="9.42578125" style="83" bestFit="1" customWidth="1"/>
    <col min="2309" max="2311" width="9.140625" style="83"/>
    <col min="2312" max="2312" width="7.140625" style="83" customWidth="1"/>
    <col min="2313" max="2313" width="7.42578125" style="83" customWidth="1"/>
    <col min="2314" max="2314" width="7.5703125" style="83" customWidth="1"/>
    <col min="2315" max="2315" width="7.28515625" style="83" customWidth="1"/>
    <col min="2316" max="2563" width="9.140625" style="83"/>
    <col min="2564" max="2564" width="9.42578125" style="83" bestFit="1" customWidth="1"/>
    <col min="2565" max="2567" width="9.140625" style="83"/>
    <col min="2568" max="2568" width="7.140625" style="83" customWidth="1"/>
    <col min="2569" max="2569" width="7.42578125" style="83" customWidth="1"/>
    <col min="2570" max="2570" width="7.5703125" style="83" customWidth="1"/>
    <col min="2571" max="2571" width="7.28515625" style="83" customWidth="1"/>
    <col min="2572" max="2819" width="9.140625" style="83"/>
    <col min="2820" max="2820" width="9.42578125" style="83" bestFit="1" customWidth="1"/>
    <col min="2821" max="2823" width="9.140625" style="83"/>
    <col min="2824" max="2824" width="7.140625" style="83" customWidth="1"/>
    <col min="2825" max="2825" width="7.42578125" style="83" customWidth="1"/>
    <col min="2826" max="2826" width="7.5703125" style="83" customWidth="1"/>
    <col min="2827" max="2827" width="7.28515625" style="83" customWidth="1"/>
    <col min="2828" max="3075" width="9.140625" style="83"/>
    <col min="3076" max="3076" width="9.42578125" style="83" bestFit="1" customWidth="1"/>
    <col min="3077" max="3079" width="9.140625" style="83"/>
    <col min="3080" max="3080" width="7.140625" style="83" customWidth="1"/>
    <col min="3081" max="3081" width="7.42578125" style="83" customWidth="1"/>
    <col min="3082" max="3082" width="7.5703125" style="83" customWidth="1"/>
    <col min="3083" max="3083" width="7.28515625" style="83" customWidth="1"/>
    <col min="3084" max="3331" width="9.140625" style="83"/>
    <col min="3332" max="3332" width="9.42578125" style="83" bestFit="1" customWidth="1"/>
    <col min="3333" max="3335" width="9.140625" style="83"/>
    <col min="3336" max="3336" width="7.140625" style="83" customWidth="1"/>
    <col min="3337" max="3337" width="7.42578125" style="83" customWidth="1"/>
    <col min="3338" max="3338" width="7.5703125" style="83" customWidth="1"/>
    <col min="3339" max="3339" width="7.28515625" style="83" customWidth="1"/>
    <col min="3340" max="3587" width="9.140625" style="83"/>
    <col min="3588" max="3588" width="9.42578125" style="83" bestFit="1" customWidth="1"/>
    <col min="3589" max="3591" width="9.140625" style="83"/>
    <col min="3592" max="3592" width="7.140625" style="83" customWidth="1"/>
    <col min="3593" max="3593" width="7.42578125" style="83" customWidth="1"/>
    <col min="3594" max="3594" width="7.5703125" style="83" customWidth="1"/>
    <col min="3595" max="3595" width="7.28515625" style="83" customWidth="1"/>
    <col min="3596" max="3843" width="9.140625" style="83"/>
    <col min="3844" max="3844" width="9.42578125" style="83" bestFit="1" customWidth="1"/>
    <col min="3845" max="3847" width="9.140625" style="83"/>
    <col min="3848" max="3848" width="7.140625" style="83" customWidth="1"/>
    <col min="3849" max="3849" width="7.42578125" style="83" customWidth="1"/>
    <col min="3850" max="3850" width="7.5703125" style="83" customWidth="1"/>
    <col min="3851" max="3851" width="7.28515625" style="83" customWidth="1"/>
    <col min="3852" max="4099" width="9.140625" style="83"/>
    <col min="4100" max="4100" width="9.42578125" style="83" bestFit="1" customWidth="1"/>
    <col min="4101" max="4103" width="9.140625" style="83"/>
    <col min="4104" max="4104" width="7.140625" style="83" customWidth="1"/>
    <col min="4105" max="4105" width="7.42578125" style="83" customWidth="1"/>
    <col min="4106" max="4106" width="7.5703125" style="83" customWidth="1"/>
    <col min="4107" max="4107" width="7.28515625" style="83" customWidth="1"/>
    <col min="4108" max="4355" width="9.140625" style="83"/>
    <col min="4356" max="4356" width="9.42578125" style="83" bestFit="1" customWidth="1"/>
    <col min="4357" max="4359" width="9.140625" style="83"/>
    <col min="4360" max="4360" width="7.140625" style="83" customWidth="1"/>
    <col min="4361" max="4361" width="7.42578125" style="83" customWidth="1"/>
    <col min="4362" max="4362" width="7.5703125" style="83" customWidth="1"/>
    <col min="4363" max="4363" width="7.28515625" style="83" customWidth="1"/>
    <col min="4364" max="4611" width="9.140625" style="83"/>
    <col min="4612" max="4612" width="9.42578125" style="83" bestFit="1" customWidth="1"/>
    <col min="4613" max="4615" width="9.140625" style="83"/>
    <col min="4616" max="4616" width="7.140625" style="83" customWidth="1"/>
    <col min="4617" max="4617" width="7.42578125" style="83" customWidth="1"/>
    <col min="4618" max="4618" width="7.5703125" style="83" customWidth="1"/>
    <col min="4619" max="4619" width="7.28515625" style="83" customWidth="1"/>
    <col min="4620" max="4867" width="9.140625" style="83"/>
    <col min="4868" max="4868" width="9.42578125" style="83" bestFit="1" customWidth="1"/>
    <col min="4869" max="4871" width="9.140625" style="83"/>
    <col min="4872" max="4872" width="7.140625" style="83" customWidth="1"/>
    <col min="4873" max="4873" width="7.42578125" style="83" customWidth="1"/>
    <col min="4874" max="4874" width="7.5703125" style="83" customWidth="1"/>
    <col min="4875" max="4875" width="7.28515625" style="83" customWidth="1"/>
    <col min="4876" max="5123" width="9.140625" style="83"/>
    <col min="5124" max="5124" width="9.42578125" style="83" bestFit="1" customWidth="1"/>
    <col min="5125" max="5127" width="9.140625" style="83"/>
    <col min="5128" max="5128" width="7.140625" style="83" customWidth="1"/>
    <col min="5129" max="5129" width="7.42578125" style="83" customWidth="1"/>
    <col min="5130" max="5130" width="7.5703125" style="83" customWidth="1"/>
    <col min="5131" max="5131" width="7.28515625" style="83" customWidth="1"/>
    <col min="5132" max="5379" width="9.140625" style="83"/>
    <col min="5380" max="5380" width="9.42578125" style="83" bestFit="1" customWidth="1"/>
    <col min="5381" max="5383" width="9.140625" style="83"/>
    <col min="5384" max="5384" width="7.140625" style="83" customWidth="1"/>
    <col min="5385" max="5385" width="7.42578125" style="83" customWidth="1"/>
    <col min="5386" max="5386" width="7.5703125" style="83" customWidth="1"/>
    <col min="5387" max="5387" width="7.28515625" style="83" customWidth="1"/>
    <col min="5388" max="5635" width="9.140625" style="83"/>
    <col min="5636" max="5636" width="9.42578125" style="83" bestFit="1" customWidth="1"/>
    <col min="5637" max="5639" width="9.140625" style="83"/>
    <col min="5640" max="5640" width="7.140625" style="83" customWidth="1"/>
    <col min="5641" max="5641" width="7.42578125" style="83" customWidth="1"/>
    <col min="5642" max="5642" width="7.5703125" style="83" customWidth="1"/>
    <col min="5643" max="5643" width="7.28515625" style="83" customWidth="1"/>
    <col min="5644" max="5891" width="9.140625" style="83"/>
    <col min="5892" max="5892" width="9.42578125" style="83" bestFit="1" customWidth="1"/>
    <col min="5893" max="5895" width="9.140625" style="83"/>
    <col min="5896" max="5896" width="7.140625" style="83" customWidth="1"/>
    <col min="5897" max="5897" width="7.42578125" style="83" customWidth="1"/>
    <col min="5898" max="5898" width="7.5703125" style="83" customWidth="1"/>
    <col min="5899" max="5899" width="7.28515625" style="83" customWidth="1"/>
    <col min="5900" max="6147" width="9.140625" style="83"/>
    <col min="6148" max="6148" width="9.42578125" style="83" bestFit="1" customWidth="1"/>
    <col min="6149" max="6151" width="9.140625" style="83"/>
    <col min="6152" max="6152" width="7.140625" style="83" customWidth="1"/>
    <col min="6153" max="6153" width="7.42578125" style="83" customWidth="1"/>
    <col min="6154" max="6154" width="7.5703125" style="83" customWidth="1"/>
    <col min="6155" max="6155" width="7.28515625" style="83" customWidth="1"/>
    <col min="6156" max="6403" width="9.140625" style="83"/>
    <col min="6404" max="6404" width="9.42578125" style="83" bestFit="1" customWidth="1"/>
    <col min="6405" max="6407" width="9.140625" style="83"/>
    <col min="6408" max="6408" width="7.140625" style="83" customWidth="1"/>
    <col min="6409" max="6409" width="7.42578125" style="83" customWidth="1"/>
    <col min="6410" max="6410" width="7.5703125" style="83" customWidth="1"/>
    <col min="6411" max="6411" width="7.28515625" style="83" customWidth="1"/>
    <col min="6412" max="6659" width="9.140625" style="83"/>
    <col min="6660" max="6660" width="9.42578125" style="83" bestFit="1" customWidth="1"/>
    <col min="6661" max="6663" width="9.140625" style="83"/>
    <col min="6664" max="6664" width="7.140625" style="83" customWidth="1"/>
    <col min="6665" max="6665" width="7.42578125" style="83" customWidth="1"/>
    <col min="6666" max="6666" width="7.5703125" style="83" customWidth="1"/>
    <col min="6667" max="6667" width="7.28515625" style="83" customWidth="1"/>
    <col min="6668" max="6915" width="9.140625" style="83"/>
    <col min="6916" max="6916" width="9.42578125" style="83" bestFit="1" customWidth="1"/>
    <col min="6917" max="6919" width="9.140625" style="83"/>
    <col min="6920" max="6920" width="7.140625" style="83" customWidth="1"/>
    <col min="6921" max="6921" width="7.42578125" style="83" customWidth="1"/>
    <col min="6922" max="6922" width="7.5703125" style="83" customWidth="1"/>
    <col min="6923" max="6923" width="7.28515625" style="83" customWidth="1"/>
    <col min="6924" max="7171" width="9.140625" style="83"/>
    <col min="7172" max="7172" width="9.42578125" style="83" bestFit="1" customWidth="1"/>
    <col min="7173" max="7175" width="9.140625" style="83"/>
    <col min="7176" max="7176" width="7.140625" style="83" customWidth="1"/>
    <col min="7177" max="7177" width="7.42578125" style="83" customWidth="1"/>
    <col min="7178" max="7178" width="7.5703125" style="83" customWidth="1"/>
    <col min="7179" max="7179" width="7.28515625" style="83" customWidth="1"/>
    <col min="7180" max="7427" width="9.140625" style="83"/>
    <col min="7428" max="7428" width="9.42578125" style="83" bestFit="1" customWidth="1"/>
    <col min="7429" max="7431" width="9.140625" style="83"/>
    <col min="7432" max="7432" width="7.140625" style="83" customWidth="1"/>
    <col min="7433" max="7433" width="7.42578125" style="83" customWidth="1"/>
    <col min="7434" max="7434" width="7.5703125" style="83" customWidth="1"/>
    <col min="7435" max="7435" width="7.28515625" style="83" customWidth="1"/>
    <col min="7436" max="7683" width="9.140625" style="83"/>
    <col min="7684" max="7684" width="9.42578125" style="83" bestFit="1" customWidth="1"/>
    <col min="7685" max="7687" width="9.140625" style="83"/>
    <col min="7688" max="7688" width="7.140625" style="83" customWidth="1"/>
    <col min="7689" max="7689" width="7.42578125" style="83" customWidth="1"/>
    <col min="7690" max="7690" width="7.5703125" style="83" customWidth="1"/>
    <col min="7691" max="7691" width="7.28515625" style="83" customWidth="1"/>
    <col min="7692" max="7939" width="9.140625" style="83"/>
    <col min="7940" max="7940" width="9.42578125" style="83" bestFit="1" customWidth="1"/>
    <col min="7941" max="7943" width="9.140625" style="83"/>
    <col min="7944" max="7944" width="7.140625" style="83" customWidth="1"/>
    <col min="7945" max="7945" width="7.42578125" style="83" customWidth="1"/>
    <col min="7946" max="7946" width="7.5703125" style="83" customWidth="1"/>
    <col min="7947" max="7947" width="7.28515625" style="83" customWidth="1"/>
    <col min="7948" max="8195" width="9.140625" style="83"/>
    <col min="8196" max="8196" width="9.42578125" style="83" bestFit="1" customWidth="1"/>
    <col min="8197" max="8199" width="9.140625" style="83"/>
    <col min="8200" max="8200" width="7.140625" style="83" customWidth="1"/>
    <col min="8201" max="8201" width="7.42578125" style="83" customWidth="1"/>
    <col min="8202" max="8202" width="7.5703125" style="83" customWidth="1"/>
    <col min="8203" max="8203" width="7.28515625" style="83" customWidth="1"/>
    <col min="8204" max="8451" width="9.140625" style="83"/>
    <col min="8452" max="8452" width="9.42578125" style="83" bestFit="1" customWidth="1"/>
    <col min="8453" max="8455" width="9.140625" style="83"/>
    <col min="8456" max="8456" width="7.140625" style="83" customWidth="1"/>
    <col min="8457" max="8457" width="7.42578125" style="83" customWidth="1"/>
    <col min="8458" max="8458" width="7.5703125" style="83" customWidth="1"/>
    <col min="8459" max="8459" width="7.28515625" style="83" customWidth="1"/>
    <col min="8460" max="8707" width="9.140625" style="83"/>
    <col min="8708" max="8708" width="9.42578125" style="83" bestFit="1" customWidth="1"/>
    <col min="8709" max="8711" width="9.140625" style="83"/>
    <col min="8712" max="8712" width="7.140625" style="83" customWidth="1"/>
    <col min="8713" max="8713" width="7.42578125" style="83" customWidth="1"/>
    <col min="8714" max="8714" width="7.5703125" style="83" customWidth="1"/>
    <col min="8715" max="8715" width="7.28515625" style="83" customWidth="1"/>
    <col min="8716" max="8963" width="9.140625" style="83"/>
    <col min="8964" max="8964" width="9.42578125" style="83" bestFit="1" customWidth="1"/>
    <col min="8965" max="8967" width="9.140625" style="83"/>
    <col min="8968" max="8968" width="7.140625" style="83" customWidth="1"/>
    <col min="8969" max="8969" width="7.42578125" style="83" customWidth="1"/>
    <col min="8970" max="8970" width="7.5703125" style="83" customWidth="1"/>
    <col min="8971" max="8971" width="7.28515625" style="83" customWidth="1"/>
    <col min="8972" max="9219" width="9.140625" style="83"/>
    <col min="9220" max="9220" width="9.42578125" style="83" bestFit="1" customWidth="1"/>
    <col min="9221" max="9223" width="9.140625" style="83"/>
    <col min="9224" max="9224" width="7.140625" style="83" customWidth="1"/>
    <col min="9225" max="9225" width="7.42578125" style="83" customWidth="1"/>
    <col min="9226" max="9226" width="7.5703125" style="83" customWidth="1"/>
    <col min="9227" max="9227" width="7.28515625" style="83" customWidth="1"/>
    <col min="9228" max="9475" width="9.140625" style="83"/>
    <col min="9476" max="9476" width="9.42578125" style="83" bestFit="1" customWidth="1"/>
    <col min="9477" max="9479" width="9.140625" style="83"/>
    <col min="9480" max="9480" width="7.140625" style="83" customWidth="1"/>
    <col min="9481" max="9481" width="7.42578125" style="83" customWidth="1"/>
    <col min="9482" max="9482" width="7.5703125" style="83" customWidth="1"/>
    <col min="9483" max="9483" width="7.28515625" style="83" customWidth="1"/>
    <col min="9484" max="9731" width="9.140625" style="83"/>
    <col min="9732" max="9732" width="9.42578125" style="83" bestFit="1" customWidth="1"/>
    <col min="9733" max="9735" width="9.140625" style="83"/>
    <col min="9736" max="9736" width="7.140625" style="83" customWidth="1"/>
    <col min="9737" max="9737" width="7.42578125" style="83" customWidth="1"/>
    <col min="9738" max="9738" width="7.5703125" style="83" customWidth="1"/>
    <col min="9739" max="9739" width="7.28515625" style="83" customWidth="1"/>
    <col min="9740" max="9987" width="9.140625" style="83"/>
    <col min="9988" max="9988" width="9.42578125" style="83" bestFit="1" customWidth="1"/>
    <col min="9989" max="9991" width="9.140625" style="83"/>
    <col min="9992" max="9992" width="7.140625" style="83" customWidth="1"/>
    <col min="9993" max="9993" width="7.42578125" style="83" customWidth="1"/>
    <col min="9994" max="9994" width="7.5703125" style="83" customWidth="1"/>
    <col min="9995" max="9995" width="7.28515625" style="83" customWidth="1"/>
    <col min="9996" max="10243" width="9.140625" style="83"/>
    <col min="10244" max="10244" width="9.42578125" style="83" bestFit="1" customWidth="1"/>
    <col min="10245" max="10247" width="9.140625" style="83"/>
    <col min="10248" max="10248" width="7.140625" style="83" customWidth="1"/>
    <col min="10249" max="10249" width="7.42578125" style="83" customWidth="1"/>
    <col min="10250" max="10250" width="7.5703125" style="83" customWidth="1"/>
    <col min="10251" max="10251" width="7.28515625" style="83" customWidth="1"/>
    <col min="10252" max="10499" width="9.140625" style="83"/>
    <col min="10500" max="10500" width="9.42578125" style="83" bestFit="1" customWidth="1"/>
    <col min="10501" max="10503" width="9.140625" style="83"/>
    <col min="10504" max="10504" width="7.140625" style="83" customWidth="1"/>
    <col min="10505" max="10505" width="7.42578125" style="83" customWidth="1"/>
    <col min="10506" max="10506" width="7.5703125" style="83" customWidth="1"/>
    <col min="10507" max="10507" width="7.28515625" style="83" customWidth="1"/>
    <col min="10508" max="10755" width="9.140625" style="83"/>
    <col min="10756" max="10756" width="9.42578125" style="83" bestFit="1" customWidth="1"/>
    <col min="10757" max="10759" width="9.140625" style="83"/>
    <col min="10760" max="10760" width="7.140625" style="83" customWidth="1"/>
    <col min="10761" max="10761" width="7.42578125" style="83" customWidth="1"/>
    <col min="10762" max="10762" width="7.5703125" style="83" customWidth="1"/>
    <col min="10763" max="10763" width="7.28515625" style="83" customWidth="1"/>
    <col min="10764" max="11011" width="9.140625" style="83"/>
    <col min="11012" max="11012" width="9.42578125" style="83" bestFit="1" customWidth="1"/>
    <col min="11013" max="11015" width="9.140625" style="83"/>
    <col min="11016" max="11016" width="7.140625" style="83" customWidth="1"/>
    <col min="11017" max="11017" width="7.42578125" style="83" customWidth="1"/>
    <col min="11018" max="11018" width="7.5703125" style="83" customWidth="1"/>
    <col min="11019" max="11019" width="7.28515625" style="83" customWidth="1"/>
    <col min="11020" max="11267" width="9.140625" style="83"/>
    <col min="11268" max="11268" width="9.42578125" style="83" bestFit="1" customWidth="1"/>
    <col min="11269" max="11271" width="9.140625" style="83"/>
    <col min="11272" max="11272" width="7.140625" style="83" customWidth="1"/>
    <col min="11273" max="11273" width="7.42578125" style="83" customWidth="1"/>
    <col min="11274" max="11274" width="7.5703125" style="83" customWidth="1"/>
    <col min="11275" max="11275" width="7.28515625" style="83" customWidth="1"/>
    <col min="11276" max="11523" width="9.140625" style="83"/>
    <col min="11524" max="11524" width="9.42578125" style="83" bestFit="1" customWidth="1"/>
    <col min="11525" max="11527" width="9.140625" style="83"/>
    <col min="11528" max="11528" width="7.140625" style="83" customWidth="1"/>
    <col min="11529" max="11529" width="7.42578125" style="83" customWidth="1"/>
    <col min="11530" max="11530" width="7.5703125" style="83" customWidth="1"/>
    <col min="11531" max="11531" width="7.28515625" style="83" customWidth="1"/>
    <col min="11532" max="11779" width="9.140625" style="83"/>
    <col min="11780" max="11780" width="9.42578125" style="83" bestFit="1" customWidth="1"/>
    <col min="11781" max="11783" width="9.140625" style="83"/>
    <col min="11784" max="11784" width="7.140625" style="83" customWidth="1"/>
    <col min="11785" max="11785" width="7.42578125" style="83" customWidth="1"/>
    <col min="11786" max="11786" width="7.5703125" style="83" customWidth="1"/>
    <col min="11787" max="11787" width="7.28515625" style="83" customWidth="1"/>
    <col min="11788" max="12035" width="9.140625" style="83"/>
    <col min="12036" max="12036" width="9.42578125" style="83" bestFit="1" customWidth="1"/>
    <col min="12037" max="12039" width="9.140625" style="83"/>
    <col min="12040" max="12040" width="7.140625" style="83" customWidth="1"/>
    <col min="12041" max="12041" width="7.42578125" style="83" customWidth="1"/>
    <col min="12042" max="12042" width="7.5703125" style="83" customWidth="1"/>
    <col min="12043" max="12043" width="7.28515625" style="83" customWidth="1"/>
    <col min="12044" max="12291" width="9.140625" style="83"/>
    <col min="12292" max="12292" width="9.42578125" style="83" bestFit="1" customWidth="1"/>
    <col min="12293" max="12295" width="9.140625" style="83"/>
    <col min="12296" max="12296" width="7.140625" style="83" customWidth="1"/>
    <col min="12297" max="12297" width="7.42578125" style="83" customWidth="1"/>
    <col min="12298" max="12298" width="7.5703125" style="83" customWidth="1"/>
    <col min="12299" max="12299" width="7.28515625" style="83" customWidth="1"/>
    <col min="12300" max="12547" width="9.140625" style="83"/>
    <col min="12548" max="12548" width="9.42578125" style="83" bestFit="1" customWidth="1"/>
    <col min="12549" max="12551" width="9.140625" style="83"/>
    <col min="12552" max="12552" width="7.140625" style="83" customWidth="1"/>
    <col min="12553" max="12553" width="7.42578125" style="83" customWidth="1"/>
    <col min="12554" max="12554" width="7.5703125" style="83" customWidth="1"/>
    <col min="12555" max="12555" width="7.28515625" style="83" customWidth="1"/>
    <col min="12556" max="12803" width="9.140625" style="83"/>
    <col min="12804" max="12804" width="9.42578125" style="83" bestFit="1" customWidth="1"/>
    <col min="12805" max="12807" width="9.140625" style="83"/>
    <col min="12808" max="12808" width="7.140625" style="83" customWidth="1"/>
    <col min="12809" max="12809" width="7.42578125" style="83" customWidth="1"/>
    <col min="12810" max="12810" width="7.5703125" style="83" customWidth="1"/>
    <col min="12811" max="12811" width="7.28515625" style="83" customWidth="1"/>
    <col min="12812" max="13059" width="9.140625" style="83"/>
    <col min="13060" max="13060" width="9.42578125" style="83" bestFit="1" customWidth="1"/>
    <col min="13061" max="13063" width="9.140625" style="83"/>
    <col min="13064" max="13064" width="7.140625" style="83" customWidth="1"/>
    <col min="13065" max="13065" width="7.42578125" style="83" customWidth="1"/>
    <col min="13066" max="13066" width="7.5703125" style="83" customWidth="1"/>
    <col min="13067" max="13067" width="7.28515625" style="83" customWidth="1"/>
    <col min="13068" max="13315" width="9.140625" style="83"/>
    <col min="13316" max="13316" width="9.42578125" style="83" bestFit="1" customWidth="1"/>
    <col min="13317" max="13319" width="9.140625" style="83"/>
    <col min="13320" max="13320" width="7.140625" style="83" customWidth="1"/>
    <col min="13321" max="13321" width="7.42578125" style="83" customWidth="1"/>
    <col min="13322" max="13322" width="7.5703125" style="83" customWidth="1"/>
    <col min="13323" max="13323" width="7.28515625" style="83" customWidth="1"/>
    <col min="13324" max="13571" width="9.140625" style="83"/>
    <col min="13572" max="13572" width="9.42578125" style="83" bestFit="1" customWidth="1"/>
    <col min="13573" max="13575" width="9.140625" style="83"/>
    <col min="13576" max="13576" width="7.140625" style="83" customWidth="1"/>
    <col min="13577" max="13577" width="7.42578125" style="83" customWidth="1"/>
    <col min="13578" max="13578" width="7.5703125" style="83" customWidth="1"/>
    <col min="13579" max="13579" width="7.28515625" style="83" customWidth="1"/>
    <col min="13580" max="13827" width="9.140625" style="83"/>
    <col min="13828" max="13828" width="9.42578125" style="83" bestFit="1" customWidth="1"/>
    <col min="13829" max="13831" width="9.140625" style="83"/>
    <col min="13832" max="13832" width="7.140625" style="83" customWidth="1"/>
    <col min="13833" max="13833" width="7.42578125" style="83" customWidth="1"/>
    <col min="13834" max="13834" width="7.5703125" style="83" customWidth="1"/>
    <col min="13835" max="13835" width="7.28515625" style="83" customWidth="1"/>
    <col min="13836" max="14083" width="9.140625" style="83"/>
    <col min="14084" max="14084" width="9.42578125" style="83" bestFit="1" customWidth="1"/>
    <col min="14085" max="14087" width="9.140625" style="83"/>
    <col min="14088" max="14088" width="7.140625" style="83" customWidth="1"/>
    <col min="14089" max="14089" width="7.42578125" style="83" customWidth="1"/>
    <col min="14090" max="14090" width="7.5703125" style="83" customWidth="1"/>
    <col min="14091" max="14091" width="7.28515625" style="83" customWidth="1"/>
    <col min="14092" max="14339" width="9.140625" style="83"/>
    <col min="14340" max="14340" width="9.42578125" style="83" bestFit="1" customWidth="1"/>
    <col min="14341" max="14343" width="9.140625" style="83"/>
    <col min="14344" max="14344" width="7.140625" style="83" customWidth="1"/>
    <col min="14345" max="14345" width="7.42578125" style="83" customWidth="1"/>
    <col min="14346" max="14346" width="7.5703125" style="83" customWidth="1"/>
    <col min="14347" max="14347" width="7.28515625" style="83" customWidth="1"/>
    <col min="14348" max="14595" width="9.140625" style="83"/>
    <col min="14596" max="14596" width="9.42578125" style="83" bestFit="1" customWidth="1"/>
    <col min="14597" max="14599" width="9.140625" style="83"/>
    <col min="14600" max="14600" width="7.140625" style="83" customWidth="1"/>
    <col min="14601" max="14601" width="7.42578125" style="83" customWidth="1"/>
    <col min="14602" max="14602" width="7.5703125" style="83" customWidth="1"/>
    <col min="14603" max="14603" width="7.28515625" style="83" customWidth="1"/>
    <col min="14604" max="14851" width="9.140625" style="83"/>
    <col min="14852" max="14852" width="9.42578125" style="83" bestFit="1" customWidth="1"/>
    <col min="14853" max="14855" width="9.140625" style="83"/>
    <col min="14856" max="14856" width="7.140625" style="83" customWidth="1"/>
    <col min="14857" max="14857" width="7.42578125" style="83" customWidth="1"/>
    <col min="14858" max="14858" width="7.5703125" style="83" customWidth="1"/>
    <col min="14859" max="14859" width="7.28515625" style="83" customWidth="1"/>
    <col min="14860" max="15107" width="9.140625" style="83"/>
    <col min="15108" max="15108" width="9.42578125" style="83" bestFit="1" customWidth="1"/>
    <col min="15109" max="15111" width="9.140625" style="83"/>
    <col min="15112" max="15112" width="7.140625" style="83" customWidth="1"/>
    <col min="15113" max="15113" width="7.42578125" style="83" customWidth="1"/>
    <col min="15114" max="15114" width="7.5703125" style="83" customWidth="1"/>
    <col min="15115" max="15115" width="7.28515625" style="83" customWidth="1"/>
    <col min="15116" max="15363" width="9.140625" style="83"/>
    <col min="15364" max="15364" width="9.42578125" style="83" bestFit="1" customWidth="1"/>
    <col min="15365" max="15367" width="9.140625" style="83"/>
    <col min="15368" max="15368" width="7.140625" style="83" customWidth="1"/>
    <col min="15369" max="15369" width="7.42578125" style="83" customWidth="1"/>
    <col min="15370" max="15370" width="7.5703125" style="83" customWidth="1"/>
    <col min="15371" max="15371" width="7.28515625" style="83" customWidth="1"/>
    <col min="15372" max="15619" width="9.140625" style="83"/>
    <col min="15620" max="15620" width="9.42578125" style="83" bestFit="1" customWidth="1"/>
    <col min="15621" max="15623" width="9.140625" style="83"/>
    <col min="15624" max="15624" width="7.140625" style="83" customWidth="1"/>
    <col min="15625" max="15625" width="7.42578125" style="83" customWidth="1"/>
    <col min="15626" max="15626" width="7.5703125" style="83" customWidth="1"/>
    <col min="15627" max="15627" width="7.28515625" style="83" customWidth="1"/>
    <col min="15628" max="15875" width="9.140625" style="83"/>
    <col min="15876" max="15876" width="9.42578125" style="83" bestFit="1" customWidth="1"/>
    <col min="15877" max="15879" width="9.140625" style="83"/>
    <col min="15880" max="15880" width="7.140625" style="83" customWidth="1"/>
    <col min="15881" max="15881" width="7.42578125" style="83" customWidth="1"/>
    <col min="15882" max="15882" width="7.5703125" style="83" customWidth="1"/>
    <col min="15883" max="15883" width="7.28515625" style="83" customWidth="1"/>
    <col min="15884" max="16131" width="9.140625" style="83"/>
    <col min="16132" max="16132" width="9.42578125" style="83" bestFit="1" customWidth="1"/>
    <col min="16133" max="16135" width="9.140625" style="83"/>
    <col min="16136" max="16136" width="7.140625" style="83" customWidth="1"/>
    <col min="16137" max="16137" width="7.42578125" style="83" customWidth="1"/>
    <col min="16138" max="16138" width="7.5703125" style="83" customWidth="1"/>
    <col min="16139" max="16139" width="7.28515625" style="83" customWidth="1"/>
    <col min="16140" max="16384" width="9.140625" style="83"/>
  </cols>
  <sheetData>
    <row r="1" spans="1:24" ht="20.25">
      <c r="A1" s="79"/>
      <c r="B1" s="80"/>
      <c r="C1" s="80"/>
      <c r="D1" s="80"/>
      <c r="E1" s="81"/>
      <c r="F1" s="82"/>
      <c r="G1" s="337" t="s">
        <v>70</v>
      </c>
      <c r="H1" s="338"/>
      <c r="I1" s="338"/>
      <c r="J1" s="338"/>
      <c r="K1" s="339"/>
    </row>
    <row r="2" spans="1:24" ht="20.25">
      <c r="A2" s="84"/>
      <c r="B2" s="85"/>
      <c r="C2" s="85"/>
      <c r="D2" s="85"/>
      <c r="E2" s="86"/>
      <c r="F2" s="87"/>
      <c r="G2" s="329" t="s">
        <v>245</v>
      </c>
      <c r="H2" s="330"/>
      <c r="I2" s="330"/>
      <c r="J2" s="330"/>
      <c r="K2" s="331"/>
    </row>
    <row r="3" spans="1:24" ht="15.75" customHeight="1">
      <c r="A3" s="88"/>
      <c r="B3" s="85"/>
      <c r="C3" s="85"/>
      <c r="D3" s="85"/>
      <c r="E3" s="86"/>
      <c r="F3" s="89"/>
      <c r="G3" s="329" t="s">
        <v>71</v>
      </c>
      <c r="H3" s="330"/>
      <c r="I3" s="330"/>
      <c r="J3" s="330"/>
      <c r="K3" s="331"/>
      <c r="M3" s="118" t="s">
        <v>252</v>
      </c>
      <c r="N3" s="119"/>
      <c r="O3" s="119"/>
      <c r="P3" s="119"/>
      <c r="Q3" s="119"/>
      <c r="R3" s="119"/>
      <c r="S3" s="119"/>
      <c r="T3" s="119"/>
      <c r="U3" s="119"/>
      <c r="V3" s="119"/>
      <c r="W3" s="120"/>
      <c r="X3" s="121"/>
    </row>
    <row r="4" spans="1:24" ht="15.75" customHeight="1">
      <c r="A4" s="90"/>
      <c r="B4" s="91"/>
      <c r="C4" s="91"/>
      <c r="D4" s="91"/>
      <c r="E4" s="92"/>
      <c r="F4" s="92"/>
      <c r="G4" s="332" t="s">
        <v>144</v>
      </c>
      <c r="H4" s="333"/>
      <c r="I4" s="333"/>
      <c r="J4" s="333"/>
      <c r="K4" s="334"/>
      <c r="M4" s="122"/>
      <c r="N4" s="242"/>
      <c r="O4" s="242"/>
      <c r="P4" s="242"/>
      <c r="Q4" s="242"/>
      <c r="R4" s="242"/>
      <c r="S4" s="242"/>
      <c r="T4" s="242"/>
      <c r="U4" s="242"/>
      <c r="V4" s="242"/>
      <c r="W4" s="242"/>
      <c r="X4" s="243"/>
    </row>
    <row r="5" spans="1:24" ht="12.75" customHeight="1">
      <c r="A5" s="138"/>
      <c r="B5" s="139"/>
      <c r="C5" s="158"/>
      <c r="D5" s="139"/>
      <c r="E5" s="80"/>
      <c r="F5" s="80"/>
      <c r="G5" s="80"/>
      <c r="H5" s="142"/>
      <c r="I5" s="143"/>
      <c r="J5" s="143"/>
      <c r="K5" s="144"/>
      <c r="M5" s="244" t="s">
        <v>234</v>
      </c>
      <c r="N5" s="247" t="s">
        <v>93</v>
      </c>
      <c r="O5" s="248" t="s">
        <v>262</v>
      </c>
      <c r="P5" s="247" t="s">
        <v>263</v>
      </c>
      <c r="Q5" s="248" t="s">
        <v>264</v>
      </c>
      <c r="R5" s="247" t="s">
        <v>265</v>
      </c>
      <c r="S5" s="248" t="s">
        <v>94</v>
      </c>
      <c r="T5" s="247" t="s">
        <v>95</v>
      </c>
      <c r="U5" s="294" t="s">
        <v>96</v>
      </c>
      <c r="V5" s="247" t="s">
        <v>97</v>
      </c>
      <c r="W5" s="248" t="s">
        <v>98</v>
      </c>
      <c r="X5" s="247" t="s">
        <v>99</v>
      </c>
    </row>
    <row r="6" spans="1:24" ht="12.75" customHeight="1">
      <c r="A6" s="138" t="s">
        <v>132</v>
      </c>
      <c r="B6" s="139"/>
      <c r="C6" s="139"/>
      <c r="D6" s="165">
        <v>1.5</v>
      </c>
      <c r="E6" s="85" t="s">
        <v>84</v>
      </c>
      <c r="F6" s="335" t="str">
        <f>IF(H23&lt;0.01,"Iterations ok","Error! Press iteration button")</f>
        <v>Iterations ok</v>
      </c>
      <c r="G6" s="336"/>
      <c r="H6" s="336"/>
      <c r="I6" s="336"/>
      <c r="J6" s="336"/>
      <c r="K6" s="141"/>
      <c r="M6" s="245" t="s">
        <v>100</v>
      </c>
      <c r="N6" s="249"/>
      <c r="O6" s="250"/>
      <c r="P6" s="249"/>
      <c r="Q6" s="250"/>
      <c r="R6" s="249"/>
      <c r="S6" s="250" t="s">
        <v>101</v>
      </c>
      <c r="T6" s="249" t="s">
        <v>102</v>
      </c>
      <c r="U6" s="295">
        <v>1100</v>
      </c>
      <c r="V6" s="249"/>
      <c r="W6" s="250"/>
      <c r="X6" s="249">
        <v>233</v>
      </c>
    </row>
    <row r="7" spans="1:24" ht="12.75" customHeight="1">
      <c r="A7" s="95" t="s">
        <v>72</v>
      </c>
      <c r="B7" s="96"/>
      <c r="C7" s="97"/>
      <c r="D7" s="166">
        <v>0.85</v>
      </c>
      <c r="E7" s="97" t="s">
        <v>84</v>
      </c>
      <c r="K7" s="141"/>
      <c r="M7" s="246"/>
      <c r="N7" s="251"/>
      <c r="O7" s="252"/>
      <c r="P7" s="251"/>
      <c r="Q7" s="252"/>
      <c r="R7" s="251"/>
      <c r="S7" s="252"/>
      <c r="T7" s="251"/>
      <c r="U7" s="200"/>
      <c r="V7" s="251">
        <v>50</v>
      </c>
      <c r="W7" s="252">
        <v>208</v>
      </c>
      <c r="X7" s="251">
        <v>0.05</v>
      </c>
    </row>
    <row r="8" spans="1:24" ht="12.75" customHeight="1">
      <c r="A8" s="95" t="s">
        <v>74</v>
      </c>
      <c r="B8" s="96"/>
      <c r="C8" s="97"/>
      <c r="D8" s="166">
        <v>700</v>
      </c>
      <c r="E8" s="97" t="s">
        <v>75</v>
      </c>
      <c r="F8" s="97"/>
      <c r="G8" s="98"/>
      <c r="H8" s="97"/>
      <c r="I8" s="97"/>
      <c r="J8" s="97"/>
      <c r="K8" s="99"/>
      <c r="M8" s="246">
        <v>100</v>
      </c>
      <c r="N8" s="251"/>
      <c r="O8" s="252"/>
      <c r="P8" s="251"/>
      <c r="Q8" s="252"/>
      <c r="R8" s="251"/>
      <c r="S8" s="252">
        <v>0.14000000000000001</v>
      </c>
      <c r="T8" s="251"/>
      <c r="U8" s="200">
        <v>0.06</v>
      </c>
      <c r="V8" s="251"/>
      <c r="W8" s="252"/>
      <c r="X8" s="251"/>
    </row>
    <row r="9" spans="1:24" ht="12.75" customHeight="1">
      <c r="A9" s="95" t="s">
        <v>76</v>
      </c>
      <c r="B9" s="96"/>
      <c r="C9" s="97"/>
      <c r="D9" s="166">
        <v>40</v>
      </c>
      <c r="E9" s="97" t="s">
        <v>75</v>
      </c>
      <c r="F9" s="97"/>
      <c r="G9" s="98"/>
      <c r="H9" s="97"/>
      <c r="I9" s="97"/>
      <c r="J9" s="97"/>
      <c r="K9" s="99"/>
      <c r="M9" s="246">
        <v>110</v>
      </c>
      <c r="N9" s="251">
        <v>0.6</v>
      </c>
      <c r="O9" s="252">
        <v>1.1000000000000001</v>
      </c>
      <c r="P9" s="251">
        <v>0.8</v>
      </c>
      <c r="Q9" s="252">
        <v>0.95</v>
      </c>
      <c r="R9" s="251">
        <v>0.5</v>
      </c>
      <c r="S9" s="252"/>
      <c r="T9" s="251"/>
      <c r="U9" s="200"/>
      <c r="V9" s="251"/>
      <c r="W9" s="252"/>
      <c r="X9" s="251"/>
    </row>
    <row r="10" spans="1:24" ht="12.75" customHeight="1">
      <c r="A10" s="95" t="s">
        <v>137</v>
      </c>
      <c r="B10" s="96"/>
      <c r="C10" s="97"/>
      <c r="D10" s="166">
        <v>0</v>
      </c>
      <c r="E10" s="97" t="s">
        <v>77</v>
      </c>
      <c r="F10" s="97"/>
      <c r="G10" s="98"/>
      <c r="H10" s="97"/>
      <c r="I10" s="97"/>
      <c r="J10" s="97"/>
      <c r="K10" s="99"/>
      <c r="M10" s="246">
        <v>200</v>
      </c>
      <c r="N10" s="251"/>
      <c r="O10" s="252"/>
      <c r="P10" s="251"/>
      <c r="Q10" s="252"/>
      <c r="R10" s="251"/>
      <c r="S10" s="252"/>
      <c r="T10" s="251">
        <v>7.0000000000000007E-2</v>
      </c>
      <c r="U10" s="200">
        <v>6.5000000000000002E-2</v>
      </c>
      <c r="V10" s="251"/>
      <c r="W10" s="252"/>
      <c r="X10" s="251"/>
    </row>
    <row r="11" spans="1:24" ht="12.75" customHeight="1">
      <c r="A11" s="95" t="s">
        <v>138</v>
      </c>
      <c r="B11" s="96"/>
      <c r="C11" s="100"/>
      <c r="D11" s="192">
        <v>128.27512574867248</v>
      </c>
      <c r="E11" s="100" t="s">
        <v>75</v>
      </c>
      <c r="F11" s="97"/>
      <c r="G11" s="98"/>
      <c r="H11" s="97"/>
      <c r="I11" s="97"/>
      <c r="J11" s="97"/>
      <c r="K11" s="99"/>
      <c r="M11" s="199">
        <v>300</v>
      </c>
      <c r="N11" s="253"/>
      <c r="O11" s="200"/>
      <c r="P11" s="253"/>
      <c r="Q11" s="200"/>
      <c r="R11" s="253"/>
      <c r="S11" s="200"/>
      <c r="T11" s="253"/>
      <c r="U11" s="200">
        <v>0.08</v>
      </c>
      <c r="V11" s="253"/>
      <c r="W11" s="200"/>
      <c r="X11" s="253"/>
    </row>
    <row r="12" spans="1:24" ht="12.75" customHeight="1">
      <c r="A12" s="95" t="s">
        <v>139</v>
      </c>
      <c r="B12" s="96"/>
      <c r="C12" s="100"/>
      <c r="D12" s="102">
        <v>-6.0706593654923475E+60</v>
      </c>
      <c r="E12" s="100"/>
      <c r="F12" s="101"/>
      <c r="G12" s="98"/>
      <c r="H12" s="97"/>
      <c r="I12" s="97"/>
      <c r="J12" s="97"/>
      <c r="K12" s="99"/>
      <c r="M12" s="246">
        <v>400</v>
      </c>
      <c r="N12" s="251"/>
      <c r="O12" s="252"/>
      <c r="P12" s="251"/>
      <c r="Q12" s="252"/>
      <c r="R12" s="251"/>
      <c r="S12" s="252"/>
      <c r="T12" s="251">
        <v>0.09</v>
      </c>
      <c r="U12" s="200">
        <v>9.5000000000000001E-2</v>
      </c>
      <c r="V12" s="251"/>
      <c r="W12" s="252"/>
      <c r="X12" s="251"/>
    </row>
    <row r="13" spans="1:24" ht="12.75" customHeight="1">
      <c r="A13" s="138"/>
      <c r="B13" s="139"/>
      <c r="C13" s="139"/>
      <c r="D13" s="139"/>
      <c r="E13" s="139"/>
      <c r="F13" s="97"/>
      <c r="G13" s="97"/>
      <c r="H13" s="97"/>
      <c r="I13" s="97"/>
      <c r="J13" s="97"/>
      <c r="K13" s="99"/>
      <c r="M13" s="246">
        <v>600</v>
      </c>
      <c r="N13" s="251">
        <v>0.65</v>
      </c>
      <c r="O13" s="252"/>
      <c r="P13" s="251"/>
      <c r="Q13" s="252">
        <v>0.98</v>
      </c>
      <c r="R13" s="251">
        <v>0.52</v>
      </c>
      <c r="S13" s="252"/>
      <c r="T13" s="254">
        <v>0.1</v>
      </c>
      <c r="U13" s="200">
        <v>0.12</v>
      </c>
      <c r="V13" s="251"/>
      <c r="W13" s="252"/>
      <c r="X13" s="251"/>
    </row>
    <row r="14" spans="1:24" ht="12.75" customHeight="1">
      <c r="A14" s="95"/>
      <c r="B14" s="96"/>
      <c r="C14" s="100"/>
      <c r="D14" s="102"/>
      <c r="E14" s="100"/>
      <c r="F14" s="97"/>
      <c r="H14" s="103"/>
      <c r="I14" s="97"/>
      <c r="J14" s="97"/>
      <c r="K14" s="99"/>
      <c r="M14" s="246">
        <v>815</v>
      </c>
      <c r="N14" s="251">
        <v>0.68</v>
      </c>
      <c r="O14" s="252">
        <v>0.95</v>
      </c>
      <c r="P14" s="251">
        <v>0.56000000000000005</v>
      </c>
      <c r="Q14" s="252"/>
      <c r="R14" s="251"/>
      <c r="S14" s="252">
        <v>0.23</v>
      </c>
      <c r="T14" s="251"/>
      <c r="U14" s="252"/>
      <c r="V14" s="251"/>
      <c r="W14" s="252"/>
      <c r="X14" s="251"/>
    </row>
    <row r="15" spans="1:24" ht="12.75" customHeight="1">
      <c r="A15" s="160"/>
      <c r="B15" s="94" t="s">
        <v>78</v>
      </c>
      <c r="C15" s="161" t="s">
        <v>79</v>
      </c>
      <c r="D15" s="161" t="s">
        <v>80</v>
      </c>
      <c r="E15" s="161" t="s">
        <v>81</v>
      </c>
      <c r="F15" s="162" t="s">
        <v>82</v>
      </c>
      <c r="G15" s="163" t="s">
        <v>83</v>
      </c>
      <c r="H15" s="163" t="s">
        <v>83</v>
      </c>
      <c r="I15" s="164" t="s">
        <v>83</v>
      </c>
      <c r="J15" s="97"/>
      <c r="K15" s="99"/>
      <c r="M15" s="246">
        <v>1000</v>
      </c>
      <c r="N15" s="251">
        <v>0.7</v>
      </c>
      <c r="O15" s="252">
        <v>0.9</v>
      </c>
      <c r="P15" s="251">
        <v>0.6</v>
      </c>
      <c r="Q15" s="252">
        <v>1</v>
      </c>
      <c r="R15" s="251">
        <v>0.55000000000000004</v>
      </c>
      <c r="S15" s="252">
        <v>0.25</v>
      </c>
      <c r="T15" s="251"/>
      <c r="U15" s="252"/>
      <c r="V15" s="251"/>
      <c r="W15" s="252"/>
      <c r="X15" s="251"/>
    </row>
    <row r="16" spans="1:24" ht="12.75" customHeight="1">
      <c r="A16" s="104"/>
      <c r="B16" s="97"/>
      <c r="C16" s="105" t="s">
        <v>73</v>
      </c>
      <c r="D16" s="105" t="s">
        <v>84</v>
      </c>
      <c r="E16" s="105" t="s">
        <v>85</v>
      </c>
      <c r="F16" s="105" t="s">
        <v>140</v>
      </c>
      <c r="G16" s="105" t="s">
        <v>251</v>
      </c>
      <c r="H16" s="105" t="s">
        <v>250</v>
      </c>
      <c r="I16" s="207" t="s">
        <v>127</v>
      </c>
      <c r="J16" s="97"/>
      <c r="K16" s="99"/>
      <c r="L16" s="106"/>
      <c r="M16" s="202">
        <v>1300</v>
      </c>
      <c r="N16" s="255"/>
      <c r="O16" s="203"/>
      <c r="P16" s="255"/>
      <c r="Q16" s="203">
        <v>1.05</v>
      </c>
      <c r="R16" s="255">
        <v>0.6</v>
      </c>
      <c r="S16" s="203"/>
      <c r="T16" s="255"/>
      <c r="U16" s="203"/>
      <c r="V16" s="255"/>
      <c r="W16" s="203"/>
      <c r="X16" s="255"/>
    </row>
    <row r="17" spans="1:32" ht="12.75" customHeight="1">
      <c r="A17" s="93" t="s">
        <v>86</v>
      </c>
      <c r="B17" s="135"/>
      <c r="C17" s="210">
        <v>40</v>
      </c>
      <c r="D17" s="163">
        <f>D7/2</f>
        <v>0.42499999999999999</v>
      </c>
      <c r="E17" s="210">
        <v>0.98</v>
      </c>
      <c r="F17" s="211">
        <f>IF(E17=0,0,LN(D18/D17)/(2*PI()*E17))</f>
        <v>1.4607863762557604E-2</v>
      </c>
      <c r="G17" s="212">
        <f>D8</f>
        <v>700</v>
      </c>
      <c r="H17" s="213">
        <f t="shared" ref="H17:H22" si="0">G17-$F$29*F17</f>
        <v>639.91080249897914</v>
      </c>
      <c r="I17" s="214">
        <f t="shared" ref="I17:I22" si="1">(G17+H17)/2</f>
        <v>669.95540124948957</v>
      </c>
      <c r="J17" s="97"/>
      <c r="K17" s="99"/>
      <c r="L17" s="106"/>
    </row>
    <row r="18" spans="1:32" ht="12.75" customHeight="1">
      <c r="A18" s="95" t="s">
        <v>87</v>
      </c>
      <c r="B18" s="107"/>
      <c r="C18" s="215">
        <v>30</v>
      </c>
      <c r="D18" s="105">
        <f t="shared" ref="D18:D23" si="2">D17+C17/1000</f>
        <v>0.46499999999999997</v>
      </c>
      <c r="E18" s="215">
        <v>0.08</v>
      </c>
      <c r="F18" s="216">
        <f>IF(E18=0,0,LN(D19/D18)/(2*PI()*E18))</f>
        <v>0.12438029821811519</v>
      </c>
      <c r="G18" s="217">
        <f>H17</f>
        <v>639.91080249897914</v>
      </c>
      <c r="H18" s="218">
        <f t="shared" si="0"/>
        <v>128.27457516633683</v>
      </c>
      <c r="I18" s="219">
        <f t="shared" si="1"/>
        <v>384.09268883265798</v>
      </c>
      <c r="J18" s="97"/>
      <c r="K18" s="99"/>
    </row>
    <row r="19" spans="1:32" ht="12.75" customHeight="1">
      <c r="A19" s="95" t="s">
        <v>88</v>
      </c>
      <c r="B19" s="107"/>
      <c r="C19" s="215"/>
      <c r="D19" s="220">
        <f t="shared" si="2"/>
        <v>0.495</v>
      </c>
      <c r="E19" s="215">
        <v>0.08</v>
      </c>
      <c r="F19" s="216">
        <f t="shared" ref="F19:F22" si="3">IF(E19=0,0,LN(D20/D19)/(2*PI()*E19))</f>
        <v>0</v>
      </c>
      <c r="G19" s="217">
        <f>H18</f>
        <v>128.27457516633683</v>
      </c>
      <c r="H19" s="218">
        <f t="shared" si="0"/>
        <v>128.27457516633683</v>
      </c>
      <c r="I19" s="219">
        <f t="shared" si="1"/>
        <v>128.27457516633683</v>
      </c>
      <c r="J19" s="97"/>
      <c r="K19" s="99"/>
      <c r="M19" s="83" t="s">
        <v>246</v>
      </c>
    </row>
    <row r="20" spans="1:32" ht="12.75" customHeight="1">
      <c r="A20" s="95" t="s">
        <v>89</v>
      </c>
      <c r="B20" s="107"/>
      <c r="C20" s="215"/>
      <c r="D20" s="220">
        <f t="shared" si="2"/>
        <v>0.495</v>
      </c>
      <c r="E20" s="215"/>
      <c r="F20" s="216">
        <f t="shared" si="3"/>
        <v>0</v>
      </c>
      <c r="G20" s="217">
        <f>H19</f>
        <v>128.27457516633683</v>
      </c>
      <c r="H20" s="218">
        <f t="shared" si="0"/>
        <v>128.27457516633683</v>
      </c>
      <c r="I20" s="219">
        <f t="shared" si="1"/>
        <v>128.27457516633683</v>
      </c>
      <c r="J20" s="97"/>
      <c r="K20" s="99"/>
      <c r="M20" s="83" t="s">
        <v>244</v>
      </c>
      <c r="P20" s="241">
        <f>(D11+D9)/2</f>
        <v>84.13756287433624</v>
      </c>
    </row>
    <row r="21" spans="1:32" ht="12.75" customHeight="1">
      <c r="A21" s="95" t="s">
        <v>90</v>
      </c>
      <c r="B21" s="107"/>
      <c r="C21" s="215"/>
      <c r="D21" s="105">
        <f t="shared" si="2"/>
        <v>0.495</v>
      </c>
      <c r="E21" s="215"/>
      <c r="F21" s="216">
        <f t="shared" si="3"/>
        <v>0</v>
      </c>
      <c r="G21" s="217">
        <f>H20</f>
        <v>128.27457516633683</v>
      </c>
      <c r="H21" s="218">
        <f t="shared" si="0"/>
        <v>128.27457516633683</v>
      </c>
      <c r="I21" s="219">
        <f t="shared" si="1"/>
        <v>128.27457516633683</v>
      </c>
      <c r="J21" s="97"/>
      <c r="K21" s="99"/>
      <c r="M21" s="186" t="s">
        <v>234</v>
      </c>
      <c r="N21" s="187" t="s">
        <v>236</v>
      </c>
      <c r="O21" s="187" t="s">
        <v>239</v>
      </c>
      <c r="P21" s="188" t="s">
        <v>235</v>
      </c>
      <c r="Q21" s="188" t="s">
        <v>237</v>
      </c>
      <c r="R21" s="187" t="s">
        <v>238</v>
      </c>
      <c r="S21" s="189" t="s">
        <v>122</v>
      </c>
    </row>
    <row r="22" spans="1:32" ht="14.25">
      <c r="A22" s="136" t="s">
        <v>91</v>
      </c>
      <c r="B22" s="137"/>
      <c r="C22" s="221"/>
      <c r="D22" s="153">
        <f t="shared" si="2"/>
        <v>0.495</v>
      </c>
      <c r="E22" s="221"/>
      <c r="F22" s="222">
        <f t="shared" si="3"/>
        <v>0</v>
      </c>
      <c r="G22" s="223">
        <f>H21</f>
        <v>128.27457516633683</v>
      </c>
      <c r="H22" s="224">
        <f t="shared" si="0"/>
        <v>128.27457516633683</v>
      </c>
      <c r="I22" s="225">
        <f t="shared" si="1"/>
        <v>128.27457516633683</v>
      </c>
      <c r="J22" s="97"/>
      <c r="K22" s="99"/>
      <c r="M22" s="182" t="s">
        <v>253</v>
      </c>
      <c r="N22" s="183" t="s">
        <v>254</v>
      </c>
      <c r="O22" s="183" t="s">
        <v>255</v>
      </c>
      <c r="P22" s="183" t="s">
        <v>256</v>
      </c>
      <c r="Q22" s="183" t="s">
        <v>257</v>
      </c>
      <c r="R22" s="183" t="s">
        <v>258</v>
      </c>
      <c r="S22" s="185"/>
    </row>
    <row r="23" spans="1:32">
      <c r="A23" s="95" t="s">
        <v>92</v>
      </c>
      <c r="B23" s="96"/>
      <c r="C23" s="105"/>
      <c r="D23" s="105">
        <f t="shared" si="2"/>
        <v>0.495</v>
      </c>
      <c r="E23" s="105"/>
      <c r="F23" s="226"/>
      <c r="G23" s="105"/>
      <c r="H23" s="217">
        <f>H22-D11</f>
        <v>-5.5058233564864167E-4</v>
      </c>
      <c r="I23" s="200"/>
      <c r="J23" s="97"/>
      <c r="K23" s="99"/>
      <c r="M23" s="180" t="s">
        <v>155</v>
      </c>
      <c r="N23" s="191">
        <v>2.7930000000000001</v>
      </c>
      <c r="O23" s="179">
        <v>1026</v>
      </c>
      <c r="P23" s="178">
        <v>1.1599999999999999E-2</v>
      </c>
      <c r="Q23" s="178">
        <v>3.08</v>
      </c>
      <c r="R23" s="178">
        <v>8.2100000000000003E-3</v>
      </c>
      <c r="S23" s="181">
        <v>0.76</v>
      </c>
    </row>
    <row r="24" spans="1:32">
      <c r="A24" s="155" t="s">
        <v>266</v>
      </c>
      <c r="B24" s="96"/>
      <c r="C24" s="97"/>
      <c r="D24" s="97"/>
      <c r="E24" s="97"/>
      <c r="F24" s="134"/>
      <c r="G24" s="97"/>
      <c r="H24" s="109"/>
      <c r="I24" s="139"/>
      <c r="J24" s="97"/>
      <c r="K24" s="99"/>
      <c r="M24" s="180">
        <v>-100</v>
      </c>
      <c r="N24" s="191">
        <v>1.98</v>
      </c>
      <c r="O24" s="179">
        <v>1009</v>
      </c>
      <c r="P24" s="178">
        <v>1.6E-2</v>
      </c>
      <c r="Q24" s="178">
        <v>5.95</v>
      </c>
      <c r="R24" s="178">
        <v>5.8200000000000005E-3</v>
      </c>
      <c r="S24" s="181">
        <v>0.74</v>
      </c>
    </row>
    <row r="25" spans="1:32">
      <c r="A25" s="138"/>
      <c r="B25" s="110"/>
      <c r="C25" s="97"/>
      <c r="D25" s="101"/>
      <c r="E25" s="139"/>
      <c r="F25" s="139"/>
      <c r="G25" s="139"/>
      <c r="H25" s="97"/>
      <c r="I25" s="97"/>
      <c r="J25" s="97"/>
      <c r="K25" s="99"/>
      <c r="M25" s="180">
        <v>-50</v>
      </c>
      <c r="N25" s="191">
        <v>1.534</v>
      </c>
      <c r="O25" s="179">
        <v>1005</v>
      </c>
      <c r="P25" s="178">
        <v>2.0400000000000001E-2</v>
      </c>
      <c r="Q25" s="178">
        <v>9.5500000000000007</v>
      </c>
      <c r="R25" s="178">
        <v>4.5100000000000001E-3</v>
      </c>
      <c r="S25" s="181">
        <v>0.72499999999999998</v>
      </c>
    </row>
    <row r="26" spans="1:32">
      <c r="A26" s="104"/>
      <c r="B26" s="97"/>
      <c r="C26" s="97"/>
      <c r="D26" s="97"/>
      <c r="E26" s="169" t="s">
        <v>126</v>
      </c>
      <c r="F26" s="134">
        <f>1/(2*PI()*(D43+MAX(I40,I53))*D23)</f>
        <v>2.1459813433281287E-2</v>
      </c>
      <c r="G26" s="97" t="s">
        <v>247</v>
      </c>
      <c r="H26" s="97"/>
      <c r="I26" s="97"/>
      <c r="J26" s="97"/>
      <c r="K26" s="99"/>
      <c r="M26" s="180">
        <v>0</v>
      </c>
      <c r="N26" s="191">
        <v>1.2929999999999999</v>
      </c>
      <c r="O26" s="179">
        <v>1005</v>
      </c>
      <c r="P26" s="178">
        <v>2.4299999999999999E-2</v>
      </c>
      <c r="Q26" s="178">
        <v>13.3</v>
      </c>
      <c r="R26" s="178">
        <v>3.6700000000000001E-3</v>
      </c>
      <c r="S26" s="181">
        <v>0.71499999999999997</v>
      </c>
    </row>
    <row r="27" spans="1:32">
      <c r="A27" s="122"/>
      <c r="B27" s="96"/>
      <c r="C27" s="97"/>
      <c r="D27" s="139"/>
      <c r="E27" s="101" t="s">
        <v>260</v>
      </c>
      <c r="F27" s="108">
        <f>SUM(F17:F26)</f>
        <v>0.16044797541395409</v>
      </c>
      <c r="G27" s="97" t="s">
        <v>247</v>
      </c>
      <c r="H27" s="97"/>
      <c r="I27" s="97"/>
      <c r="J27" s="97"/>
      <c r="K27" s="99"/>
      <c r="M27" s="180">
        <v>20</v>
      </c>
      <c r="N27" s="191">
        <v>1.2050000000000001</v>
      </c>
      <c r="O27" s="179">
        <v>1005</v>
      </c>
      <c r="P27" s="178">
        <v>2.5700000000000001E-2</v>
      </c>
      <c r="Q27" s="178">
        <v>15.11</v>
      </c>
      <c r="R27" s="178">
        <v>3.4300000000000003E-3</v>
      </c>
      <c r="S27" s="181">
        <v>0.71299999999999997</v>
      </c>
      <c r="U27" s="158"/>
      <c r="V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</row>
    <row r="28" spans="1:32">
      <c r="A28" s="95"/>
      <c r="B28" s="96"/>
      <c r="C28" s="139"/>
      <c r="D28" s="139"/>
      <c r="E28" s="209" t="s">
        <v>120</v>
      </c>
      <c r="F28" s="208">
        <f>F29*D6</f>
        <v>6170.2243200377588</v>
      </c>
      <c r="G28" s="139" t="s">
        <v>259</v>
      </c>
      <c r="H28" s="97"/>
      <c r="I28" s="97"/>
      <c r="J28" s="97"/>
      <c r="K28" s="99"/>
      <c r="M28" s="180">
        <v>40</v>
      </c>
      <c r="N28" s="191">
        <v>1.127</v>
      </c>
      <c r="O28" s="179">
        <v>1005</v>
      </c>
      <c r="P28" s="178">
        <v>2.7099999999999999E-2</v>
      </c>
      <c r="Q28" s="178">
        <v>16.97</v>
      </c>
      <c r="R28" s="178">
        <v>3.2000000000000002E-3</v>
      </c>
      <c r="S28" s="181">
        <v>0.71099999999999997</v>
      </c>
      <c r="U28" s="158"/>
      <c r="V28" s="158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</row>
    <row r="29" spans="1:32">
      <c r="A29" s="104"/>
      <c r="B29" s="97"/>
      <c r="C29" s="97"/>
      <c r="D29" s="97"/>
      <c r="E29" s="101" t="s">
        <v>143</v>
      </c>
      <c r="F29" s="156">
        <f>(D8-D9)/F27</f>
        <v>4113.4828800251726</v>
      </c>
      <c r="G29" s="96" t="s">
        <v>248</v>
      </c>
      <c r="H29" s="97"/>
      <c r="I29" s="97"/>
      <c r="J29" s="97"/>
      <c r="K29" s="99"/>
      <c r="M29" s="180">
        <v>60</v>
      </c>
      <c r="N29" s="191">
        <v>1.0669999999999999</v>
      </c>
      <c r="O29" s="179">
        <v>1009</v>
      </c>
      <c r="P29" s="178">
        <v>2.8500000000000001E-2</v>
      </c>
      <c r="Q29" s="178">
        <v>18.899999999999999</v>
      </c>
      <c r="R29" s="178">
        <v>3.0000000000000001E-3</v>
      </c>
      <c r="S29" s="181">
        <v>0.70899999999999996</v>
      </c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</row>
    <row r="30" spans="1:32" ht="15">
      <c r="A30" s="138"/>
      <c r="B30" s="139"/>
      <c r="C30" s="97"/>
      <c r="D30" s="97"/>
      <c r="E30" s="101" t="s">
        <v>142</v>
      </c>
      <c r="F30" s="289">
        <f>F29/(2*PI()*D23)</f>
        <v>1322.5881488482669</v>
      </c>
      <c r="G30" s="96" t="s">
        <v>249</v>
      </c>
      <c r="H30" s="139"/>
      <c r="I30" s="139"/>
      <c r="J30" s="139"/>
      <c r="K30" s="148"/>
      <c r="M30" s="180">
        <v>80</v>
      </c>
      <c r="N30" s="191">
        <v>1</v>
      </c>
      <c r="O30" s="179">
        <v>1009</v>
      </c>
      <c r="P30" s="178">
        <v>2.9899999999999999E-2</v>
      </c>
      <c r="Q30" s="178">
        <v>20.94</v>
      </c>
      <c r="R30" s="178">
        <v>2.8300000000000001E-3</v>
      </c>
      <c r="S30" s="181">
        <v>0.70799999999999996</v>
      </c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  <c r="AF30" s="193"/>
    </row>
    <row r="31" spans="1:32" ht="15">
      <c r="A31" s="112"/>
      <c r="B31" s="113"/>
      <c r="C31" s="113"/>
      <c r="D31" s="113"/>
      <c r="E31" s="114"/>
      <c r="F31" s="114"/>
      <c r="G31" s="113"/>
      <c r="H31" s="113"/>
      <c r="I31" s="113"/>
      <c r="J31" s="115"/>
      <c r="K31" s="116"/>
      <c r="M31" s="180">
        <v>100</v>
      </c>
      <c r="N31" s="191">
        <v>0.94599999999999995</v>
      </c>
      <c r="O31" s="179">
        <v>1009</v>
      </c>
      <c r="P31" s="178">
        <v>3.1399999999999997E-2</v>
      </c>
      <c r="Q31" s="178">
        <v>23.06</v>
      </c>
      <c r="R31" s="178">
        <v>2.6800000000000001E-3</v>
      </c>
      <c r="S31" s="181">
        <v>0.70299999999999996</v>
      </c>
      <c r="U31" s="194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</row>
    <row r="32" spans="1:32" ht="15">
      <c r="A32" s="122"/>
      <c r="B32" s="123"/>
      <c r="C32" s="123"/>
      <c r="D32" s="123"/>
      <c r="E32" s="123"/>
      <c r="F32" s="123"/>
      <c r="G32" s="123"/>
      <c r="H32" s="123"/>
      <c r="I32" s="123"/>
      <c r="J32" s="123"/>
      <c r="K32" s="126"/>
      <c r="M32" s="180">
        <v>120</v>
      </c>
      <c r="N32" s="191">
        <v>0.89800000000000002</v>
      </c>
      <c r="O32" s="179">
        <v>1013</v>
      </c>
      <c r="P32" s="178">
        <v>3.2800000000000003E-2</v>
      </c>
      <c r="Q32" s="178">
        <v>25.23</v>
      </c>
      <c r="R32" s="178">
        <v>2.5499999999999997E-3</v>
      </c>
      <c r="S32" s="181">
        <v>0.7</v>
      </c>
      <c r="U32" s="193"/>
      <c r="V32" s="193"/>
      <c r="W32" s="193"/>
      <c r="X32" s="193"/>
      <c r="Y32" s="193"/>
      <c r="Z32" s="193"/>
      <c r="AA32" s="193"/>
      <c r="AB32" s="193"/>
      <c r="AC32" s="193"/>
      <c r="AD32" s="193"/>
      <c r="AE32" s="193"/>
      <c r="AF32" s="193"/>
    </row>
    <row r="33" spans="1:32" ht="15">
      <c r="A33" s="138"/>
      <c r="B33" s="118" t="s">
        <v>128</v>
      </c>
      <c r="C33" s="154"/>
      <c r="D33" s="119"/>
      <c r="E33" s="121"/>
      <c r="F33" s="139"/>
      <c r="G33" s="145" t="s">
        <v>134</v>
      </c>
      <c r="H33" s="146"/>
      <c r="I33" s="146"/>
      <c r="J33" s="147"/>
      <c r="K33" s="126"/>
      <c r="M33" s="180">
        <v>140</v>
      </c>
      <c r="N33" s="191">
        <v>0.85399999999999998</v>
      </c>
      <c r="O33" s="179">
        <v>1013</v>
      </c>
      <c r="P33" s="178">
        <v>3.4299999999999997E-2</v>
      </c>
      <c r="Q33" s="178">
        <v>27.55</v>
      </c>
      <c r="R33" s="178">
        <v>2.4300000000000003E-3</v>
      </c>
      <c r="S33" s="181">
        <v>0.69499999999999995</v>
      </c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</row>
    <row r="34" spans="1:32" ht="15">
      <c r="A34" s="138"/>
      <c r="B34" s="125"/>
      <c r="C34" s="106"/>
      <c r="D34" s="123"/>
      <c r="E34" s="126"/>
      <c r="F34" s="139"/>
      <c r="G34" s="138"/>
      <c r="H34" s="139"/>
      <c r="I34" s="139"/>
      <c r="J34" s="148"/>
      <c r="K34" s="126"/>
      <c r="M34" s="180">
        <v>160</v>
      </c>
      <c r="N34" s="191">
        <v>0.81499999999999995</v>
      </c>
      <c r="O34" s="179">
        <v>1017</v>
      </c>
      <c r="P34" s="178">
        <v>3.5799999999999998E-2</v>
      </c>
      <c r="Q34" s="178">
        <v>29.85</v>
      </c>
      <c r="R34" s="178">
        <v>2.32E-3</v>
      </c>
      <c r="S34" s="181">
        <v>0.69</v>
      </c>
      <c r="U34" s="193"/>
      <c r="V34" s="193"/>
      <c r="W34" s="193"/>
      <c r="X34" s="193"/>
      <c r="Y34" s="193"/>
      <c r="Z34" s="193"/>
      <c r="AA34" s="193"/>
      <c r="AB34" s="193"/>
      <c r="AC34" s="193"/>
      <c r="AD34" s="193"/>
      <c r="AE34" s="193"/>
      <c r="AF34" s="193"/>
    </row>
    <row r="35" spans="1:32" ht="15">
      <c r="A35" s="138"/>
      <c r="B35" s="138"/>
      <c r="C35" s="139"/>
      <c r="D35" s="167" t="s">
        <v>118</v>
      </c>
      <c r="E35" s="124"/>
      <c r="F35" s="139"/>
      <c r="G35" s="138" t="s">
        <v>235</v>
      </c>
      <c r="H35" s="139"/>
      <c r="I35" s="103">
        <f>P43</f>
        <v>2.9589682784424781E-2</v>
      </c>
      <c r="J35" s="148" t="s">
        <v>85</v>
      </c>
      <c r="K35" s="126"/>
      <c r="M35" s="180">
        <v>180</v>
      </c>
      <c r="N35" s="191">
        <v>0.77900000000000003</v>
      </c>
      <c r="O35" s="179">
        <v>1022</v>
      </c>
      <c r="P35" s="178">
        <v>3.7199999999999997E-2</v>
      </c>
      <c r="Q35" s="178">
        <v>32.29</v>
      </c>
      <c r="R35" s="178">
        <v>2.2100000000000002E-3</v>
      </c>
      <c r="S35" s="181">
        <v>0.69</v>
      </c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</row>
    <row r="36" spans="1:32" ht="15">
      <c r="A36" s="138"/>
      <c r="B36" s="122" t="s">
        <v>108</v>
      </c>
      <c r="C36" s="123"/>
      <c r="D36" s="127">
        <v>0.2</v>
      </c>
      <c r="E36" s="128">
        <v>4</v>
      </c>
      <c r="F36" s="139"/>
      <c r="G36" s="138" t="s">
        <v>131</v>
      </c>
      <c r="H36" s="139"/>
      <c r="I36" s="139">
        <f>D23*2</f>
        <v>0.99</v>
      </c>
      <c r="J36" s="148" t="s">
        <v>84</v>
      </c>
      <c r="K36" s="129"/>
      <c r="M36" s="180">
        <v>200</v>
      </c>
      <c r="N36" s="191">
        <v>0.746</v>
      </c>
      <c r="O36" s="179">
        <v>1026</v>
      </c>
      <c r="P36" s="178">
        <v>3.8600000000000002E-2</v>
      </c>
      <c r="Q36" s="178">
        <v>34.630000000000003</v>
      </c>
      <c r="R36" s="178">
        <v>2.1099999999999999E-3</v>
      </c>
      <c r="S36" s="181">
        <v>0.68500000000000005</v>
      </c>
      <c r="U36" s="193"/>
      <c r="V36" s="193"/>
      <c r="W36" s="193"/>
      <c r="X36" s="193"/>
      <c r="Y36" s="193"/>
      <c r="Z36" s="193"/>
      <c r="AA36" s="193"/>
      <c r="AB36" s="193"/>
      <c r="AC36" s="193"/>
      <c r="AD36" s="193"/>
      <c r="AE36" s="193"/>
      <c r="AF36" s="193"/>
    </row>
    <row r="37" spans="1:32" ht="15">
      <c r="A37" s="138"/>
      <c r="B37" s="122" t="s">
        <v>111</v>
      </c>
      <c r="C37" s="123"/>
      <c r="D37" s="127">
        <v>0.28000000000000003</v>
      </c>
      <c r="E37" s="129"/>
      <c r="F37" s="139"/>
      <c r="G37" s="138" t="s">
        <v>129</v>
      </c>
      <c r="H37" s="139"/>
      <c r="I37" s="149">
        <f>D10*I36/I50</f>
        <v>0</v>
      </c>
      <c r="J37" s="148"/>
      <c r="K37" s="126"/>
      <c r="M37" s="180">
        <v>250</v>
      </c>
      <c r="N37" s="191">
        <v>0.67500000000000004</v>
      </c>
      <c r="O37" s="179">
        <v>1034</v>
      </c>
      <c r="P37" s="178">
        <v>4.2099999999999999E-2</v>
      </c>
      <c r="Q37" s="178">
        <v>41.17</v>
      </c>
      <c r="R37" s="178">
        <v>1.91E-3</v>
      </c>
      <c r="S37" s="181">
        <v>0.68</v>
      </c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</row>
    <row r="38" spans="1:32" ht="15">
      <c r="A38" s="138"/>
      <c r="B38" s="122" t="s">
        <v>97</v>
      </c>
      <c r="C38" s="123"/>
      <c r="D38" s="168">
        <v>0.65</v>
      </c>
      <c r="E38" s="126"/>
      <c r="F38" s="139"/>
      <c r="G38" s="138" t="s">
        <v>122</v>
      </c>
      <c r="H38" s="139"/>
      <c r="I38" s="102">
        <f>S43</f>
        <v>0.70903439071858398</v>
      </c>
      <c r="J38" s="148"/>
      <c r="K38" s="129"/>
      <c r="M38" s="180">
        <v>300</v>
      </c>
      <c r="N38" s="191">
        <v>0.61599999999999999</v>
      </c>
      <c r="O38" s="179">
        <v>1047</v>
      </c>
      <c r="P38" s="178">
        <v>4.5400000000000003E-2</v>
      </c>
      <c r="Q38" s="178">
        <v>47.85</v>
      </c>
      <c r="R38" s="178">
        <v>1.75E-3</v>
      </c>
      <c r="S38" s="181">
        <v>0.68</v>
      </c>
      <c r="U38" s="193"/>
      <c r="V38" s="193"/>
      <c r="W38" s="193"/>
      <c r="X38" s="193"/>
      <c r="Y38" s="193"/>
      <c r="Z38" s="193"/>
      <c r="AA38" s="193"/>
      <c r="AB38" s="193"/>
      <c r="AC38" s="193"/>
      <c r="AD38" s="193"/>
      <c r="AE38" s="193"/>
      <c r="AF38" s="193"/>
    </row>
    <row r="39" spans="1:32" ht="15">
      <c r="A39" s="138"/>
      <c r="B39" s="122" t="s">
        <v>301</v>
      </c>
      <c r="C39" s="123"/>
      <c r="D39" s="168">
        <v>0.9</v>
      </c>
      <c r="E39" s="126"/>
      <c r="F39" s="139"/>
      <c r="G39" s="138" t="s">
        <v>130</v>
      </c>
      <c r="H39" s="139"/>
      <c r="I39" s="139">
        <f>0.3+0.62*(I37^0.5)*(I38^(1/3))*((1+(I37/282000)^(5/8))^(4/5))/((1+(0.4*I38)^(2/3))^0.25)</f>
        <v>0.3</v>
      </c>
      <c r="J39" s="148"/>
      <c r="K39" s="129"/>
      <c r="M39" s="180">
        <v>350</v>
      </c>
      <c r="N39" s="178">
        <v>0.56599999999999995</v>
      </c>
      <c r="O39" s="179">
        <v>1055</v>
      </c>
      <c r="P39" s="178">
        <v>4.8500000000000001E-2</v>
      </c>
      <c r="Q39" s="178">
        <v>55.05</v>
      </c>
      <c r="R39" s="178">
        <v>1.6100000000000001E-3</v>
      </c>
      <c r="S39" s="181">
        <v>0.68</v>
      </c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</row>
    <row r="40" spans="1:32" ht="15">
      <c r="A40" s="138"/>
      <c r="B40" s="122"/>
      <c r="C40" s="123"/>
      <c r="D40" s="168"/>
      <c r="E40" s="126"/>
      <c r="F40" s="139"/>
      <c r="G40" s="150" t="s">
        <v>119</v>
      </c>
      <c r="H40" s="151"/>
      <c r="I40" s="227">
        <f>I39*I35/I36</f>
        <v>8.9665705407347817E-3</v>
      </c>
      <c r="J40" s="133" t="s">
        <v>133</v>
      </c>
      <c r="K40" s="129"/>
      <c r="M40" s="182">
        <v>400</v>
      </c>
      <c r="N40" s="183">
        <v>0.52400000000000002</v>
      </c>
      <c r="O40" s="184">
        <v>1068</v>
      </c>
      <c r="P40" s="183">
        <v>5.1499999999999997E-2</v>
      </c>
      <c r="Q40" s="183">
        <v>62.53</v>
      </c>
      <c r="R40" s="183">
        <v>1.49E-3</v>
      </c>
      <c r="S40" s="185">
        <v>0.68</v>
      </c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</row>
    <row r="41" spans="1:32" ht="15">
      <c r="A41" s="138"/>
      <c r="B41" s="122"/>
      <c r="C41" s="123"/>
      <c r="D41" s="168"/>
      <c r="E41" s="126"/>
      <c r="F41" s="139"/>
      <c r="G41" s="139"/>
      <c r="H41" s="139"/>
      <c r="I41" s="139"/>
      <c r="J41" s="139"/>
      <c r="K41" s="126"/>
      <c r="M41" s="196">
        <f>VLOOKUP($P$20,$M$23:$S$40,1)</f>
        <v>80</v>
      </c>
      <c r="N41" s="197">
        <f>VLOOKUP($P$20,$M$23:$S$40,2)</f>
        <v>1</v>
      </c>
      <c r="O41" s="197">
        <f>VLOOKUP($P$20,$M$23:$S$40,3)</f>
        <v>1009</v>
      </c>
      <c r="P41" s="197">
        <f>VLOOKUP($P$20,$M$23:$S$40,4)</f>
        <v>2.9899999999999999E-2</v>
      </c>
      <c r="Q41" s="197">
        <f>VLOOKUP($P$20,$M$23:$S$40,5)</f>
        <v>20.94</v>
      </c>
      <c r="R41" s="197">
        <f>VLOOKUP($P$20,$M$23:$S$40,6)</f>
        <v>2.8300000000000001E-3</v>
      </c>
      <c r="S41" s="198">
        <f>VLOOKUP($P$20,$M$23:$S$40,7)</f>
        <v>0.70799999999999996</v>
      </c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</row>
    <row r="42" spans="1:32" ht="15">
      <c r="A42" s="138"/>
      <c r="B42" s="122" t="s">
        <v>114</v>
      </c>
      <c r="C42" s="123"/>
      <c r="D42" s="127">
        <f>IF(E36=1,D36,(IF(E36=2,D37,IF(E36=3,D38,D39))))</f>
        <v>0.9</v>
      </c>
      <c r="E42" s="126"/>
      <c r="F42" s="139"/>
      <c r="G42" s="145" t="s">
        <v>136</v>
      </c>
      <c r="H42" s="146"/>
      <c r="I42" s="146"/>
      <c r="J42" s="147"/>
      <c r="K42" s="126"/>
      <c r="M42" s="199">
        <f>INDEX(M23:S40,MATCH(M41,M23:M40,0)+1,1)</f>
        <v>100</v>
      </c>
      <c r="N42" s="200">
        <f>VLOOKUP($M$42,$M$23:$S$40,2)</f>
        <v>0.94599999999999995</v>
      </c>
      <c r="O42" s="200">
        <f>VLOOKUP($M$42,$M$23:$S$40,3)</f>
        <v>1009</v>
      </c>
      <c r="P42" s="200">
        <f>VLOOKUP($M$42,$M$23:$S$40,4)</f>
        <v>3.1399999999999997E-2</v>
      </c>
      <c r="Q42" s="200">
        <f>VLOOKUP($M$42,$M$23:$S$40,5)</f>
        <v>23.06</v>
      </c>
      <c r="R42" s="200">
        <f>VLOOKUP($M$42,$M$23:$S$40,6)</f>
        <v>2.6800000000000001E-3</v>
      </c>
      <c r="S42" s="201">
        <f>VLOOKUP($M$42,$M$23:$S$40,7)</f>
        <v>0.70299999999999996</v>
      </c>
      <c r="U42" s="193"/>
      <c r="V42" s="195"/>
      <c r="W42" s="193"/>
      <c r="X42" s="193"/>
      <c r="Y42" s="193"/>
      <c r="Z42" s="193"/>
      <c r="AA42" s="193"/>
      <c r="AB42" s="193"/>
      <c r="AC42" s="193"/>
      <c r="AD42" s="193"/>
      <c r="AE42" s="193"/>
      <c r="AF42" s="193"/>
    </row>
    <row r="43" spans="1:32">
      <c r="A43" s="138"/>
      <c r="B43" s="130" t="s">
        <v>119</v>
      </c>
      <c r="C43" s="159"/>
      <c r="D43" s="227">
        <f>D42*0.0000000567*((D11+273)^2+(D9+273)^2)*(D11+273+D9+273)</f>
        <v>9.4400720413031785</v>
      </c>
      <c r="E43" s="133" t="s">
        <v>133</v>
      </c>
      <c r="F43" s="139"/>
      <c r="G43" s="138"/>
      <c r="H43" s="139"/>
      <c r="I43" s="123"/>
      <c r="J43" s="148"/>
      <c r="K43" s="126"/>
      <c r="M43" s="202">
        <f>P20</f>
        <v>84.13756287433624</v>
      </c>
      <c r="N43" s="203">
        <f t="shared" ref="N43:S43" si="4">N41+($M$43-$M$41)/($M$42-$M$41)*(N41-N42)</f>
        <v>1.0111714197607078</v>
      </c>
      <c r="O43" s="203">
        <f t="shared" si="4"/>
        <v>1009</v>
      </c>
      <c r="P43" s="203">
        <f t="shared" si="4"/>
        <v>2.9589682784424781E-2</v>
      </c>
      <c r="Q43" s="203">
        <f t="shared" si="4"/>
        <v>20.501418335320359</v>
      </c>
      <c r="R43" s="203">
        <f t="shared" si="4"/>
        <v>2.8610317215575221E-3</v>
      </c>
      <c r="S43" s="204">
        <f t="shared" si="4"/>
        <v>0.70903439071858398</v>
      </c>
      <c r="U43" s="158"/>
      <c r="V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</row>
    <row r="44" spans="1:32">
      <c r="A44" s="138"/>
      <c r="B44" s="139"/>
      <c r="C44" s="139"/>
      <c r="D44" s="139"/>
      <c r="E44" s="139"/>
      <c r="F44" s="139"/>
      <c r="G44" s="138" t="s">
        <v>135</v>
      </c>
      <c r="H44" s="139"/>
      <c r="I44" s="103">
        <f>R43</f>
        <v>2.8610317215575221E-3</v>
      </c>
      <c r="J44" s="152"/>
      <c r="K44" s="148"/>
    </row>
    <row r="45" spans="1:32">
      <c r="A45" s="138"/>
      <c r="B45" s="139"/>
      <c r="C45" s="139"/>
      <c r="D45" s="139"/>
      <c r="E45" s="139"/>
      <c r="F45" s="139"/>
      <c r="G45" s="138" t="s">
        <v>124</v>
      </c>
      <c r="H45" s="139"/>
      <c r="I45" s="103">
        <f>Q43*0.000001</f>
        <v>2.050141833532036E-5</v>
      </c>
      <c r="J45" s="148" t="s">
        <v>243</v>
      </c>
      <c r="K45" s="126"/>
    </row>
    <row r="46" spans="1:32">
      <c r="A46" s="138"/>
      <c r="B46" s="139"/>
      <c r="C46" s="139"/>
      <c r="D46" s="139"/>
      <c r="E46" s="139"/>
      <c r="F46" s="139"/>
      <c r="G46" s="138" t="s">
        <v>235</v>
      </c>
      <c r="H46" s="139"/>
      <c r="I46" s="103">
        <f>P43</f>
        <v>2.9589682784424781E-2</v>
      </c>
      <c r="J46" s="148" t="s">
        <v>85</v>
      </c>
      <c r="K46" s="148"/>
      <c r="M46" s="83" t="s">
        <v>141</v>
      </c>
    </row>
    <row r="47" spans="1:32" ht="15">
      <c r="A47" s="138"/>
      <c r="B47" s="139"/>
      <c r="C47" s="139"/>
      <c r="D47" s="139"/>
      <c r="E47" s="139"/>
      <c r="F47" s="139"/>
      <c r="G47" s="138" t="s">
        <v>240</v>
      </c>
      <c r="H47" s="139"/>
      <c r="I47" s="205">
        <f>O43</f>
        <v>1009</v>
      </c>
      <c r="J47" s="148" t="s">
        <v>242</v>
      </c>
      <c r="K47" s="148"/>
      <c r="M47" s="118" t="s">
        <v>104</v>
      </c>
      <c r="N47" s="119"/>
      <c r="O47" s="119"/>
      <c r="P47" s="119"/>
      <c r="Q47" s="121"/>
      <c r="R47" s="228" t="s">
        <v>103</v>
      </c>
      <c r="S47" s="229"/>
      <c r="T47" s="230"/>
    </row>
    <row r="48" spans="1:32" ht="15">
      <c r="A48" s="138"/>
      <c r="B48" s="139"/>
      <c r="C48" s="139"/>
      <c r="D48" s="139"/>
      <c r="E48" s="139"/>
      <c r="F48" s="139"/>
      <c r="G48" s="138" t="s">
        <v>236</v>
      </c>
      <c r="H48" s="139"/>
      <c r="I48" s="206">
        <f>N43</f>
        <v>1.0111714197607078</v>
      </c>
      <c r="J48" s="148" t="s">
        <v>241</v>
      </c>
      <c r="K48" s="148"/>
      <c r="M48" s="125"/>
      <c r="N48" s="123"/>
      <c r="O48" s="123"/>
      <c r="P48" s="123"/>
      <c r="Q48" s="126"/>
      <c r="R48" s="231" t="s">
        <v>105</v>
      </c>
      <c r="S48" s="232"/>
      <c r="T48" s="233"/>
    </row>
    <row r="49" spans="1:20" ht="15">
      <c r="A49" s="138"/>
      <c r="B49" s="139"/>
      <c r="C49" s="139"/>
      <c r="D49" s="139"/>
      <c r="E49" s="139"/>
      <c r="F49" s="139"/>
      <c r="G49" s="122" t="s">
        <v>122</v>
      </c>
      <c r="H49" s="139"/>
      <c r="I49" s="102">
        <f>S43</f>
        <v>0.70903439071858398</v>
      </c>
      <c r="J49" s="148"/>
      <c r="K49" s="148"/>
      <c r="M49" s="125" t="s">
        <v>106</v>
      </c>
      <c r="N49" s="106" t="s">
        <v>107</v>
      </c>
      <c r="O49" s="123"/>
      <c r="P49" s="123"/>
      <c r="Q49" s="126"/>
      <c r="R49" s="231" t="s">
        <v>108</v>
      </c>
      <c r="S49" s="234">
        <v>0.4</v>
      </c>
      <c r="T49" s="235">
        <f>E36</f>
        <v>4</v>
      </c>
    </row>
    <row r="50" spans="1:20" ht="18">
      <c r="A50" s="138"/>
      <c r="B50" s="139"/>
      <c r="C50" s="139"/>
      <c r="D50" s="139"/>
      <c r="E50" s="139"/>
      <c r="F50" s="139"/>
      <c r="G50" s="138" t="s">
        <v>125</v>
      </c>
      <c r="H50" s="139"/>
      <c r="I50" s="190">
        <f>I46/(I48*I47)</f>
        <v>2.9001760188334728E-5</v>
      </c>
      <c r="J50" s="148" t="s">
        <v>243</v>
      </c>
      <c r="K50" s="148"/>
      <c r="M50" s="125" t="s">
        <v>109</v>
      </c>
      <c r="N50" s="106" t="s">
        <v>110</v>
      </c>
      <c r="O50" s="123"/>
      <c r="P50" s="123"/>
      <c r="Q50" s="126"/>
      <c r="R50" s="231" t="s">
        <v>111</v>
      </c>
      <c r="S50" s="234">
        <v>0.5</v>
      </c>
      <c r="T50" s="236"/>
    </row>
    <row r="51" spans="1:20" ht="15">
      <c r="A51" s="138"/>
      <c r="B51" s="139"/>
      <c r="C51" s="139"/>
      <c r="D51" s="139"/>
      <c r="E51" s="139"/>
      <c r="F51" s="139"/>
      <c r="G51" s="122" t="s">
        <v>121</v>
      </c>
      <c r="H51" s="139"/>
      <c r="I51" s="149">
        <f>(D11-D9)*I44*(D6^3)*9.81/I45/I50</f>
        <v>14063568659.97294</v>
      </c>
      <c r="J51" s="148"/>
      <c r="K51" s="148"/>
      <c r="M51" s="130" t="s">
        <v>112</v>
      </c>
      <c r="N51" s="113"/>
      <c r="O51" s="113">
        <f>IF(D10&lt;5,5.8+4*D10,7.15*D10^0.78)</f>
        <v>5.8</v>
      </c>
      <c r="P51" s="113"/>
      <c r="Q51" s="131"/>
      <c r="R51" s="231" t="s">
        <v>97</v>
      </c>
      <c r="S51" s="234">
        <v>4.3</v>
      </c>
      <c r="T51" s="237" t="s">
        <v>261</v>
      </c>
    </row>
    <row r="52" spans="1:20" ht="15">
      <c r="A52" s="138"/>
      <c r="B52" s="139"/>
      <c r="C52" s="139"/>
      <c r="D52" s="139"/>
      <c r="E52" s="139"/>
      <c r="F52" s="139"/>
      <c r="G52" s="122" t="s">
        <v>123</v>
      </c>
      <c r="H52" s="139"/>
      <c r="I52" s="139">
        <f>(0.825+(0.387*I51^(1/6))/((1+(0.492/I49)^(9/16))^(8/27)))^2</f>
        <v>280.97244027103449</v>
      </c>
      <c r="J52" s="148"/>
      <c r="K52" s="148"/>
      <c r="M52" s="118" t="s">
        <v>113</v>
      </c>
      <c r="N52" s="119"/>
      <c r="O52" s="119"/>
      <c r="P52" s="121"/>
      <c r="Q52" s="111"/>
      <c r="R52" s="231" t="s">
        <v>114</v>
      </c>
      <c r="S52" s="234">
        <f>IF(T49=1,S49,(IF(T49=2,S50,S51)))</f>
        <v>4.3</v>
      </c>
      <c r="T52" s="237"/>
    </row>
    <row r="53" spans="1:20" ht="15.75">
      <c r="A53" s="138"/>
      <c r="B53" s="139"/>
      <c r="C53" s="139"/>
      <c r="D53" s="139"/>
      <c r="E53" s="139"/>
      <c r="F53" s="139"/>
      <c r="G53" s="112" t="s">
        <v>119</v>
      </c>
      <c r="H53" s="151"/>
      <c r="I53" s="227">
        <f>I46*I52/D6</f>
        <v>5.542590252523766</v>
      </c>
      <c r="J53" s="133" t="s">
        <v>133</v>
      </c>
      <c r="K53" s="148"/>
      <c r="M53" s="125" t="s">
        <v>115</v>
      </c>
      <c r="N53" s="123"/>
      <c r="O53" s="123"/>
      <c r="P53" s="126"/>
      <c r="Q53" s="111"/>
      <c r="R53" s="238" t="s">
        <v>116</v>
      </c>
      <c r="S53" s="239"/>
      <c r="T53" s="240">
        <f>S52*((D11+273)^4-(D9+273)^4)/(D11-D9)/100^4</f>
        <v>7.9545972521269199</v>
      </c>
    </row>
    <row r="54" spans="1:20">
      <c r="A54" s="150"/>
      <c r="B54" s="151"/>
      <c r="C54" s="151"/>
      <c r="D54" s="151"/>
      <c r="E54" s="151"/>
      <c r="F54" s="151"/>
      <c r="G54" s="151"/>
      <c r="H54" s="151"/>
      <c r="I54" s="151"/>
      <c r="J54" s="113"/>
      <c r="K54" s="133"/>
      <c r="M54" s="130" t="s">
        <v>117</v>
      </c>
      <c r="N54" s="132">
        <f>8.3*((D11-D9)/D9)^0.25</f>
        <v>10.116322847654716</v>
      </c>
      <c r="O54" s="157"/>
      <c r="P54" s="131"/>
      <c r="Q54" s="111"/>
    </row>
    <row r="57" spans="1:20">
      <c r="D57" s="111"/>
      <c r="E57" s="111"/>
      <c r="F57" s="111"/>
      <c r="G57" s="111"/>
      <c r="H57" s="111"/>
      <c r="I57" s="111"/>
      <c r="J57" s="111"/>
      <c r="K57" s="111"/>
    </row>
    <row r="58" spans="1:20">
      <c r="D58" s="111"/>
      <c r="E58" s="111"/>
      <c r="F58" s="111"/>
      <c r="G58" s="111"/>
      <c r="H58" s="111"/>
      <c r="I58" s="111"/>
      <c r="J58" s="111"/>
      <c r="K58" s="139"/>
      <c r="L58" s="139"/>
      <c r="M58" s="139"/>
      <c r="N58" s="139"/>
    </row>
    <row r="59" spans="1:20">
      <c r="D59" s="111"/>
      <c r="E59" s="111"/>
      <c r="F59" s="111"/>
      <c r="G59" s="111"/>
      <c r="H59" s="111"/>
      <c r="I59" s="111"/>
      <c r="J59" s="111"/>
      <c r="K59" s="123"/>
      <c r="L59" s="140"/>
      <c r="M59" s="123"/>
      <c r="N59" s="139"/>
    </row>
    <row r="60" spans="1:20">
      <c r="D60" s="111"/>
      <c r="E60" s="111"/>
      <c r="F60" s="111"/>
      <c r="G60" s="111"/>
      <c r="H60" s="111"/>
      <c r="I60" s="111"/>
      <c r="J60" s="111"/>
      <c r="K60" s="123"/>
      <c r="L60" s="139"/>
      <c r="M60" s="139"/>
      <c r="N60" s="139"/>
    </row>
    <row r="61" spans="1:20">
      <c r="H61" s="111"/>
      <c r="I61" s="111"/>
      <c r="J61" s="111"/>
      <c r="K61" s="111"/>
    </row>
    <row r="62" spans="1:20">
      <c r="H62" s="111"/>
      <c r="I62" s="111"/>
      <c r="J62" s="111"/>
      <c r="K62" s="111"/>
    </row>
    <row r="63" spans="1:20">
      <c r="D63" s="111"/>
      <c r="E63" s="111"/>
      <c r="F63" s="111"/>
      <c r="G63" s="111"/>
      <c r="H63" s="111"/>
      <c r="I63" s="111"/>
      <c r="J63" s="111"/>
      <c r="K63" s="111"/>
    </row>
    <row r="64" spans="1:20">
      <c r="B64" s="111"/>
      <c r="G64" s="111"/>
      <c r="H64" s="111"/>
      <c r="I64" s="111"/>
      <c r="J64" s="111"/>
      <c r="K64" s="111"/>
    </row>
    <row r="65" spans="1:11">
      <c r="A65" s="111"/>
      <c r="B65" s="111"/>
      <c r="G65" s="111"/>
      <c r="H65" s="111"/>
      <c r="I65" s="111"/>
      <c r="J65" s="111"/>
      <c r="K65" s="111"/>
    </row>
    <row r="66" spans="1:11">
      <c r="A66" s="111"/>
      <c r="B66" s="111"/>
      <c r="G66" s="111"/>
      <c r="H66" s="111"/>
      <c r="I66" s="111"/>
      <c r="J66" s="111"/>
      <c r="K66" s="111"/>
    </row>
    <row r="67" spans="1:11">
      <c r="A67" s="111"/>
      <c r="B67" s="111"/>
      <c r="C67" s="111"/>
      <c r="D67" s="111"/>
      <c r="E67" s="111"/>
      <c r="F67" s="111"/>
      <c r="G67" s="111"/>
      <c r="H67" s="111"/>
      <c r="I67" s="111"/>
      <c r="J67" s="111"/>
      <c r="K67" s="111"/>
    </row>
    <row r="68" spans="1:11">
      <c r="A68" s="111"/>
      <c r="B68" s="111"/>
      <c r="C68" s="117"/>
      <c r="D68" s="111"/>
      <c r="E68" s="111"/>
      <c r="F68" s="111"/>
      <c r="G68" s="111"/>
      <c r="H68" s="111"/>
      <c r="I68" s="111"/>
      <c r="J68" s="111"/>
      <c r="K68" s="111"/>
    </row>
    <row r="69" spans="1:11">
      <c r="A69" s="111"/>
      <c r="B69" s="111"/>
      <c r="H69" s="111"/>
      <c r="I69" s="111"/>
      <c r="J69" s="111"/>
      <c r="K69" s="111"/>
    </row>
    <row r="70" spans="1:11">
      <c r="A70" s="111"/>
      <c r="B70" s="111"/>
      <c r="C70" s="117"/>
      <c r="D70" s="111"/>
      <c r="E70" s="111"/>
      <c r="F70" s="111"/>
      <c r="G70" s="111"/>
      <c r="H70" s="111"/>
      <c r="I70" s="111"/>
      <c r="J70" s="111"/>
      <c r="K70" s="111"/>
    </row>
    <row r="71" spans="1:11">
      <c r="A71" s="111"/>
      <c r="B71" s="111"/>
      <c r="C71" s="111"/>
      <c r="D71" s="111"/>
      <c r="E71" s="117"/>
      <c r="F71" s="111"/>
      <c r="G71" s="111"/>
      <c r="H71" s="111"/>
      <c r="I71" s="111"/>
      <c r="J71" s="111"/>
      <c r="K71" s="111"/>
    </row>
    <row r="72" spans="1:11">
      <c r="A72" s="111"/>
      <c r="B72" s="111"/>
      <c r="C72" s="111"/>
      <c r="D72" s="111"/>
      <c r="E72" s="111"/>
      <c r="F72" s="111"/>
      <c r="G72" s="111"/>
      <c r="H72" s="111"/>
      <c r="I72" s="111"/>
      <c r="J72" s="111"/>
      <c r="K72" s="111"/>
    </row>
    <row r="73" spans="1:11">
      <c r="A73" s="111"/>
      <c r="B73" s="111"/>
      <c r="H73" s="111"/>
      <c r="I73" s="111"/>
      <c r="J73" s="111"/>
      <c r="K73" s="111"/>
    </row>
    <row r="74" spans="1:11">
      <c r="A74" s="111"/>
      <c r="B74" s="111"/>
      <c r="C74" s="111"/>
      <c r="D74" s="111"/>
      <c r="E74" s="111"/>
      <c r="F74" s="111"/>
      <c r="G74" s="111"/>
      <c r="H74" s="111"/>
      <c r="I74" s="111"/>
      <c r="J74" s="111"/>
      <c r="K74" s="111"/>
    </row>
  </sheetData>
  <mergeCells count="5">
    <mergeCell ref="G3:K3"/>
    <mergeCell ref="G4:K4"/>
    <mergeCell ref="F6:J6"/>
    <mergeCell ref="G1:K1"/>
    <mergeCell ref="G2:K2"/>
  </mergeCells>
  <conditionalFormatting sqref="F6">
    <cfRule type="cellIs" dxfId="2" priority="4" operator="equal">
      <formula>"ok"</formula>
    </cfRule>
  </conditionalFormatting>
  <conditionalFormatting sqref="F6">
    <cfRule type="cellIs" dxfId="1" priority="2" operator="equal">
      <formula>"iterations ok"</formula>
    </cfRule>
    <cfRule type="containsText" dxfId="0" priority="3" operator="containsText" text="iterations ok">
      <formula>NOT(ISERROR(SEARCH("iterations ok",F6)))</formula>
    </cfRule>
  </conditionalFormatting>
  <pageMargins left="0.78740157480314965" right="0.39370078740157483" top="0.98425196850393704" bottom="0.98425196850393704" header="0.51181102362204722" footer="0.51181102362204722"/>
  <pageSetup paperSize="9" scale="88" orientation="portrait" r:id="rId1"/>
  <headerFooter alignWithMargins="0"/>
  <drawing r:id="rId2"/>
  <legacyDrawing r:id="rId3"/>
  <oleObjects>
    <oleObject progId="Equation.3" shapeId="4102" r:id="rId4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4"/>
  <dimension ref="A1:L42"/>
  <sheetViews>
    <sheetView topLeftCell="A4" workbookViewId="0">
      <selection activeCell="C29" sqref="C29"/>
    </sheetView>
  </sheetViews>
  <sheetFormatPr defaultRowHeight="15"/>
  <cols>
    <col min="1" max="1" width="10" bestFit="1" customWidth="1"/>
  </cols>
  <sheetData>
    <row r="1" spans="1:12" ht="21">
      <c r="A1" s="31" t="s">
        <v>15</v>
      </c>
      <c r="B1" s="15"/>
      <c r="C1" s="16"/>
      <c r="D1" s="17"/>
      <c r="E1" s="17"/>
      <c r="F1" s="10"/>
      <c r="G1" s="9"/>
      <c r="H1" s="9"/>
    </row>
    <row r="2" spans="1:12">
      <c r="A2" s="15" t="s">
        <v>16</v>
      </c>
      <c r="B2" s="15"/>
      <c r="C2" s="25"/>
      <c r="D2" s="18"/>
      <c r="E2" s="18"/>
      <c r="F2" s="10"/>
      <c r="G2" s="9"/>
      <c r="H2" s="9"/>
    </row>
    <row r="3" spans="1:12">
      <c r="A3" s="15"/>
      <c r="B3" s="15"/>
      <c r="C3" s="25"/>
      <c r="D3" s="19"/>
      <c r="E3" s="19"/>
      <c r="F3" s="10"/>
      <c r="G3" s="9"/>
      <c r="H3" s="9"/>
      <c r="I3" s="2"/>
      <c r="J3" s="2"/>
      <c r="K3" s="2"/>
      <c r="L3" s="2"/>
    </row>
    <row r="4" spans="1:12">
      <c r="D4" s="10"/>
      <c r="E4" s="10"/>
      <c r="F4" s="10"/>
      <c r="G4" s="16"/>
      <c r="H4" s="9"/>
      <c r="I4" s="3"/>
      <c r="J4" s="4"/>
      <c r="K4" s="4"/>
      <c r="L4" s="4"/>
    </row>
    <row r="6" spans="1:12">
      <c r="A6" s="27" t="s">
        <v>270</v>
      </c>
      <c r="B6" s="28"/>
      <c r="C6" s="29"/>
      <c r="D6" s="32"/>
      <c r="E6" s="10"/>
      <c r="F6" s="10"/>
      <c r="G6" s="9"/>
      <c r="H6" s="9"/>
      <c r="I6" s="5"/>
      <c r="J6" s="5"/>
      <c r="K6" s="5"/>
      <c r="L6" s="5"/>
    </row>
    <row r="7" spans="1:12">
      <c r="A7" s="26"/>
      <c r="B7" s="26" t="s">
        <v>267</v>
      </c>
      <c r="C7" s="256" t="s">
        <v>268</v>
      </c>
      <c r="D7" s="10"/>
      <c r="E7" s="10"/>
      <c r="F7" s="10"/>
      <c r="G7" s="9"/>
      <c r="H7" s="9"/>
      <c r="I7" s="5"/>
      <c r="J7" s="5"/>
      <c r="K7" s="5"/>
      <c r="L7" s="5"/>
    </row>
    <row r="8" spans="1:12">
      <c r="A8" s="26" t="s">
        <v>10</v>
      </c>
      <c r="B8" s="272">
        <v>1850</v>
      </c>
      <c r="C8" s="273">
        <f>B8+2*$B$12</f>
        <v>2016</v>
      </c>
      <c r="D8" s="30" t="s">
        <v>13</v>
      </c>
      <c r="E8" s="10"/>
      <c r="F8" s="10"/>
      <c r="G8" s="9"/>
      <c r="H8" s="9"/>
      <c r="I8" s="5"/>
      <c r="J8" s="5"/>
      <c r="K8" s="5"/>
      <c r="L8" s="5"/>
    </row>
    <row r="9" spans="1:12">
      <c r="A9" s="26" t="s">
        <v>17</v>
      </c>
      <c r="B9" s="274">
        <v>740</v>
      </c>
      <c r="C9" s="275">
        <f>B9+2*$B$12</f>
        <v>906</v>
      </c>
      <c r="D9" s="26" t="s">
        <v>13</v>
      </c>
      <c r="E9" s="10"/>
      <c r="F9" s="10"/>
      <c r="G9" s="9"/>
      <c r="H9" s="9"/>
      <c r="I9" s="5"/>
      <c r="J9" s="5"/>
      <c r="K9" s="5"/>
      <c r="L9" s="5"/>
    </row>
    <row r="10" spans="1:12">
      <c r="A10" s="26" t="s">
        <v>11</v>
      </c>
      <c r="B10" s="274">
        <v>3789</v>
      </c>
      <c r="C10" s="276">
        <f>B10+2*$B$12</f>
        <v>3955</v>
      </c>
      <c r="D10" s="30" t="s">
        <v>13</v>
      </c>
      <c r="E10" s="10"/>
      <c r="F10" s="10"/>
      <c r="G10" s="9"/>
      <c r="H10" s="9"/>
      <c r="K10" s="5"/>
      <c r="L10" s="5"/>
    </row>
    <row r="11" spans="1:12">
      <c r="A11" s="26" t="s">
        <v>12</v>
      </c>
      <c r="B11" s="274">
        <v>2427</v>
      </c>
      <c r="C11" s="276">
        <f>B11+2*$B$12</f>
        <v>2593</v>
      </c>
      <c r="D11" s="26" t="s">
        <v>13</v>
      </c>
      <c r="E11" s="10"/>
      <c r="F11" s="10"/>
      <c r="G11" s="9"/>
      <c r="H11" s="9"/>
      <c r="K11" s="5"/>
      <c r="L11" s="5"/>
    </row>
    <row r="12" spans="1:12">
      <c r="A12" s="33" t="s">
        <v>269</v>
      </c>
      <c r="B12" s="277">
        <f>8+25+50</f>
        <v>83</v>
      </c>
      <c r="C12" s="278"/>
      <c r="D12" s="33" t="s">
        <v>13</v>
      </c>
      <c r="E12" s="10"/>
      <c r="F12" s="10"/>
      <c r="G12" s="9"/>
      <c r="H12" s="9"/>
      <c r="K12" s="5"/>
      <c r="L12" s="5"/>
    </row>
    <row r="13" spans="1:12">
      <c r="A13" s="33" t="s">
        <v>340</v>
      </c>
      <c r="B13" s="274">
        <v>2</v>
      </c>
      <c r="D13" s="33" t="s">
        <v>341</v>
      </c>
      <c r="G13" s="9"/>
      <c r="H13" s="9"/>
      <c r="K13" s="5"/>
      <c r="L13" s="5"/>
    </row>
    <row r="14" spans="1:12">
      <c r="G14" s="9"/>
      <c r="H14" s="10"/>
      <c r="K14" s="5"/>
      <c r="L14" s="5"/>
    </row>
    <row r="15" spans="1:12">
      <c r="A15" s="22" t="s">
        <v>14</v>
      </c>
      <c r="B15" s="23"/>
      <c r="C15" s="23"/>
      <c r="D15" s="23"/>
      <c r="E15" s="10"/>
      <c r="F15" s="10"/>
      <c r="G15" s="9"/>
      <c r="H15" s="10"/>
      <c r="K15" s="5"/>
      <c r="L15" s="5"/>
    </row>
    <row r="16" spans="1:12">
      <c r="A16" s="20"/>
      <c r="B16" s="21" t="s">
        <v>267</v>
      </c>
      <c r="C16" s="21" t="s">
        <v>268</v>
      </c>
      <c r="D16" s="21"/>
      <c r="E16" s="10"/>
      <c r="F16" s="10"/>
      <c r="G16" s="9"/>
      <c r="H16" s="9"/>
      <c r="K16" s="5"/>
      <c r="L16" s="5"/>
    </row>
    <row r="17" spans="1:12">
      <c r="A17" s="20" t="s">
        <v>0</v>
      </c>
      <c r="B17" s="279">
        <f>B13*0.000001*PI()*(B9/2+B8/2)*((B9/2+B8/2)^2+B10^2)^0.5</f>
        <v>32.581001348049909</v>
      </c>
      <c r="C17" s="280">
        <f>B13*0.000001*PI()*(C9/2+C8/2)*((C9/2+C8/2)^2+C10^2)^0.5</f>
        <v>38.703814968569901</v>
      </c>
      <c r="D17" s="21" t="s">
        <v>8</v>
      </c>
      <c r="E17" s="10"/>
      <c r="F17" s="10"/>
      <c r="G17" s="9"/>
      <c r="H17" s="9"/>
      <c r="K17" s="6"/>
      <c r="L17" s="6"/>
    </row>
    <row r="18" spans="1:12">
      <c r="A18" s="20" t="s">
        <v>1</v>
      </c>
      <c r="B18" s="281">
        <f>B13*0.000001*PI()*B8*B11</f>
        <v>28.211187869970981</v>
      </c>
      <c r="C18" s="282">
        <f>B13*0.000001*PI()*C8*C11</f>
        <v>32.845275795057596</v>
      </c>
      <c r="D18" s="21" t="s">
        <v>8</v>
      </c>
      <c r="E18" s="10"/>
      <c r="F18" s="10"/>
      <c r="G18" s="9"/>
      <c r="H18" s="9"/>
      <c r="K18" s="6"/>
      <c r="L18" s="6"/>
    </row>
    <row r="19" spans="1:12">
      <c r="A19" s="20" t="s">
        <v>2</v>
      </c>
      <c r="B19" s="281">
        <f>B17+B18</f>
        <v>60.792189218020894</v>
      </c>
      <c r="C19" s="282">
        <f>C17+C18</f>
        <v>71.549090763627504</v>
      </c>
      <c r="D19" s="21" t="s">
        <v>8</v>
      </c>
      <c r="E19" s="11"/>
      <c r="F19" s="11"/>
      <c r="G19" s="9"/>
      <c r="H19" s="9"/>
      <c r="K19" s="6"/>
      <c r="L19" s="6"/>
    </row>
    <row r="20" spans="1:12">
      <c r="A20" s="12"/>
      <c r="B20" s="283"/>
      <c r="C20" s="284"/>
      <c r="D20" s="24"/>
      <c r="E20" s="11"/>
      <c r="F20" s="11"/>
      <c r="G20" s="9"/>
      <c r="H20" s="9"/>
      <c r="K20" s="6"/>
      <c r="L20" s="6"/>
    </row>
    <row r="21" spans="1:12">
      <c r="A21" s="20" t="s">
        <v>9</v>
      </c>
      <c r="B21" s="285">
        <v>1380</v>
      </c>
      <c r="C21" s="275"/>
      <c r="D21" s="24" t="s">
        <v>3</v>
      </c>
      <c r="E21" s="24" t="s">
        <v>272</v>
      </c>
      <c r="F21" s="14"/>
      <c r="G21" s="9"/>
      <c r="H21" s="9"/>
      <c r="K21" s="2"/>
      <c r="L21" s="2"/>
    </row>
    <row r="22" spans="1:12">
      <c r="A22" s="20" t="s">
        <v>4</v>
      </c>
      <c r="B22" s="285">
        <v>10</v>
      </c>
      <c r="C22" s="275"/>
      <c r="D22" s="24" t="s">
        <v>5</v>
      </c>
      <c r="E22" s="24" t="s">
        <v>18</v>
      </c>
      <c r="F22" s="14"/>
      <c r="G22" s="9"/>
      <c r="H22" s="9"/>
      <c r="K22" s="2"/>
      <c r="L22" s="2"/>
    </row>
    <row r="23" spans="1:12">
      <c r="A23" s="20" t="s">
        <v>271</v>
      </c>
      <c r="B23" s="285">
        <v>13.4</v>
      </c>
      <c r="C23" s="275"/>
      <c r="D23" s="24" t="s">
        <v>6</v>
      </c>
      <c r="E23" s="24" t="s">
        <v>342</v>
      </c>
      <c r="F23" s="14"/>
      <c r="G23" s="9"/>
      <c r="H23" s="9"/>
    </row>
    <row r="24" spans="1:12">
      <c r="A24" s="20" t="s">
        <v>19</v>
      </c>
      <c r="B24" s="283">
        <f>B23*B22*B21/1000</f>
        <v>184.92</v>
      </c>
      <c r="C24" s="275"/>
      <c r="D24" s="24" t="s">
        <v>7</v>
      </c>
      <c r="E24" s="2" t="s">
        <v>20</v>
      </c>
      <c r="F24" s="14"/>
      <c r="G24" s="9"/>
      <c r="H24" s="9"/>
    </row>
    <row r="25" spans="1:12">
      <c r="A25" s="12"/>
      <c r="B25" s="286"/>
      <c r="C25" s="287"/>
      <c r="D25" s="12"/>
      <c r="E25" s="13"/>
      <c r="F25" s="14"/>
      <c r="G25" s="9"/>
      <c r="H25" s="9"/>
    </row>
    <row r="26" spans="1:12">
      <c r="A26" s="8" t="s">
        <v>19</v>
      </c>
      <c r="B26" s="288">
        <f>B24/B19</f>
        <v>3.041838143660458</v>
      </c>
      <c r="C26" s="290">
        <f>B24/C19</f>
        <v>2.5845192164762687</v>
      </c>
      <c r="D26" s="8" t="s">
        <v>21</v>
      </c>
      <c r="E26" s="8" t="s">
        <v>356</v>
      </c>
      <c r="F26" s="14"/>
      <c r="G26" s="9"/>
      <c r="H26" s="9"/>
    </row>
    <row r="27" spans="1:12">
      <c r="A27" s="13"/>
      <c r="B27" s="13"/>
      <c r="C27" s="13"/>
      <c r="D27" s="13"/>
      <c r="E27" s="13"/>
      <c r="F27" s="14"/>
      <c r="G27" s="9"/>
      <c r="H27" s="9"/>
    </row>
    <row r="28" spans="1:12">
      <c r="A28" s="13"/>
      <c r="B28" s="13"/>
      <c r="C28" s="13"/>
      <c r="D28" s="13"/>
      <c r="E28" s="13"/>
      <c r="F28" s="14"/>
      <c r="G28" s="9"/>
      <c r="H28" s="9"/>
    </row>
    <row r="29" spans="1:12">
      <c r="A29" s="13"/>
      <c r="B29" s="13"/>
      <c r="C29" s="13"/>
      <c r="D29" s="13"/>
      <c r="E29" s="13"/>
      <c r="F29" s="14"/>
    </row>
    <row r="30" spans="1:12">
      <c r="A30" s="13"/>
      <c r="B30" s="13"/>
      <c r="C30" s="13"/>
      <c r="D30" s="13"/>
      <c r="E30" s="13"/>
      <c r="F30" s="14"/>
    </row>
    <row r="31" spans="1:12">
      <c r="A31" s="8"/>
      <c r="B31" s="8"/>
      <c r="C31" s="8"/>
      <c r="D31" s="8"/>
      <c r="E31" s="8"/>
      <c r="F31" s="7"/>
    </row>
    <row r="32" spans="1:12">
      <c r="A32" s="8"/>
      <c r="B32" s="8"/>
      <c r="C32" s="8"/>
      <c r="D32" s="8"/>
      <c r="E32" s="8"/>
      <c r="F32" s="7"/>
    </row>
    <row r="33" spans="1:6">
      <c r="A33" s="8"/>
      <c r="B33" s="8"/>
      <c r="C33" s="8"/>
      <c r="D33" s="8"/>
      <c r="E33" s="8"/>
      <c r="F33" s="7"/>
    </row>
    <row r="34" spans="1:6">
      <c r="A34" s="8"/>
      <c r="B34" s="8"/>
      <c r="C34" s="8"/>
      <c r="D34" s="8"/>
      <c r="E34" s="8"/>
      <c r="F34" s="7"/>
    </row>
    <row r="35" spans="1:6">
      <c r="A35" s="8"/>
      <c r="B35" s="8"/>
      <c r="C35" s="8"/>
      <c r="D35" s="8"/>
      <c r="E35" s="8"/>
      <c r="F35" s="7"/>
    </row>
    <row r="36" spans="1:6">
      <c r="A36" s="8"/>
      <c r="B36" s="8"/>
      <c r="C36" s="8"/>
      <c r="D36" s="8"/>
      <c r="E36" s="8"/>
      <c r="F36" s="7"/>
    </row>
    <row r="37" spans="1:6">
      <c r="A37" s="8"/>
      <c r="B37" s="8"/>
      <c r="C37" s="8"/>
      <c r="D37" s="8"/>
      <c r="E37" s="8"/>
      <c r="F37" s="7"/>
    </row>
    <row r="38" spans="1:6">
      <c r="A38" s="8"/>
      <c r="B38" s="8"/>
      <c r="C38" s="8"/>
      <c r="D38" s="8"/>
      <c r="E38" s="8"/>
      <c r="F38" s="7"/>
    </row>
    <row r="39" spans="1:6">
      <c r="A39" s="8"/>
      <c r="B39" s="8"/>
      <c r="C39" s="8"/>
      <c r="D39" s="8"/>
      <c r="E39" s="8"/>
      <c r="F39" s="7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syncVertical="1" syncRef="A1" transitionEvaluation="1" codeName="Blad2">
    <pageSetUpPr fitToPage="1"/>
  </sheetPr>
  <dimension ref="A1:Y71"/>
  <sheetViews>
    <sheetView showGridLines="0" zoomScale="80" zoomScaleNormal="80" workbookViewId="0">
      <selection activeCell="A2" sqref="A2"/>
    </sheetView>
  </sheetViews>
  <sheetFormatPr defaultColWidth="12.5703125" defaultRowHeight="15.75"/>
  <cols>
    <col min="1" max="2" width="11.28515625" style="34" customWidth="1"/>
    <col min="3" max="5" width="9" style="35" customWidth="1"/>
    <col min="6" max="6" width="13.5703125" style="35" customWidth="1"/>
    <col min="7" max="7" width="14.28515625" style="35" customWidth="1"/>
    <col min="8" max="8" width="13.5703125" style="35" customWidth="1"/>
    <col min="9" max="9" width="9.42578125" style="35" customWidth="1"/>
    <col min="10" max="10" width="12.5703125" style="35"/>
    <col min="11" max="11" width="12.5703125" style="34"/>
    <col min="12" max="12" width="12.5703125" style="35"/>
    <col min="13" max="13" width="32.85546875" style="34" bestFit="1" customWidth="1"/>
    <col min="14" max="17" width="12.5703125" style="34"/>
    <col min="18" max="18" width="13.85546875" style="34" bestFit="1" customWidth="1"/>
    <col min="19" max="257" width="12.5703125" style="34"/>
    <col min="258" max="259" width="11.28515625" style="34" customWidth="1"/>
    <col min="260" max="261" width="9" style="34" customWidth="1"/>
    <col min="262" max="262" width="13.5703125" style="34" customWidth="1"/>
    <col min="263" max="263" width="14.28515625" style="34" customWidth="1"/>
    <col min="264" max="264" width="13.5703125" style="34" customWidth="1"/>
    <col min="265" max="265" width="9.42578125" style="34" customWidth="1"/>
    <col min="266" max="513" width="12.5703125" style="34"/>
    <col min="514" max="515" width="11.28515625" style="34" customWidth="1"/>
    <col min="516" max="517" width="9" style="34" customWidth="1"/>
    <col min="518" max="518" width="13.5703125" style="34" customWidth="1"/>
    <col min="519" max="519" width="14.28515625" style="34" customWidth="1"/>
    <col min="520" max="520" width="13.5703125" style="34" customWidth="1"/>
    <col min="521" max="521" width="9.42578125" style="34" customWidth="1"/>
    <col min="522" max="769" width="12.5703125" style="34"/>
    <col min="770" max="771" width="11.28515625" style="34" customWidth="1"/>
    <col min="772" max="773" width="9" style="34" customWidth="1"/>
    <col min="774" max="774" width="13.5703125" style="34" customWidth="1"/>
    <col min="775" max="775" width="14.28515625" style="34" customWidth="1"/>
    <col min="776" max="776" width="13.5703125" style="34" customWidth="1"/>
    <col min="777" max="777" width="9.42578125" style="34" customWidth="1"/>
    <col min="778" max="1025" width="12.5703125" style="34"/>
    <col min="1026" max="1027" width="11.28515625" style="34" customWidth="1"/>
    <col min="1028" max="1029" width="9" style="34" customWidth="1"/>
    <col min="1030" max="1030" width="13.5703125" style="34" customWidth="1"/>
    <col min="1031" max="1031" width="14.28515625" style="34" customWidth="1"/>
    <col min="1032" max="1032" width="13.5703125" style="34" customWidth="1"/>
    <col min="1033" max="1033" width="9.42578125" style="34" customWidth="1"/>
    <col min="1034" max="1281" width="12.5703125" style="34"/>
    <col min="1282" max="1283" width="11.28515625" style="34" customWidth="1"/>
    <col min="1284" max="1285" width="9" style="34" customWidth="1"/>
    <col min="1286" max="1286" width="13.5703125" style="34" customWidth="1"/>
    <col min="1287" max="1287" width="14.28515625" style="34" customWidth="1"/>
    <col min="1288" max="1288" width="13.5703125" style="34" customWidth="1"/>
    <col min="1289" max="1289" width="9.42578125" style="34" customWidth="1"/>
    <col min="1290" max="1537" width="12.5703125" style="34"/>
    <col min="1538" max="1539" width="11.28515625" style="34" customWidth="1"/>
    <col min="1540" max="1541" width="9" style="34" customWidth="1"/>
    <col min="1542" max="1542" width="13.5703125" style="34" customWidth="1"/>
    <col min="1543" max="1543" width="14.28515625" style="34" customWidth="1"/>
    <col min="1544" max="1544" width="13.5703125" style="34" customWidth="1"/>
    <col min="1545" max="1545" width="9.42578125" style="34" customWidth="1"/>
    <col min="1546" max="1793" width="12.5703125" style="34"/>
    <col min="1794" max="1795" width="11.28515625" style="34" customWidth="1"/>
    <col min="1796" max="1797" width="9" style="34" customWidth="1"/>
    <col min="1798" max="1798" width="13.5703125" style="34" customWidth="1"/>
    <col min="1799" max="1799" width="14.28515625" style="34" customWidth="1"/>
    <col min="1800" max="1800" width="13.5703125" style="34" customWidth="1"/>
    <col min="1801" max="1801" width="9.42578125" style="34" customWidth="1"/>
    <col min="1802" max="2049" width="12.5703125" style="34"/>
    <col min="2050" max="2051" width="11.28515625" style="34" customWidth="1"/>
    <col min="2052" max="2053" width="9" style="34" customWidth="1"/>
    <col min="2054" max="2054" width="13.5703125" style="34" customWidth="1"/>
    <col min="2055" max="2055" width="14.28515625" style="34" customWidth="1"/>
    <col min="2056" max="2056" width="13.5703125" style="34" customWidth="1"/>
    <col min="2057" max="2057" width="9.42578125" style="34" customWidth="1"/>
    <col min="2058" max="2305" width="12.5703125" style="34"/>
    <col min="2306" max="2307" width="11.28515625" style="34" customWidth="1"/>
    <col min="2308" max="2309" width="9" style="34" customWidth="1"/>
    <col min="2310" max="2310" width="13.5703125" style="34" customWidth="1"/>
    <col min="2311" max="2311" width="14.28515625" style="34" customWidth="1"/>
    <col min="2312" max="2312" width="13.5703125" style="34" customWidth="1"/>
    <col min="2313" max="2313" width="9.42578125" style="34" customWidth="1"/>
    <col min="2314" max="2561" width="12.5703125" style="34"/>
    <col min="2562" max="2563" width="11.28515625" style="34" customWidth="1"/>
    <col min="2564" max="2565" width="9" style="34" customWidth="1"/>
    <col min="2566" max="2566" width="13.5703125" style="34" customWidth="1"/>
    <col min="2567" max="2567" width="14.28515625" style="34" customWidth="1"/>
    <col min="2568" max="2568" width="13.5703125" style="34" customWidth="1"/>
    <col min="2569" max="2569" width="9.42578125" style="34" customWidth="1"/>
    <col min="2570" max="2817" width="12.5703125" style="34"/>
    <col min="2818" max="2819" width="11.28515625" style="34" customWidth="1"/>
    <col min="2820" max="2821" width="9" style="34" customWidth="1"/>
    <col min="2822" max="2822" width="13.5703125" style="34" customWidth="1"/>
    <col min="2823" max="2823" width="14.28515625" style="34" customWidth="1"/>
    <col min="2824" max="2824" width="13.5703125" style="34" customWidth="1"/>
    <col min="2825" max="2825" width="9.42578125" style="34" customWidth="1"/>
    <col min="2826" max="3073" width="12.5703125" style="34"/>
    <col min="3074" max="3075" width="11.28515625" style="34" customWidth="1"/>
    <col min="3076" max="3077" width="9" style="34" customWidth="1"/>
    <col min="3078" max="3078" width="13.5703125" style="34" customWidth="1"/>
    <col min="3079" max="3079" width="14.28515625" style="34" customWidth="1"/>
    <col min="3080" max="3080" width="13.5703125" style="34" customWidth="1"/>
    <col min="3081" max="3081" width="9.42578125" style="34" customWidth="1"/>
    <col min="3082" max="3329" width="12.5703125" style="34"/>
    <col min="3330" max="3331" width="11.28515625" style="34" customWidth="1"/>
    <col min="3332" max="3333" width="9" style="34" customWidth="1"/>
    <col min="3334" max="3334" width="13.5703125" style="34" customWidth="1"/>
    <col min="3335" max="3335" width="14.28515625" style="34" customWidth="1"/>
    <col min="3336" max="3336" width="13.5703125" style="34" customWidth="1"/>
    <col min="3337" max="3337" width="9.42578125" style="34" customWidth="1"/>
    <col min="3338" max="3585" width="12.5703125" style="34"/>
    <col min="3586" max="3587" width="11.28515625" style="34" customWidth="1"/>
    <col min="3588" max="3589" width="9" style="34" customWidth="1"/>
    <col min="3590" max="3590" width="13.5703125" style="34" customWidth="1"/>
    <col min="3591" max="3591" width="14.28515625" style="34" customWidth="1"/>
    <col min="3592" max="3592" width="13.5703125" style="34" customWidth="1"/>
    <col min="3593" max="3593" width="9.42578125" style="34" customWidth="1"/>
    <col min="3594" max="3841" width="12.5703125" style="34"/>
    <col min="3842" max="3843" width="11.28515625" style="34" customWidth="1"/>
    <col min="3844" max="3845" width="9" style="34" customWidth="1"/>
    <col min="3846" max="3846" width="13.5703125" style="34" customWidth="1"/>
    <col min="3847" max="3847" width="14.28515625" style="34" customWidth="1"/>
    <col min="3848" max="3848" width="13.5703125" style="34" customWidth="1"/>
    <col min="3849" max="3849" width="9.42578125" style="34" customWidth="1"/>
    <col min="3850" max="4097" width="12.5703125" style="34"/>
    <col min="4098" max="4099" width="11.28515625" style="34" customWidth="1"/>
    <col min="4100" max="4101" width="9" style="34" customWidth="1"/>
    <col min="4102" max="4102" width="13.5703125" style="34" customWidth="1"/>
    <col min="4103" max="4103" width="14.28515625" style="34" customWidth="1"/>
    <col min="4104" max="4104" width="13.5703125" style="34" customWidth="1"/>
    <col min="4105" max="4105" width="9.42578125" style="34" customWidth="1"/>
    <col min="4106" max="4353" width="12.5703125" style="34"/>
    <col min="4354" max="4355" width="11.28515625" style="34" customWidth="1"/>
    <col min="4356" max="4357" width="9" style="34" customWidth="1"/>
    <col min="4358" max="4358" width="13.5703125" style="34" customWidth="1"/>
    <col min="4359" max="4359" width="14.28515625" style="34" customWidth="1"/>
    <col min="4360" max="4360" width="13.5703125" style="34" customWidth="1"/>
    <col min="4361" max="4361" width="9.42578125" style="34" customWidth="1"/>
    <col min="4362" max="4609" width="12.5703125" style="34"/>
    <col min="4610" max="4611" width="11.28515625" style="34" customWidth="1"/>
    <col min="4612" max="4613" width="9" style="34" customWidth="1"/>
    <col min="4614" max="4614" width="13.5703125" style="34" customWidth="1"/>
    <col min="4615" max="4615" width="14.28515625" style="34" customWidth="1"/>
    <col min="4616" max="4616" width="13.5703125" style="34" customWidth="1"/>
    <col min="4617" max="4617" width="9.42578125" style="34" customWidth="1"/>
    <col min="4618" max="4865" width="12.5703125" style="34"/>
    <col min="4866" max="4867" width="11.28515625" style="34" customWidth="1"/>
    <col min="4868" max="4869" width="9" style="34" customWidth="1"/>
    <col min="4870" max="4870" width="13.5703125" style="34" customWidth="1"/>
    <col min="4871" max="4871" width="14.28515625" style="34" customWidth="1"/>
    <col min="4872" max="4872" width="13.5703125" style="34" customWidth="1"/>
    <col min="4873" max="4873" width="9.42578125" style="34" customWidth="1"/>
    <col min="4874" max="5121" width="12.5703125" style="34"/>
    <col min="5122" max="5123" width="11.28515625" style="34" customWidth="1"/>
    <col min="5124" max="5125" width="9" style="34" customWidth="1"/>
    <col min="5126" max="5126" width="13.5703125" style="34" customWidth="1"/>
    <col min="5127" max="5127" width="14.28515625" style="34" customWidth="1"/>
    <col min="5128" max="5128" width="13.5703125" style="34" customWidth="1"/>
    <col min="5129" max="5129" width="9.42578125" style="34" customWidth="1"/>
    <col min="5130" max="5377" width="12.5703125" style="34"/>
    <col min="5378" max="5379" width="11.28515625" style="34" customWidth="1"/>
    <col min="5380" max="5381" width="9" style="34" customWidth="1"/>
    <col min="5382" max="5382" width="13.5703125" style="34" customWidth="1"/>
    <col min="5383" max="5383" width="14.28515625" style="34" customWidth="1"/>
    <col min="5384" max="5384" width="13.5703125" style="34" customWidth="1"/>
    <col min="5385" max="5385" width="9.42578125" style="34" customWidth="1"/>
    <col min="5386" max="5633" width="12.5703125" style="34"/>
    <col min="5634" max="5635" width="11.28515625" style="34" customWidth="1"/>
    <col min="5636" max="5637" width="9" style="34" customWidth="1"/>
    <col min="5638" max="5638" width="13.5703125" style="34" customWidth="1"/>
    <col min="5639" max="5639" width="14.28515625" style="34" customWidth="1"/>
    <col min="5640" max="5640" width="13.5703125" style="34" customWidth="1"/>
    <col min="5641" max="5641" width="9.42578125" style="34" customWidth="1"/>
    <col min="5642" max="5889" width="12.5703125" style="34"/>
    <col min="5890" max="5891" width="11.28515625" style="34" customWidth="1"/>
    <col min="5892" max="5893" width="9" style="34" customWidth="1"/>
    <col min="5894" max="5894" width="13.5703125" style="34" customWidth="1"/>
    <col min="5895" max="5895" width="14.28515625" style="34" customWidth="1"/>
    <col min="5896" max="5896" width="13.5703125" style="34" customWidth="1"/>
    <col min="5897" max="5897" width="9.42578125" style="34" customWidth="1"/>
    <col min="5898" max="6145" width="12.5703125" style="34"/>
    <col min="6146" max="6147" width="11.28515625" style="34" customWidth="1"/>
    <col min="6148" max="6149" width="9" style="34" customWidth="1"/>
    <col min="6150" max="6150" width="13.5703125" style="34" customWidth="1"/>
    <col min="6151" max="6151" width="14.28515625" style="34" customWidth="1"/>
    <col min="6152" max="6152" width="13.5703125" style="34" customWidth="1"/>
    <col min="6153" max="6153" width="9.42578125" style="34" customWidth="1"/>
    <col min="6154" max="6401" width="12.5703125" style="34"/>
    <col min="6402" max="6403" width="11.28515625" style="34" customWidth="1"/>
    <col min="6404" max="6405" width="9" style="34" customWidth="1"/>
    <col min="6406" max="6406" width="13.5703125" style="34" customWidth="1"/>
    <col min="6407" max="6407" width="14.28515625" style="34" customWidth="1"/>
    <col min="6408" max="6408" width="13.5703125" style="34" customWidth="1"/>
    <col min="6409" max="6409" width="9.42578125" style="34" customWidth="1"/>
    <col min="6410" max="6657" width="12.5703125" style="34"/>
    <col min="6658" max="6659" width="11.28515625" style="34" customWidth="1"/>
    <col min="6660" max="6661" width="9" style="34" customWidth="1"/>
    <col min="6662" max="6662" width="13.5703125" style="34" customWidth="1"/>
    <col min="6663" max="6663" width="14.28515625" style="34" customWidth="1"/>
    <col min="6664" max="6664" width="13.5703125" style="34" customWidth="1"/>
    <col min="6665" max="6665" width="9.42578125" style="34" customWidth="1"/>
    <col min="6666" max="6913" width="12.5703125" style="34"/>
    <col min="6914" max="6915" width="11.28515625" style="34" customWidth="1"/>
    <col min="6916" max="6917" width="9" style="34" customWidth="1"/>
    <col min="6918" max="6918" width="13.5703125" style="34" customWidth="1"/>
    <col min="6919" max="6919" width="14.28515625" style="34" customWidth="1"/>
    <col min="6920" max="6920" width="13.5703125" style="34" customWidth="1"/>
    <col min="6921" max="6921" width="9.42578125" style="34" customWidth="1"/>
    <col min="6922" max="7169" width="12.5703125" style="34"/>
    <col min="7170" max="7171" width="11.28515625" style="34" customWidth="1"/>
    <col min="7172" max="7173" width="9" style="34" customWidth="1"/>
    <col min="7174" max="7174" width="13.5703125" style="34" customWidth="1"/>
    <col min="7175" max="7175" width="14.28515625" style="34" customWidth="1"/>
    <col min="7176" max="7176" width="13.5703125" style="34" customWidth="1"/>
    <col min="7177" max="7177" width="9.42578125" style="34" customWidth="1"/>
    <col min="7178" max="7425" width="12.5703125" style="34"/>
    <col min="7426" max="7427" width="11.28515625" style="34" customWidth="1"/>
    <col min="7428" max="7429" width="9" style="34" customWidth="1"/>
    <col min="7430" max="7430" width="13.5703125" style="34" customWidth="1"/>
    <col min="7431" max="7431" width="14.28515625" style="34" customWidth="1"/>
    <col min="7432" max="7432" width="13.5703125" style="34" customWidth="1"/>
    <col min="7433" max="7433" width="9.42578125" style="34" customWidth="1"/>
    <col min="7434" max="7681" width="12.5703125" style="34"/>
    <col min="7682" max="7683" width="11.28515625" style="34" customWidth="1"/>
    <col min="7684" max="7685" width="9" style="34" customWidth="1"/>
    <col min="7686" max="7686" width="13.5703125" style="34" customWidth="1"/>
    <col min="7687" max="7687" width="14.28515625" style="34" customWidth="1"/>
    <col min="7688" max="7688" width="13.5703125" style="34" customWidth="1"/>
    <col min="7689" max="7689" width="9.42578125" style="34" customWidth="1"/>
    <col min="7690" max="7937" width="12.5703125" style="34"/>
    <col min="7938" max="7939" width="11.28515625" style="34" customWidth="1"/>
    <col min="7940" max="7941" width="9" style="34" customWidth="1"/>
    <col min="7942" max="7942" width="13.5703125" style="34" customWidth="1"/>
    <col min="7943" max="7943" width="14.28515625" style="34" customWidth="1"/>
    <col min="7944" max="7944" width="13.5703125" style="34" customWidth="1"/>
    <col min="7945" max="7945" width="9.42578125" style="34" customWidth="1"/>
    <col min="7946" max="8193" width="12.5703125" style="34"/>
    <col min="8194" max="8195" width="11.28515625" style="34" customWidth="1"/>
    <col min="8196" max="8197" width="9" style="34" customWidth="1"/>
    <col min="8198" max="8198" width="13.5703125" style="34" customWidth="1"/>
    <col min="8199" max="8199" width="14.28515625" style="34" customWidth="1"/>
    <col min="8200" max="8200" width="13.5703125" style="34" customWidth="1"/>
    <col min="8201" max="8201" width="9.42578125" style="34" customWidth="1"/>
    <col min="8202" max="8449" width="12.5703125" style="34"/>
    <col min="8450" max="8451" width="11.28515625" style="34" customWidth="1"/>
    <col min="8452" max="8453" width="9" style="34" customWidth="1"/>
    <col min="8454" max="8454" width="13.5703125" style="34" customWidth="1"/>
    <col min="8455" max="8455" width="14.28515625" style="34" customWidth="1"/>
    <col min="8456" max="8456" width="13.5703125" style="34" customWidth="1"/>
    <col min="8457" max="8457" width="9.42578125" style="34" customWidth="1"/>
    <col min="8458" max="8705" width="12.5703125" style="34"/>
    <col min="8706" max="8707" width="11.28515625" style="34" customWidth="1"/>
    <col min="8708" max="8709" width="9" style="34" customWidth="1"/>
    <col min="8710" max="8710" width="13.5703125" style="34" customWidth="1"/>
    <col min="8711" max="8711" width="14.28515625" style="34" customWidth="1"/>
    <col min="8712" max="8712" width="13.5703125" style="34" customWidth="1"/>
    <col min="8713" max="8713" width="9.42578125" style="34" customWidth="1"/>
    <col min="8714" max="8961" width="12.5703125" style="34"/>
    <col min="8962" max="8963" width="11.28515625" style="34" customWidth="1"/>
    <col min="8964" max="8965" width="9" style="34" customWidth="1"/>
    <col min="8966" max="8966" width="13.5703125" style="34" customWidth="1"/>
    <col min="8967" max="8967" width="14.28515625" style="34" customWidth="1"/>
    <col min="8968" max="8968" width="13.5703125" style="34" customWidth="1"/>
    <col min="8969" max="8969" width="9.42578125" style="34" customWidth="1"/>
    <col min="8970" max="9217" width="12.5703125" style="34"/>
    <col min="9218" max="9219" width="11.28515625" style="34" customWidth="1"/>
    <col min="9220" max="9221" width="9" style="34" customWidth="1"/>
    <col min="9222" max="9222" width="13.5703125" style="34" customWidth="1"/>
    <col min="9223" max="9223" width="14.28515625" style="34" customWidth="1"/>
    <col min="9224" max="9224" width="13.5703125" style="34" customWidth="1"/>
    <col min="9225" max="9225" width="9.42578125" style="34" customWidth="1"/>
    <col min="9226" max="9473" width="12.5703125" style="34"/>
    <col min="9474" max="9475" width="11.28515625" style="34" customWidth="1"/>
    <col min="9476" max="9477" width="9" style="34" customWidth="1"/>
    <col min="9478" max="9478" width="13.5703125" style="34" customWidth="1"/>
    <col min="9479" max="9479" width="14.28515625" style="34" customWidth="1"/>
    <col min="9480" max="9480" width="13.5703125" style="34" customWidth="1"/>
    <col min="9481" max="9481" width="9.42578125" style="34" customWidth="1"/>
    <col min="9482" max="9729" width="12.5703125" style="34"/>
    <col min="9730" max="9731" width="11.28515625" style="34" customWidth="1"/>
    <col min="9732" max="9733" width="9" style="34" customWidth="1"/>
    <col min="9734" max="9734" width="13.5703125" style="34" customWidth="1"/>
    <col min="9735" max="9735" width="14.28515625" style="34" customWidth="1"/>
    <col min="9736" max="9736" width="13.5703125" style="34" customWidth="1"/>
    <col min="9737" max="9737" width="9.42578125" style="34" customWidth="1"/>
    <col min="9738" max="9985" width="12.5703125" style="34"/>
    <col min="9986" max="9987" width="11.28515625" style="34" customWidth="1"/>
    <col min="9988" max="9989" width="9" style="34" customWidth="1"/>
    <col min="9990" max="9990" width="13.5703125" style="34" customWidth="1"/>
    <col min="9991" max="9991" width="14.28515625" style="34" customWidth="1"/>
    <col min="9992" max="9992" width="13.5703125" style="34" customWidth="1"/>
    <col min="9993" max="9993" width="9.42578125" style="34" customWidth="1"/>
    <col min="9994" max="10241" width="12.5703125" style="34"/>
    <col min="10242" max="10243" width="11.28515625" style="34" customWidth="1"/>
    <col min="10244" max="10245" width="9" style="34" customWidth="1"/>
    <col min="10246" max="10246" width="13.5703125" style="34" customWidth="1"/>
    <col min="10247" max="10247" width="14.28515625" style="34" customWidth="1"/>
    <col min="10248" max="10248" width="13.5703125" style="34" customWidth="1"/>
    <col min="10249" max="10249" width="9.42578125" style="34" customWidth="1"/>
    <col min="10250" max="10497" width="12.5703125" style="34"/>
    <col min="10498" max="10499" width="11.28515625" style="34" customWidth="1"/>
    <col min="10500" max="10501" width="9" style="34" customWidth="1"/>
    <col min="10502" max="10502" width="13.5703125" style="34" customWidth="1"/>
    <col min="10503" max="10503" width="14.28515625" style="34" customWidth="1"/>
    <col min="10504" max="10504" width="13.5703125" style="34" customWidth="1"/>
    <col min="10505" max="10505" width="9.42578125" style="34" customWidth="1"/>
    <col min="10506" max="10753" width="12.5703125" style="34"/>
    <col min="10754" max="10755" width="11.28515625" style="34" customWidth="1"/>
    <col min="10756" max="10757" width="9" style="34" customWidth="1"/>
    <col min="10758" max="10758" width="13.5703125" style="34" customWidth="1"/>
    <col min="10759" max="10759" width="14.28515625" style="34" customWidth="1"/>
    <col min="10760" max="10760" width="13.5703125" style="34" customWidth="1"/>
    <col min="10761" max="10761" width="9.42578125" style="34" customWidth="1"/>
    <col min="10762" max="11009" width="12.5703125" style="34"/>
    <col min="11010" max="11011" width="11.28515625" style="34" customWidth="1"/>
    <col min="11012" max="11013" width="9" style="34" customWidth="1"/>
    <col min="11014" max="11014" width="13.5703125" style="34" customWidth="1"/>
    <col min="11015" max="11015" width="14.28515625" style="34" customWidth="1"/>
    <col min="11016" max="11016" width="13.5703125" style="34" customWidth="1"/>
    <col min="11017" max="11017" width="9.42578125" style="34" customWidth="1"/>
    <col min="11018" max="11265" width="12.5703125" style="34"/>
    <col min="11266" max="11267" width="11.28515625" style="34" customWidth="1"/>
    <col min="11268" max="11269" width="9" style="34" customWidth="1"/>
    <col min="11270" max="11270" width="13.5703125" style="34" customWidth="1"/>
    <col min="11271" max="11271" width="14.28515625" style="34" customWidth="1"/>
    <col min="11272" max="11272" width="13.5703125" style="34" customWidth="1"/>
    <col min="11273" max="11273" width="9.42578125" style="34" customWidth="1"/>
    <col min="11274" max="11521" width="12.5703125" style="34"/>
    <col min="11522" max="11523" width="11.28515625" style="34" customWidth="1"/>
    <col min="11524" max="11525" width="9" style="34" customWidth="1"/>
    <col min="11526" max="11526" width="13.5703125" style="34" customWidth="1"/>
    <col min="11527" max="11527" width="14.28515625" style="34" customWidth="1"/>
    <col min="11528" max="11528" width="13.5703125" style="34" customWidth="1"/>
    <col min="11529" max="11529" width="9.42578125" style="34" customWidth="1"/>
    <col min="11530" max="11777" width="12.5703125" style="34"/>
    <col min="11778" max="11779" width="11.28515625" style="34" customWidth="1"/>
    <col min="11780" max="11781" width="9" style="34" customWidth="1"/>
    <col min="11782" max="11782" width="13.5703125" style="34" customWidth="1"/>
    <col min="11783" max="11783" width="14.28515625" style="34" customWidth="1"/>
    <col min="11784" max="11784" width="13.5703125" style="34" customWidth="1"/>
    <col min="11785" max="11785" width="9.42578125" style="34" customWidth="1"/>
    <col min="11786" max="12033" width="12.5703125" style="34"/>
    <col min="12034" max="12035" width="11.28515625" style="34" customWidth="1"/>
    <col min="12036" max="12037" width="9" style="34" customWidth="1"/>
    <col min="12038" max="12038" width="13.5703125" style="34" customWidth="1"/>
    <col min="12039" max="12039" width="14.28515625" style="34" customWidth="1"/>
    <col min="12040" max="12040" width="13.5703125" style="34" customWidth="1"/>
    <col min="12041" max="12041" width="9.42578125" style="34" customWidth="1"/>
    <col min="12042" max="12289" width="12.5703125" style="34"/>
    <col min="12290" max="12291" width="11.28515625" style="34" customWidth="1"/>
    <col min="12292" max="12293" width="9" style="34" customWidth="1"/>
    <col min="12294" max="12294" width="13.5703125" style="34" customWidth="1"/>
    <col min="12295" max="12295" width="14.28515625" style="34" customWidth="1"/>
    <col min="12296" max="12296" width="13.5703125" style="34" customWidth="1"/>
    <col min="12297" max="12297" width="9.42578125" style="34" customWidth="1"/>
    <col min="12298" max="12545" width="12.5703125" style="34"/>
    <col min="12546" max="12547" width="11.28515625" style="34" customWidth="1"/>
    <col min="12548" max="12549" width="9" style="34" customWidth="1"/>
    <col min="12550" max="12550" width="13.5703125" style="34" customWidth="1"/>
    <col min="12551" max="12551" width="14.28515625" style="34" customWidth="1"/>
    <col min="12552" max="12552" width="13.5703125" style="34" customWidth="1"/>
    <col min="12553" max="12553" width="9.42578125" style="34" customWidth="1"/>
    <col min="12554" max="12801" width="12.5703125" style="34"/>
    <col min="12802" max="12803" width="11.28515625" style="34" customWidth="1"/>
    <col min="12804" max="12805" width="9" style="34" customWidth="1"/>
    <col min="12806" max="12806" width="13.5703125" style="34" customWidth="1"/>
    <col min="12807" max="12807" width="14.28515625" style="34" customWidth="1"/>
    <col min="12808" max="12808" width="13.5703125" style="34" customWidth="1"/>
    <col min="12809" max="12809" width="9.42578125" style="34" customWidth="1"/>
    <col min="12810" max="13057" width="12.5703125" style="34"/>
    <col min="13058" max="13059" width="11.28515625" style="34" customWidth="1"/>
    <col min="13060" max="13061" width="9" style="34" customWidth="1"/>
    <col min="13062" max="13062" width="13.5703125" style="34" customWidth="1"/>
    <col min="13063" max="13063" width="14.28515625" style="34" customWidth="1"/>
    <col min="13064" max="13064" width="13.5703125" style="34" customWidth="1"/>
    <col min="13065" max="13065" width="9.42578125" style="34" customWidth="1"/>
    <col min="13066" max="13313" width="12.5703125" style="34"/>
    <col min="13314" max="13315" width="11.28515625" style="34" customWidth="1"/>
    <col min="13316" max="13317" width="9" style="34" customWidth="1"/>
    <col min="13318" max="13318" width="13.5703125" style="34" customWidth="1"/>
    <col min="13319" max="13319" width="14.28515625" style="34" customWidth="1"/>
    <col min="13320" max="13320" width="13.5703125" style="34" customWidth="1"/>
    <col min="13321" max="13321" width="9.42578125" style="34" customWidth="1"/>
    <col min="13322" max="13569" width="12.5703125" style="34"/>
    <col min="13570" max="13571" width="11.28515625" style="34" customWidth="1"/>
    <col min="13572" max="13573" width="9" style="34" customWidth="1"/>
    <col min="13574" max="13574" width="13.5703125" style="34" customWidth="1"/>
    <col min="13575" max="13575" width="14.28515625" style="34" customWidth="1"/>
    <col min="13576" max="13576" width="13.5703125" style="34" customWidth="1"/>
    <col min="13577" max="13577" width="9.42578125" style="34" customWidth="1"/>
    <col min="13578" max="13825" width="12.5703125" style="34"/>
    <col min="13826" max="13827" width="11.28515625" style="34" customWidth="1"/>
    <col min="13828" max="13829" width="9" style="34" customWidth="1"/>
    <col min="13830" max="13830" width="13.5703125" style="34" customWidth="1"/>
    <col min="13831" max="13831" width="14.28515625" style="34" customWidth="1"/>
    <col min="13832" max="13832" width="13.5703125" style="34" customWidth="1"/>
    <col min="13833" max="13833" width="9.42578125" style="34" customWidth="1"/>
    <col min="13834" max="14081" width="12.5703125" style="34"/>
    <col min="14082" max="14083" width="11.28515625" style="34" customWidth="1"/>
    <col min="14084" max="14085" width="9" style="34" customWidth="1"/>
    <col min="14086" max="14086" width="13.5703125" style="34" customWidth="1"/>
    <col min="14087" max="14087" width="14.28515625" style="34" customWidth="1"/>
    <col min="14088" max="14088" width="13.5703125" style="34" customWidth="1"/>
    <col min="14089" max="14089" width="9.42578125" style="34" customWidth="1"/>
    <col min="14090" max="14337" width="12.5703125" style="34"/>
    <col min="14338" max="14339" width="11.28515625" style="34" customWidth="1"/>
    <col min="14340" max="14341" width="9" style="34" customWidth="1"/>
    <col min="14342" max="14342" width="13.5703125" style="34" customWidth="1"/>
    <col min="14343" max="14343" width="14.28515625" style="34" customWidth="1"/>
    <col min="14344" max="14344" width="13.5703125" style="34" customWidth="1"/>
    <col min="14345" max="14345" width="9.42578125" style="34" customWidth="1"/>
    <col min="14346" max="14593" width="12.5703125" style="34"/>
    <col min="14594" max="14595" width="11.28515625" style="34" customWidth="1"/>
    <col min="14596" max="14597" width="9" style="34" customWidth="1"/>
    <col min="14598" max="14598" width="13.5703125" style="34" customWidth="1"/>
    <col min="14599" max="14599" width="14.28515625" style="34" customWidth="1"/>
    <col min="14600" max="14600" width="13.5703125" style="34" customWidth="1"/>
    <col min="14601" max="14601" width="9.42578125" style="34" customWidth="1"/>
    <col min="14602" max="14849" width="12.5703125" style="34"/>
    <col min="14850" max="14851" width="11.28515625" style="34" customWidth="1"/>
    <col min="14852" max="14853" width="9" style="34" customWidth="1"/>
    <col min="14854" max="14854" width="13.5703125" style="34" customWidth="1"/>
    <col min="14855" max="14855" width="14.28515625" style="34" customWidth="1"/>
    <col min="14856" max="14856" width="13.5703125" style="34" customWidth="1"/>
    <col min="14857" max="14857" width="9.42578125" style="34" customWidth="1"/>
    <col min="14858" max="15105" width="12.5703125" style="34"/>
    <col min="15106" max="15107" width="11.28515625" style="34" customWidth="1"/>
    <col min="15108" max="15109" width="9" style="34" customWidth="1"/>
    <col min="15110" max="15110" width="13.5703125" style="34" customWidth="1"/>
    <col min="15111" max="15111" width="14.28515625" style="34" customWidth="1"/>
    <col min="15112" max="15112" width="13.5703125" style="34" customWidth="1"/>
    <col min="15113" max="15113" width="9.42578125" style="34" customWidth="1"/>
    <col min="15114" max="15361" width="12.5703125" style="34"/>
    <col min="15362" max="15363" width="11.28515625" style="34" customWidth="1"/>
    <col min="15364" max="15365" width="9" style="34" customWidth="1"/>
    <col min="15366" max="15366" width="13.5703125" style="34" customWidth="1"/>
    <col min="15367" max="15367" width="14.28515625" style="34" customWidth="1"/>
    <col min="15368" max="15368" width="13.5703125" style="34" customWidth="1"/>
    <col min="15369" max="15369" width="9.42578125" style="34" customWidth="1"/>
    <col min="15370" max="15617" width="12.5703125" style="34"/>
    <col min="15618" max="15619" width="11.28515625" style="34" customWidth="1"/>
    <col min="15620" max="15621" width="9" style="34" customWidth="1"/>
    <col min="15622" max="15622" width="13.5703125" style="34" customWidth="1"/>
    <col min="15623" max="15623" width="14.28515625" style="34" customWidth="1"/>
    <col min="15624" max="15624" width="13.5703125" style="34" customWidth="1"/>
    <col min="15625" max="15625" width="9.42578125" style="34" customWidth="1"/>
    <col min="15626" max="15873" width="12.5703125" style="34"/>
    <col min="15874" max="15875" width="11.28515625" style="34" customWidth="1"/>
    <col min="15876" max="15877" width="9" style="34" customWidth="1"/>
    <col min="15878" max="15878" width="13.5703125" style="34" customWidth="1"/>
    <col min="15879" max="15879" width="14.28515625" style="34" customWidth="1"/>
    <col min="15880" max="15880" width="13.5703125" style="34" customWidth="1"/>
    <col min="15881" max="15881" width="9.42578125" style="34" customWidth="1"/>
    <col min="15882" max="16129" width="12.5703125" style="34"/>
    <col min="16130" max="16131" width="11.28515625" style="34" customWidth="1"/>
    <col min="16132" max="16133" width="9" style="34" customWidth="1"/>
    <col min="16134" max="16134" width="13.5703125" style="34" customWidth="1"/>
    <col min="16135" max="16135" width="14.28515625" style="34" customWidth="1"/>
    <col min="16136" max="16136" width="13.5703125" style="34" customWidth="1"/>
    <col min="16137" max="16137" width="9.42578125" style="34" customWidth="1"/>
    <col min="16138" max="16384" width="12.5703125" style="34"/>
  </cols>
  <sheetData>
    <row r="1" spans="1:25" ht="21">
      <c r="A1" s="31" t="s">
        <v>357</v>
      </c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</row>
    <row r="2" spans="1:25" ht="20.45" customHeight="1">
      <c r="A2" s="15" t="s">
        <v>68</v>
      </c>
      <c r="F2" s="36"/>
      <c r="G2" s="37"/>
      <c r="H2" s="38"/>
      <c r="I2" s="38"/>
      <c r="M2" s="77" t="s">
        <v>315</v>
      </c>
      <c r="N2" s="66"/>
      <c r="O2" s="66"/>
      <c r="P2" s="71"/>
      <c r="Q2" s="71"/>
      <c r="R2" s="305" t="s">
        <v>306</v>
      </c>
      <c r="S2" s="300"/>
      <c r="T2" s="300"/>
      <c r="U2" s="71"/>
      <c r="V2" s="71"/>
      <c r="W2" s="71"/>
      <c r="X2" s="71"/>
      <c r="Y2" s="71"/>
    </row>
    <row r="3" spans="1:25">
      <c r="M3" s="67"/>
      <c r="N3" s="67"/>
      <c r="O3" s="67"/>
      <c r="P3" s="71"/>
      <c r="Q3" s="71"/>
      <c r="R3" s="34" t="s">
        <v>335</v>
      </c>
      <c r="S3" s="71"/>
      <c r="T3" s="71"/>
      <c r="U3" s="71"/>
      <c r="V3" s="71"/>
      <c r="W3" s="71"/>
      <c r="X3" s="71"/>
      <c r="Y3" s="71"/>
    </row>
    <row r="4" spans="1:25">
      <c r="A4" s="39" t="s">
        <v>32</v>
      </c>
      <c r="B4" s="257" t="s">
        <v>345</v>
      </c>
      <c r="C4" s="261"/>
      <c r="D4" s="41"/>
      <c r="E4" s="41"/>
      <c r="F4" s="42"/>
      <c r="G4" s="42"/>
      <c r="H4" s="42"/>
      <c r="I4" s="42"/>
      <c r="J4" s="42"/>
      <c r="K4" s="43"/>
      <c r="L4" s="42"/>
      <c r="M4" s="67" t="s">
        <v>23</v>
      </c>
      <c r="N4" s="68">
        <v>50</v>
      </c>
      <c r="O4" s="67" t="s">
        <v>13</v>
      </c>
      <c r="P4" s="70"/>
      <c r="Q4" s="70"/>
      <c r="R4" s="71" t="s">
        <v>307</v>
      </c>
      <c r="S4" s="71" t="s">
        <v>13</v>
      </c>
      <c r="T4" s="72">
        <v>50</v>
      </c>
      <c r="U4" s="71"/>
      <c r="V4" s="71"/>
      <c r="W4" s="71"/>
      <c r="X4" s="71"/>
      <c r="Y4" s="71"/>
    </row>
    <row r="5" spans="1:25">
      <c r="A5" s="39" t="s">
        <v>33</v>
      </c>
      <c r="B5" s="258">
        <v>850</v>
      </c>
      <c r="C5" s="262">
        <v>1</v>
      </c>
      <c r="F5" s="42"/>
      <c r="G5" s="44">
        <f>+(B6/2)+B10+(B9/2)</f>
        <v>990.67499999999995</v>
      </c>
      <c r="H5" s="42"/>
      <c r="I5" s="45"/>
      <c r="J5" s="45"/>
      <c r="K5" s="45"/>
      <c r="L5" s="42"/>
      <c r="M5" s="67" t="s">
        <v>24</v>
      </c>
      <c r="N5" s="68">
        <v>2200</v>
      </c>
      <c r="O5" s="67" t="s">
        <v>22</v>
      </c>
      <c r="P5" s="70" t="s">
        <v>69</v>
      </c>
      <c r="Q5" s="70"/>
      <c r="R5" s="71" t="s">
        <v>308</v>
      </c>
      <c r="S5" s="71" t="s">
        <v>13</v>
      </c>
      <c r="T5" s="72">
        <v>20</v>
      </c>
      <c r="U5" s="71"/>
      <c r="V5" s="71"/>
      <c r="W5" s="71"/>
      <c r="X5" s="71"/>
      <c r="Y5" s="71"/>
    </row>
    <row r="6" spans="1:25">
      <c r="A6" s="39" t="s">
        <v>34</v>
      </c>
      <c r="B6" s="259">
        <f>C6*$B$5</f>
        <v>172.55</v>
      </c>
      <c r="C6" s="263">
        <v>0.20300000000000001</v>
      </c>
      <c r="D6" s="264"/>
      <c r="E6" s="46"/>
      <c r="F6" s="42"/>
      <c r="G6" s="42"/>
      <c r="H6" s="42"/>
      <c r="I6" s="42"/>
      <c r="J6" s="341" t="s">
        <v>35</v>
      </c>
      <c r="K6" s="341"/>
      <c r="L6" s="42"/>
      <c r="M6" s="67" t="s">
        <v>25</v>
      </c>
      <c r="N6" s="75">
        <f>0.000000001*PI()*$B$17/12*((($B$5+2*N4)^2+($B$5+2*N4)*($B$20+2*N4)+($B$20+2*N4)^2)-($B$5^2+$B$5*$B$20+$B$20^2))</f>
        <v>0.21400548791207757</v>
      </c>
      <c r="O6" s="73">
        <f>N6*N5</f>
        <v>470.81207340657068</v>
      </c>
      <c r="P6" s="67"/>
      <c r="Q6" s="70"/>
      <c r="R6" s="302" t="s">
        <v>269</v>
      </c>
      <c r="S6" t="s">
        <v>13</v>
      </c>
      <c r="T6" s="68">
        <v>2</v>
      </c>
      <c r="U6" s="67"/>
      <c r="V6" s="67"/>
      <c r="W6" s="296"/>
      <c r="X6" s="71"/>
      <c r="Y6" s="71"/>
    </row>
    <row r="7" spans="1:25">
      <c r="A7" s="39" t="s">
        <v>36</v>
      </c>
      <c r="B7" s="259">
        <f>C7*$B$5</f>
        <v>388.45</v>
      </c>
      <c r="C7" s="263">
        <v>0.45700000000000002</v>
      </c>
      <c r="D7" s="264"/>
      <c r="E7" s="46"/>
      <c r="F7" s="42"/>
      <c r="G7" s="42"/>
      <c r="H7" s="42"/>
      <c r="I7" s="45"/>
      <c r="J7" s="42"/>
      <c r="K7" s="42"/>
      <c r="L7" s="42"/>
      <c r="M7" t="s">
        <v>57</v>
      </c>
      <c r="N7" s="75">
        <f>0.000000001*$B$18*PI()/4*(($B$5+2*N4)^2-$B$5^2)</f>
        <v>0.15765768572775021</v>
      </c>
      <c r="O7" s="73">
        <f>N7*N5</f>
        <v>346.84690860105047</v>
      </c>
      <c r="P7" s="67"/>
      <c r="Q7" s="70"/>
      <c r="R7" s="302" t="s">
        <v>275</v>
      </c>
      <c r="S7" t="s">
        <v>22</v>
      </c>
      <c r="T7" s="72">
        <v>8000</v>
      </c>
      <c r="U7" s="67"/>
      <c r="V7" s="67"/>
      <c r="W7" s="21"/>
      <c r="X7" s="71"/>
      <c r="Y7" s="71"/>
    </row>
    <row r="8" spans="1:25">
      <c r="A8" s="39" t="s">
        <v>5</v>
      </c>
      <c r="B8" s="259">
        <f t="shared" ref="B8:B25" si="0">C8*$B$5</f>
        <v>0</v>
      </c>
      <c r="C8" s="265"/>
      <c r="D8" s="264"/>
      <c r="E8" s="46"/>
      <c r="F8" s="44">
        <f>+G5/2</f>
        <v>495.33749999999998</v>
      </c>
      <c r="G8" s="42"/>
      <c r="H8" s="42"/>
      <c r="I8" s="47"/>
      <c r="J8" s="44">
        <f>0.75*B12</f>
        <v>272.85000000000002</v>
      </c>
      <c r="K8" s="45"/>
      <c r="L8" s="42"/>
      <c r="M8" t="s">
        <v>58</v>
      </c>
      <c r="N8" s="75">
        <f>0.000000001*3*$B$20*PI()/4*(($B$20+2*N4)^2-$B$20^2)</f>
        <v>6.2486277879900992E-2</v>
      </c>
      <c r="O8" s="73">
        <f>N8*N5</f>
        <v>137.4698113357822</v>
      </c>
      <c r="P8" s="67"/>
      <c r="Q8" s="70"/>
      <c r="R8" s="302" t="s">
        <v>309</v>
      </c>
      <c r="S8" t="s">
        <v>310</v>
      </c>
      <c r="T8" s="303">
        <f>0.5*T5/1000*T4/1000*T6/1000*T7/(0.25*(T4/1000)^2)</f>
        <v>12.799999999999997</v>
      </c>
      <c r="U8" t="s">
        <v>312</v>
      </c>
      <c r="V8" s="67"/>
      <c r="W8" s="20"/>
      <c r="X8" s="71"/>
      <c r="Y8" s="71"/>
    </row>
    <row r="9" spans="1:25">
      <c r="A9" s="39" t="s">
        <v>10</v>
      </c>
      <c r="B9" s="259">
        <f>C9*$B$5</f>
        <v>850</v>
      </c>
      <c r="C9" s="263">
        <v>1</v>
      </c>
      <c r="D9" s="264"/>
      <c r="E9" s="46"/>
      <c r="F9" s="42"/>
      <c r="G9" s="42"/>
      <c r="H9" s="42"/>
      <c r="I9" s="45"/>
      <c r="J9" s="42"/>
      <c r="K9" s="47">
        <f>0.85*B12</f>
        <v>309.23</v>
      </c>
      <c r="L9" s="42"/>
      <c r="M9" t="s">
        <v>59</v>
      </c>
      <c r="N9" s="76">
        <f>0.000000001*N4*PI()/4*(($B$9+2*N4)^2-$D$11^2)+0.000000001*N4*PI()/4*(($G$5+2*N4)^2-($B$9+2*N4)^2)+0.000000001*N4*2*$B$19*($B$6+2*N4)+0.000000001*N4*$B$19*($B$7+2*N4)+0.000000001*N4*($B$19-$F$10)*($B$7+2*N4)</f>
        <v>7.7586232395321988E-2</v>
      </c>
      <c r="O9" s="73">
        <f>N9*N5</f>
        <v>170.68971126970837</v>
      </c>
      <c r="P9" s="73">
        <f>SUM(O6:O9)</f>
        <v>1125.8185046131116</v>
      </c>
      <c r="Q9" s="70"/>
      <c r="R9" s="302" t="s">
        <v>311</v>
      </c>
      <c r="S9" t="s">
        <v>8</v>
      </c>
      <c r="T9" s="304">
        <f>SUM(N6:N9)/(N4/1000)</f>
        <v>10.234713678301016</v>
      </c>
      <c r="U9" t="s">
        <v>312</v>
      </c>
      <c r="V9" s="67"/>
      <c r="W9" s="67"/>
      <c r="X9" s="71"/>
      <c r="Y9" s="71"/>
    </row>
    <row r="10" spans="1:25">
      <c r="A10" s="39" t="s">
        <v>37</v>
      </c>
      <c r="B10" s="259">
        <f t="shared" si="0"/>
        <v>479.4</v>
      </c>
      <c r="C10" s="263">
        <v>0.56399999999999995</v>
      </c>
      <c r="D10" s="264"/>
      <c r="E10" s="46"/>
      <c r="F10" s="42">
        <f>+B21</f>
        <v>255</v>
      </c>
      <c r="G10" s="44"/>
      <c r="H10" s="44"/>
      <c r="I10" s="45"/>
      <c r="J10" s="42"/>
      <c r="K10" s="45"/>
      <c r="L10" s="42"/>
      <c r="M10" s="67"/>
      <c r="O10" s="71"/>
      <c r="P10" s="69"/>
      <c r="Q10" s="67"/>
      <c r="R10" s="302" t="s">
        <v>313</v>
      </c>
      <c r="S10" t="s">
        <v>314</v>
      </c>
      <c r="T10" s="304">
        <f>T8*T9</f>
        <v>131.00433508225299</v>
      </c>
      <c r="U10" s="67"/>
      <c r="V10" s="67"/>
      <c r="W10" s="67"/>
      <c r="X10" s="71"/>
      <c r="Y10" s="71"/>
    </row>
    <row r="11" spans="1:25">
      <c r="A11" s="39" t="s">
        <v>38</v>
      </c>
      <c r="B11" s="259">
        <f t="shared" si="0"/>
        <v>260.95</v>
      </c>
      <c r="C11" s="263">
        <v>0.307</v>
      </c>
      <c r="D11" s="266">
        <f>0.8*B11</f>
        <v>208.76</v>
      </c>
      <c r="E11" s="65"/>
      <c r="F11" s="44">
        <f>+B19</f>
        <v>510</v>
      </c>
      <c r="G11" s="42"/>
      <c r="H11" s="42"/>
      <c r="I11" s="47"/>
      <c r="J11" s="42"/>
      <c r="K11" s="45"/>
      <c r="L11" s="42"/>
      <c r="M11" t="s">
        <v>331</v>
      </c>
      <c r="N11" s="68">
        <v>30</v>
      </c>
      <c r="O11" s="67" t="s">
        <v>13</v>
      </c>
      <c r="P11" s="1" t="s">
        <v>333</v>
      </c>
      <c r="R11" s="70"/>
      <c r="S11" s="67"/>
      <c r="T11" s="67"/>
      <c r="U11" s="67"/>
      <c r="V11" s="67"/>
      <c r="W11" s="67"/>
      <c r="X11" s="71"/>
      <c r="Y11" s="71"/>
    </row>
    <row r="12" spans="1:25">
      <c r="A12" s="39" t="s">
        <v>39</v>
      </c>
      <c r="B12" s="259">
        <f t="shared" si="0"/>
        <v>363.8</v>
      </c>
      <c r="C12" s="263">
        <v>0.42799999999999999</v>
      </c>
      <c r="D12" s="264"/>
      <c r="E12" s="46"/>
      <c r="F12" s="42"/>
      <c r="G12" s="42"/>
      <c r="H12" s="48"/>
      <c r="I12" s="42">
        <f>0.65*B12</f>
        <v>236.47000000000003</v>
      </c>
      <c r="J12" s="44"/>
      <c r="K12" s="45"/>
      <c r="L12" s="44">
        <f>0.7*B12</f>
        <v>254.66</v>
      </c>
      <c r="M12" t="s">
        <v>332</v>
      </c>
      <c r="N12" s="68">
        <v>200</v>
      </c>
      <c r="O12" s="67" t="s">
        <v>22</v>
      </c>
      <c r="P12" s="70"/>
      <c r="R12" s="67"/>
      <c r="S12" s="67"/>
      <c r="T12" s="67"/>
      <c r="U12" s="71"/>
      <c r="V12" s="71"/>
      <c r="W12" s="71"/>
      <c r="X12" s="71"/>
      <c r="Y12" s="71"/>
    </row>
    <row r="13" spans="1:25">
      <c r="A13" s="39" t="s">
        <v>40</v>
      </c>
      <c r="B13" s="259">
        <f t="shared" si="0"/>
        <v>758.2</v>
      </c>
      <c r="C13" s="263">
        <v>0.89200000000000002</v>
      </c>
      <c r="D13" s="264"/>
      <c r="E13" s="46"/>
      <c r="F13" s="42"/>
      <c r="G13" s="44">
        <f>+B10</f>
        <v>479.4</v>
      </c>
      <c r="H13" s="48"/>
      <c r="I13" s="44"/>
      <c r="J13" s="42"/>
      <c r="K13" s="42"/>
      <c r="L13" s="42"/>
      <c r="M13" s="67" t="s">
        <v>25</v>
      </c>
      <c r="N13" s="75">
        <f>0.000000001*PI()*$B$17/12*((($B$5+2*N4+2*N11)^2+($B$5+2*N4+2*N11)*($B$20+2*N4+2*N11)+($B$20+2*N4+2*N11)^2)-(($B$5+2*N4)^2+($B$5+2*N4)*($B$20+2*N4)+($B$20+2*N4)^2))</f>
        <v>0.14432928254535465</v>
      </c>
      <c r="O13" s="73">
        <f>N13*N12</f>
        <v>28.86585650907093</v>
      </c>
      <c r="P13" s="67"/>
      <c r="R13" s="70"/>
      <c r="S13" s="67"/>
      <c r="T13" s="70"/>
      <c r="U13" s="71"/>
      <c r="V13" s="71"/>
      <c r="W13" s="71"/>
      <c r="X13" s="71"/>
      <c r="Y13" s="71"/>
    </row>
    <row r="14" spans="1:25">
      <c r="A14" s="39" t="s">
        <v>41</v>
      </c>
      <c r="B14" s="259">
        <f t="shared" si="0"/>
        <v>3227.4500000000003</v>
      </c>
      <c r="C14" s="263">
        <v>3.7970000000000002</v>
      </c>
      <c r="D14" s="264"/>
      <c r="E14" s="46"/>
      <c r="F14" s="42"/>
      <c r="G14" s="45"/>
      <c r="H14" s="42"/>
      <c r="I14" s="47">
        <f>0.1*B12</f>
        <v>36.380000000000003</v>
      </c>
      <c r="J14" s="49"/>
      <c r="K14" s="342">
        <f>0.8*B12</f>
        <v>291.04000000000002</v>
      </c>
      <c r="L14" s="47"/>
      <c r="M14" t="s">
        <v>57</v>
      </c>
      <c r="N14" s="75">
        <f>0.000000001*$B$18*PI()/4*(($B$5+2*N4+2*N11)^2-($B$5+2*N4)^2)</f>
        <v>0.10300302134213013</v>
      </c>
      <c r="O14" s="73">
        <f>N14*N12</f>
        <v>20.600604268426025</v>
      </c>
      <c r="P14" s="67"/>
      <c r="R14" s="70"/>
      <c r="S14" s="67"/>
      <c r="T14" s="67"/>
      <c r="U14" s="71"/>
      <c r="V14" s="71"/>
      <c r="W14" s="71"/>
      <c r="X14" s="71"/>
      <c r="Y14" s="71"/>
    </row>
    <row r="15" spans="1:25">
      <c r="A15" s="39" t="s">
        <v>42</v>
      </c>
      <c r="B15" s="259">
        <f t="shared" si="0"/>
        <v>0</v>
      </c>
      <c r="C15" s="265"/>
      <c r="D15" s="264"/>
      <c r="E15" s="46"/>
      <c r="F15" s="42">
        <f>+B6</f>
        <v>172.55</v>
      </c>
      <c r="G15" s="45">
        <f>+B12</f>
        <v>363.8</v>
      </c>
      <c r="H15" s="42"/>
      <c r="I15" s="45"/>
      <c r="J15" s="49"/>
      <c r="K15" s="342"/>
      <c r="L15" s="50"/>
      <c r="M15" t="s">
        <v>58</v>
      </c>
      <c r="N15" s="75">
        <f>0.000000001*3*$B$20*PI()/4*(($B$20+2*N4+2*N11)^2-($B$20+2*N4)^2)</f>
        <v>4.5182385543928408E-2</v>
      </c>
      <c r="O15" s="73">
        <f>N15*N12</f>
        <v>9.0364771087856823</v>
      </c>
      <c r="P15" s="67"/>
      <c r="R15" s="70"/>
      <c r="S15" s="67"/>
      <c r="T15" s="67"/>
      <c r="U15" s="71"/>
      <c r="V15" s="71"/>
      <c r="W15" s="71"/>
      <c r="X15" s="71"/>
      <c r="Y15" s="71"/>
    </row>
    <row r="16" spans="1:25">
      <c r="A16" s="39" t="s">
        <v>43</v>
      </c>
      <c r="B16" s="259">
        <f t="shared" si="0"/>
        <v>0</v>
      </c>
      <c r="C16" s="265"/>
      <c r="D16" s="264"/>
      <c r="E16" s="46"/>
      <c r="F16" s="42"/>
      <c r="G16" s="42"/>
      <c r="H16" s="42"/>
      <c r="I16" s="45"/>
      <c r="J16" s="343">
        <f>0.5*B12</f>
        <v>181.9</v>
      </c>
      <c r="K16" s="343"/>
      <c r="L16" s="42"/>
      <c r="M16" t="s">
        <v>59</v>
      </c>
      <c r="N16" s="76">
        <f>0.000000001*N11*PI()/4*(($B$9+2*N4+2*N11)^2-($D$11+2*N4)^2)+0.000000001*N11*PI()/4*(($G$5+2*N4+2*N11)^2-($B$9+2*N4+2*N11)^2)+0.000000001*N11*2*$B$19*($B$6+2*N4+2*N11)+0.000000001*N11*$B$19*($B$7+2*N4+2*N11)+0.000000001*N11*($B$19-$F$10)*($B$7+2*N4+2*N11)</f>
        <v>5.1713995576984417E-2</v>
      </c>
      <c r="O16" s="73">
        <f>N16*N12</f>
        <v>10.342799115396883</v>
      </c>
      <c r="P16" s="73">
        <f>SUM(O13:O16)</f>
        <v>68.845737001679524</v>
      </c>
      <c r="R16" s="297"/>
      <c r="S16" s="67"/>
      <c r="T16" s="67"/>
      <c r="U16" s="71"/>
      <c r="V16" s="71"/>
      <c r="W16" s="71"/>
      <c r="X16" s="71"/>
      <c r="Y16" s="71"/>
    </row>
    <row r="17" spans="1:25">
      <c r="A17" s="39" t="s">
        <v>11</v>
      </c>
      <c r="B17" s="259">
        <f t="shared" si="0"/>
        <v>2112.25</v>
      </c>
      <c r="C17" s="263">
        <v>2.4849999999999999</v>
      </c>
      <c r="D17" s="264"/>
      <c r="E17" s="46"/>
      <c r="F17" s="44"/>
      <c r="G17" s="42"/>
      <c r="H17" s="42">
        <v>75</v>
      </c>
      <c r="I17" s="45"/>
      <c r="J17" s="49"/>
      <c r="K17" s="44"/>
      <c r="L17" s="42"/>
      <c r="R17" s="297"/>
      <c r="S17" s="67"/>
      <c r="T17" s="67"/>
      <c r="U17" s="71"/>
      <c r="V17" s="71"/>
      <c r="W17" s="71"/>
      <c r="X17" s="71"/>
      <c r="Y17" s="71"/>
    </row>
    <row r="18" spans="1:25">
      <c r="A18" s="39" t="s">
        <v>12</v>
      </c>
      <c r="B18" s="259">
        <f t="shared" si="0"/>
        <v>1115.2</v>
      </c>
      <c r="C18" s="263">
        <v>1.3120000000000001</v>
      </c>
      <c r="D18" s="264"/>
      <c r="E18" s="46"/>
      <c r="F18" s="44">
        <f>+B7</f>
        <v>388.45</v>
      </c>
      <c r="G18" s="42"/>
      <c r="H18" s="44"/>
      <c r="I18" s="49"/>
      <c r="J18" s="49"/>
      <c r="K18" s="49"/>
      <c r="L18" s="42"/>
      <c r="M18" s="67" t="s">
        <v>26</v>
      </c>
      <c r="N18" s="68">
        <v>6</v>
      </c>
      <c r="O18" s="67" t="s">
        <v>13</v>
      </c>
      <c r="P18" s="69"/>
      <c r="Q18" s="70"/>
      <c r="R18" s="299"/>
      <c r="S18" s="67"/>
      <c r="T18" s="67"/>
      <c r="U18" s="71"/>
      <c r="V18" s="71"/>
      <c r="W18" s="71"/>
      <c r="X18" s="71"/>
      <c r="Y18" s="71"/>
    </row>
    <row r="19" spans="1:25">
      <c r="A19" s="39" t="s">
        <v>44</v>
      </c>
      <c r="B19" s="259">
        <f t="shared" si="0"/>
        <v>510</v>
      </c>
      <c r="C19" s="267">
        <v>0.6</v>
      </c>
      <c r="D19" s="268"/>
      <c r="E19" s="51"/>
      <c r="F19" s="42"/>
      <c r="G19" s="42"/>
      <c r="H19" s="44">
        <f>+B13</f>
        <v>758.2</v>
      </c>
      <c r="I19" s="42"/>
      <c r="J19" s="42"/>
      <c r="K19" s="43"/>
      <c r="L19" s="42"/>
      <c r="M19" s="67" t="s">
        <v>27</v>
      </c>
      <c r="N19" s="68">
        <v>8000</v>
      </c>
      <c r="O19" s="67" t="s">
        <v>22</v>
      </c>
      <c r="P19" s="69"/>
      <c r="Q19" s="70"/>
      <c r="R19" s="71"/>
      <c r="S19" s="67"/>
      <c r="T19" s="67"/>
      <c r="U19" s="71"/>
      <c r="V19" s="71"/>
      <c r="W19" s="71"/>
      <c r="X19" s="71"/>
      <c r="Y19" s="71"/>
    </row>
    <row r="20" spans="1:25">
      <c r="A20" s="39" t="s">
        <v>29</v>
      </c>
      <c r="B20" s="259">
        <f t="shared" si="0"/>
        <v>340</v>
      </c>
      <c r="C20" s="267">
        <v>0.4</v>
      </c>
      <c r="D20" s="268"/>
      <c r="E20" s="51"/>
      <c r="F20" s="42"/>
      <c r="G20" s="45"/>
      <c r="H20" s="42">
        <f>+B18</f>
        <v>1115.2</v>
      </c>
      <c r="I20" s="44"/>
      <c r="J20" s="42"/>
      <c r="K20" s="43"/>
      <c r="L20" s="44">
        <f>0.8*B12</f>
        <v>291.04000000000002</v>
      </c>
      <c r="M20" t="s">
        <v>60</v>
      </c>
      <c r="N20" s="75">
        <f>0.000000001*PI()*B17/12*(((B5+2*N4+2*N11+2*N18)^2+(B5+2*N4+2*N11+2*N18)*(B20+2*N4+2*N11+2*N18)+(B20+2*N4+2*N11+2*N18)^2)-((B5+2*N4+2*N11)^2+(B5+2*N4+2*N11)*(B20+2*N4+2*N11)+(B20+2*N4+2*N11)^2))</f>
        <v>3.0299195590900656E-2</v>
      </c>
      <c r="O20" s="73">
        <f>N20*N19</f>
        <v>242.39356472720524</v>
      </c>
      <c r="P20" s="67"/>
      <c r="Q20" s="70"/>
      <c r="R20" s="299"/>
      <c r="S20" s="67"/>
      <c r="T20" s="67"/>
      <c r="U20" s="71"/>
      <c r="V20" s="71"/>
      <c r="W20" s="71"/>
      <c r="X20" s="71"/>
      <c r="Y20" s="71"/>
    </row>
    <row r="21" spans="1:25">
      <c r="A21" s="39" t="s">
        <v>45</v>
      </c>
      <c r="B21" s="259">
        <f t="shared" si="0"/>
        <v>255</v>
      </c>
      <c r="C21" s="267">
        <v>0.3</v>
      </c>
      <c r="D21" s="268"/>
      <c r="E21" s="51"/>
      <c r="F21" s="42"/>
      <c r="G21" s="52">
        <f>+B11</f>
        <v>260.95</v>
      </c>
      <c r="H21" s="42"/>
      <c r="I21" s="42"/>
      <c r="J21" s="42"/>
      <c r="K21" s="43"/>
      <c r="L21" s="42"/>
      <c r="M21" t="s">
        <v>61</v>
      </c>
      <c r="N21" s="75">
        <f>0.000000001*(B18+N4+N11)*PI()/4*((B5+2*N4+2*N11+2*N18)^2-(B5+2*N4+2*N11)^2)</f>
        <v>2.2889453065221898E-2</v>
      </c>
      <c r="O21" s="73">
        <f>N21*N19</f>
        <v>183.11562452177517</v>
      </c>
      <c r="P21" s="67"/>
      <c r="Q21" s="297"/>
      <c r="R21" s="312" t="s">
        <v>337</v>
      </c>
      <c r="S21" s="328">
        <f>O40</f>
        <v>1945.4440205249141</v>
      </c>
      <c r="T21" s="273" t="s">
        <v>314</v>
      </c>
      <c r="U21" s="71"/>
      <c r="V21" s="71"/>
      <c r="W21" s="71"/>
      <c r="X21" s="71"/>
      <c r="Y21" s="71"/>
    </row>
    <row r="22" spans="1:25">
      <c r="A22" s="53" t="s">
        <v>46</v>
      </c>
      <c r="B22" s="260">
        <f>C22</f>
        <v>9.5</v>
      </c>
      <c r="C22" s="267">
        <v>9.5</v>
      </c>
      <c r="D22" s="268"/>
      <c r="E22" s="51"/>
      <c r="F22" s="42"/>
      <c r="G22" s="45">
        <f>+B9</f>
        <v>850</v>
      </c>
      <c r="H22" s="42"/>
      <c r="I22" s="42"/>
      <c r="J22" s="42"/>
      <c r="K22" s="43"/>
      <c r="L22" s="42"/>
      <c r="M22" t="s">
        <v>62</v>
      </c>
      <c r="N22" s="75">
        <f>0.000000001*3*B20*PI()/4*((B20+2*N4+2*N11+2*N18)^2-(B20+2*N4+2*N11)^2)</f>
        <v>9.7286328022245863E-3</v>
      </c>
      <c r="O22" s="73">
        <f>N22*N19</f>
        <v>77.829062417796692</v>
      </c>
      <c r="P22" s="67"/>
      <c r="Q22" s="297"/>
      <c r="R22" s="313" t="s">
        <v>307</v>
      </c>
      <c r="S22" s="69">
        <v>2</v>
      </c>
      <c r="T22" s="275" t="s">
        <v>322</v>
      </c>
      <c r="U22" s="71"/>
      <c r="V22" s="71"/>
      <c r="W22" s="71"/>
      <c r="X22" s="71"/>
      <c r="Y22" s="71"/>
    </row>
    <row r="23" spans="1:25">
      <c r="A23" s="39" t="s">
        <v>47</v>
      </c>
      <c r="B23" s="259">
        <f t="shared" si="0"/>
        <v>1530</v>
      </c>
      <c r="C23" s="267">
        <v>1.8</v>
      </c>
      <c r="D23" s="268"/>
      <c r="E23" s="51"/>
      <c r="F23" s="42"/>
      <c r="G23" s="42"/>
      <c r="H23" s="42"/>
      <c r="I23" s="42"/>
      <c r="J23" s="47">
        <f>+B12</f>
        <v>363.8</v>
      </c>
      <c r="K23" s="43"/>
      <c r="L23" s="42"/>
      <c r="M23" s="67" t="s">
        <v>55</v>
      </c>
      <c r="N23" s="76">
        <f>0.000000001*N18*PI()/4*((B9+2*N4+2*N11)^2-D11^2)+0.000000001*N18*PI()/4*((G5+2*N4+2*N11)^2-(B9+2*N4+2*N11)^2)+0.000000001*N18*2*B19*(B6+2*N4+2*N11)+0.000000001*N18*B19*(B7+2*N4+2*N11)+0.000000001*N18*(B19-F10)*(B7+2*N4+2*N11)</f>
        <v>1.0586674669909753E-2</v>
      </c>
      <c r="O23" s="73">
        <f>N23*N19</f>
        <v>84.693397359278023</v>
      </c>
      <c r="P23" s="73">
        <f>SUM(O20:O23)</f>
        <v>588.03164902605511</v>
      </c>
      <c r="Q23" s="298"/>
      <c r="R23" s="313" t="s">
        <v>269</v>
      </c>
      <c r="S23" s="70">
        <f>N18/1000</f>
        <v>6.0000000000000001E-3</v>
      </c>
      <c r="T23" s="275" t="s">
        <v>322</v>
      </c>
      <c r="U23" s="71"/>
      <c r="V23" s="71"/>
      <c r="W23" s="71"/>
      <c r="X23" s="71"/>
      <c r="Y23" s="71"/>
    </row>
    <row r="24" spans="1:25">
      <c r="A24" s="40" t="s">
        <v>48</v>
      </c>
      <c r="B24" s="259">
        <f t="shared" si="0"/>
        <v>1020</v>
      </c>
      <c r="C24" s="269">
        <v>1.2</v>
      </c>
      <c r="D24" s="270"/>
      <c r="E24" s="54"/>
      <c r="F24" s="42"/>
      <c r="G24" s="42"/>
      <c r="H24" s="42"/>
      <c r="I24" s="42"/>
      <c r="J24" s="42"/>
      <c r="K24" s="43"/>
      <c r="L24" s="42"/>
      <c r="O24" s="71"/>
      <c r="P24" s="71"/>
      <c r="Q24" s="71"/>
      <c r="R24" s="314" t="s">
        <v>338</v>
      </c>
      <c r="S24" s="315">
        <f>9.81*S21/(PI()*S22*S23)/1000000</f>
        <v>0.5062401979333061</v>
      </c>
      <c r="T24" s="278" t="s">
        <v>339</v>
      </c>
      <c r="U24" s="71"/>
      <c r="V24" s="71"/>
      <c r="W24" s="71"/>
      <c r="X24" s="71"/>
      <c r="Y24" s="71"/>
    </row>
    <row r="25" spans="1:25">
      <c r="A25" s="40" t="s">
        <v>49</v>
      </c>
      <c r="B25" s="259">
        <f t="shared" si="0"/>
        <v>212.5</v>
      </c>
      <c r="C25" s="271">
        <v>0.25</v>
      </c>
      <c r="D25" s="270"/>
      <c r="E25" s="54"/>
      <c r="F25" s="42"/>
      <c r="G25" s="42"/>
      <c r="H25" s="42"/>
      <c r="I25" s="42"/>
      <c r="J25" s="42"/>
      <c r="K25" s="43"/>
      <c r="L25" s="42"/>
      <c r="M25" s="67" t="s">
        <v>56</v>
      </c>
      <c r="N25" s="68">
        <v>6</v>
      </c>
      <c r="O25" s="67" t="s">
        <v>13</v>
      </c>
      <c r="P25" s="298"/>
      <c r="Q25" s="298"/>
      <c r="R25" s="299"/>
      <c r="S25" s="67"/>
      <c r="T25" s="67"/>
      <c r="U25" s="71"/>
      <c r="V25" s="71"/>
      <c r="W25" s="71"/>
      <c r="X25" s="71"/>
      <c r="Y25" s="71"/>
    </row>
    <row r="26" spans="1:25">
      <c r="A26" s="55"/>
      <c r="B26" s="56"/>
      <c r="C26" s="41"/>
      <c r="D26" s="41"/>
      <c r="E26" s="41"/>
      <c r="F26" s="42"/>
      <c r="G26" s="42"/>
      <c r="H26" s="42"/>
      <c r="I26" s="42"/>
      <c r="J26" s="42"/>
      <c r="K26" s="43"/>
      <c r="L26" s="42"/>
      <c r="M26" s="67" t="s">
        <v>30</v>
      </c>
      <c r="N26" s="68">
        <v>9000</v>
      </c>
      <c r="O26" s="67" t="s">
        <v>22</v>
      </c>
      <c r="P26" s="298"/>
      <c r="Q26" s="298"/>
      <c r="R26" s="299"/>
      <c r="S26" s="67"/>
      <c r="T26" s="67"/>
      <c r="U26" s="71"/>
      <c r="V26" s="71"/>
      <c r="W26" s="71"/>
      <c r="X26" s="71"/>
      <c r="Y26" s="71"/>
    </row>
    <row r="27" spans="1:25">
      <c r="A27" s="35"/>
      <c r="B27" s="35"/>
      <c r="C27" s="42"/>
      <c r="D27" s="42"/>
      <c r="E27" s="42"/>
      <c r="F27" s="42"/>
      <c r="G27" s="42"/>
      <c r="H27" s="42">
        <f>+B17</f>
        <v>2112.25</v>
      </c>
      <c r="I27" s="42"/>
      <c r="J27" s="341" t="s">
        <v>50</v>
      </c>
      <c r="K27" s="341"/>
      <c r="L27" s="42"/>
      <c r="M27" t="s">
        <v>63</v>
      </c>
      <c r="N27" s="75">
        <f>0.000000001*(B13+N4+75)*PI()*D11*N25</f>
        <v>3.4754214054201569E-3</v>
      </c>
      <c r="O27" s="73">
        <f>N27*N26</f>
        <v>31.278792648781412</v>
      </c>
      <c r="P27" s="73">
        <f>O27</f>
        <v>31.278792648781412</v>
      </c>
      <c r="Q27" s="298"/>
      <c r="R27" s="299"/>
      <c r="S27" s="67"/>
      <c r="T27" s="67"/>
      <c r="U27" s="71"/>
      <c r="V27" s="71"/>
      <c r="W27" s="71"/>
      <c r="X27" s="71"/>
      <c r="Y27" s="71"/>
    </row>
    <row r="28" spans="1:25">
      <c r="C28" s="42"/>
      <c r="D28" s="42"/>
      <c r="E28" s="42"/>
      <c r="F28" s="42"/>
      <c r="G28" s="42"/>
      <c r="H28" s="42"/>
      <c r="I28" s="42"/>
      <c r="J28" s="45"/>
      <c r="K28" s="45"/>
      <c r="L28" s="42"/>
      <c r="M28" s="67"/>
      <c r="O28" s="71"/>
      <c r="P28" s="298"/>
      <c r="Q28" s="298"/>
      <c r="R28" s="299"/>
      <c r="S28" s="67"/>
      <c r="T28" s="67"/>
      <c r="U28" s="71"/>
      <c r="V28" s="71"/>
      <c r="W28" s="71"/>
      <c r="X28" s="71"/>
      <c r="Y28" s="71"/>
    </row>
    <row r="29" spans="1:25">
      <c r="C29" s="42"/>
      <c r="D29" s="42"/>
      <c r="E29" s="42"/>
      <c r="F29" s="42"/>
      <c r="G29" s="42"/>
      <c r="H29" s="42"/>
      <c r="I29" s="43"/>
      <c r="J29" s="47">
        <f>+B20</f>
        <v>340</v>
      </c>
      <c r="K29" s="42"/>
      <c r="L29" s="42"/>
      <c r="M29" s="71" t="s">
        <v>53</v>
      </c>
      <c r="N29" s="72">
        <v>20</v>
      </c>
      <c r="O29" s="71" t="s">
        <v>13</v>
      </c>
      <c r="P29" s="298"/>
      <c r="Q29" s="67"/>
      <c r="R29" s="14"/>
      <c r="S29" s="9"/>
      <c r="T29" s="9"/>
      <c r="U29" s="71"/>
      <c r="V29" s="71"/>
      <c r="W29" s="71"/>
      <c r="X29" s="71"/>
      <c r="Y29" s="71"/>
    </row>
    <row r="30" spans="1:25">
      <c r="C30" s="42"/>
      <c r="D30" s="42"/>
      <c r="E30" s="42"/>
      <c r="F30" s="42"/>
      <c r="G30" s="42"/>
      <c r="H30" s="42"/>
      <c r="I30" s="43"/>
      <c r="J30" s="44"/>
      <c r="K30" s="42"/>
      <c r="L30" s="42"/>
      <c r="M30" s="71" t="s">
        <v>54</v>
      </c>
      <c r="N30" s="72">
        <v>75</v>
      </c>
      <c r="O30" s="71" t="s">
        <v>13</v>
      </c>
      <c r="P30" s="298"/>
      <c r="Q30" s="298"/>
      <c r="R30" s="14"/>
      <c r="S30" s="9"/>
      <c r="T30" s="9"/>
      <c r="U30" s="71"/>
      <c r="V30" s="71"/>
      <c r="W30" s="71"/>
      <c r="X30" s="71"/>
      <c r="Y30" s="71"/>
    </row>
    <row r="31" spans="1:25">
      <c r="C31" s="42"/>
      <c r="D31" s="42"/>
      <c r="E31" s="42"/>
      <c r="F31" s="42"/>
      <c r="G31" s="42"/>
      <c r="H31" s="42"/>
      <c r="I31" s="43"/>
      <c r="J31" s="44"/>
      <c r="K31" s="42"/>
      <c r="L31" s="42"/>
      <c r="M31" t="s">
        <v>64</v>
      </c>
      <c r="O31" s="74">
        <f>0.000000001*N19*2*N29*PI()/4*((B9+2*N4+2*N30)^2-(B9+2*N4)^2)</f>
        <v>77.283179278308936</v>
      </c>
      <c r="P31" s="71"/>
      <c r="Q31" s="298"/>
      <c r="R31" s="14"/>
      <c r="S31" s="9"/>
      <c r="T31" s="9"/>
      <c r="U31" s="71"/>
      <c r="V31" s="71"/>
      <c r="W31" s="71"/>
      <c r="X31" s="71"/>
      <c r="Y31" s="71"/>
    </row>
    <row r="32" spans="1:25">
      <c r="C32" s="42"/>
      <c r="D32" s="42"/>
      <c r="E32" s="42"/>
      <c r="F32" s="42"/>
      <c r="G32" s="45"/>
      <c r="H32" s="44"/>
      <c r="I32" s="43"/>
      <c r="J32" s="47">
        <f>+B9</f>
        <v>850</v>
      </c>
      <c r="K32" s="42"/>
      <c r="L32" s="42"/>
      <c r="M32" s="71" t="s">
        <v>65</v>
      </c>
      <c r="O32" s="74">
        <f>0.000000001*N19*N29*PI()/4*((B25+2*N4+2*N30)^2-(B25+2*N4)^2)</f>
        <v>14.608405839192542</v>
      </c>
      <c r="P32" s="71"/>
      <c r="Q32" s="298"/>
      <c r="R32" s="14"/>
      <c r="S32" s="9"/>
      <c r="T32" s="9"/>
      <c r="U32" s="71"/>
      <c r="V32" s="71"/>
      <c r="W32" s="71"/>
      <c r="X32" s="71"/>
      <c r="Y32" s="71"/>
    </row>
    <row r="33" spans="1:25">
      <c r="C33" s="42"/>
      <c r="D33" s="42"/>
      <c r="E33" s="42"/>
      <c r="F33" s="42">
        <f>+B20</f>
        <v>340</v>
      </c>
      <c r="G33" s="42">
        <f>+B24/2</f>
        <v>510</v>
      </c>
      <c r="H33" s="44"/>
      <c r="I33" s="43"/>
      <c r="J33" s="44"/>
      <c r="K33" s="42"/>
      <c r="L33" s="42"/>
      <c r="M33" s="71" t="s">
        <v>66</v>
      </c>
      <c r="O33" s="74">
        <f>0.000000001*N19*N29*((B6+2*N4+2*N30)*(B7+2*N4+2*N30)-(B6+2*N4)*(B7+2*N4))</f>
        <v>21.864000000000011</v>
      </c>
      <c r="P33" s="71"/>
      <c r="Q33" s="298"/>
      <c r="R33" s="14"/>
      <c r="S33" s="9"/>
      <c r="T33" s="9"/>
      <c r="U33" s="71"/>
      <c r="V33" s="71"/>
      <c r="W33" s="71"/>
      <c r="X33" s="71"/>
      <c r="Y33" s="71"/>
    </row>
    <row r="34" spans="1:25">
      <c r="C34" s="42"/>
      <c r="D34" s="42"/>
      <c r="E34" s="42"/>
      <c r="F34" s="42"/>
      <c r="G34" s="42"/>
      <c r="H34" s="42">
        <f>+B20*3</f>
        <v>1020</v>
      </c>
      <c r="I34" s="43"/>
      <c r="J34" s="44"/>
      <c r="K34" s="343">
        <f>+B23</f>
        <v>1530</v>
      </c>
      <c r="L34" s="343"/>
      <c r="M34" s="71" t="s">
        <v>67</v>
      </c>
      <c r="O34" s="74">
        <f>0.000000001*N26*N29*PI()/4*((B11+2*N30)^2-D11^2)</f>
        <v>17.713752117784924</v>
      </c>
      <c r="P34" s="74">
        <f>SUM(O31:O34)</f>
        <v>131.46933723528642</v>
      </c>
      <c r="Q34" s="298"/>
      <c r="R34" s="14"/>
      <c r="S34" s="9"/>
      <c r="T34" s="9"/>
      <c r="U34" s="71"/>
      <c r="V34" s="71"/>
      <c r="W34" s="71"/>
      <c r="X34" s="71"/>
      <c r="Y34" s="71"/>
    </row>
    <row r="35" spans="1:25">
      <c r="C35" s="42"/>
      <c r="D35" s="42"/>
      <c r="E35" s="42"/>
      <c r="F35" s="42"/>
      <c r="G35" s="340">
        <f>+B24/2</f>
        <v>510</v>
      </c>
      <c r="H35" s="44"/>
      <c r="I35" s="43"/>
      <c r="J35" s="44"/>
      <c r="K35" s="42"/>
      <c r="L35" s="42"/>
      <c r="M35" s="71"/>
      <c r="N35" s="71"/>
      <c r="O35" s="71"/>
      <c r="P35" s="71"/>
      <c r="Q35" s="298"/>
      <c r="R35" s="14"/>
      <c r="S35" s="9"/>
      <c r="T35" s="9"/>
      <c r="U35" s="71"/>
      <c r="V35" s="71"/>
      <c r="W35" s="71"/>
      <c r="X35" s="71"/>
      <c r="Y35" s="71"/>
    </row>
    <row r="36" spans="1:25">
      <c r="C36" s="42"/>
      <c r="D36" s="42"/>
      <c r="E36" s="42"/>
      <c r="F36" s="42"/>
      <c r="G36" s="340"/>
      <c r="H36" s="42"/>
      <c r="I36" s="43"/>
      <c r="J36" s="44"/>
      <c r="K36" s="42"/>
      <c r="L36" s="42"/>
      <c r="M36" s="9" t="s">
        <v>28</v>
      </c>
      <c r="N36" s="71"/>
      <c r="O36" s="71">
        <v>0</v>
      </c>
      <c r="P36" s="71"/>
      <c r="Q36" s="13"/>
      <c r="R36" s="14"/>
      <c r="S36" s="9"/>
      <c r="T36" s="9"/>
      <c r="U36" s="71"/>
      <c r="V36" s="71"/>
      <c r="W36" s="71"/>
      <c r="X36" s="71"/>
      <c r="Y36" s="71"/>
    </row>
    <row r="37" spans="1:25">
      <c r="C37" s="42"/>
      <c r="D37" s="42"/>
      <c r="E37" s="42"/>
      <c r="F37" s="340">
        <f>+B25</f>
        <v>212.5</v>
      </c>
      <c r="G37" s="42"/>
      <c r="H37" s="42"/>
      <c r="I37" s="43"/>
      <c r="J37" s="44"/>
      <c r="K37" s="42"/>
      <c r="L37" s="42"/>
      <c r="M37" s="10" t="s">
        <v>31</v>
      </c>
      <c r="N37" s="78"/>
      <c r="O37" s="78">
        <v>0</v>
      </c>
      <c r="P37" s="71"/>
      <c r="Q37" s="13"/>
      <c r="R37" s="14"/>
      <c r="S37" s="9"/>
      <c r="T37" s="9"/>
      <c r="U37" s="71"/>
      <c r="V37" s="71"/>
      <c r="W37" s="71"/>
      <c r="X37" s="71"/>
      <c r="Y37" s="71"/>
    </row>
    <row r="38" spans="1:25">
      <c r="C38" s="42"/>
      <c r="D38" s="42"/>
      <c r="E38" s="42"/>
      <c r="F38" s="340"/>
      <c r="G38" s="45"/>
      <c r="H38" s="42"/>
      <c r="I38" s="43"/>
      <c r="J38" s="44"/>
      <c r="K38" s="42"/>
      <c r="L38" s="42"/>
      <c r="M38" s="71" t="s">
        <v>334</v>
      </c>
      <c r="N38" s="71"/>
      <c r="O38" s="71">
        <v>0</v>
      </c>
      <c r="P38" s="71"/>
      <c r="Q38" s="13"/>
      <c r="R38" s="14"/>
      <c r="S38" s="9"/>
      <c r="T38" s="9"/>
      <c r="U38" s="71"/>
      <c r="V38" s="71"/>
      <c r="W38" s="71"/>
      <c r="X38" s="71"/>
      <c r="Y38" s="71"/>
    </row>
    <row r="39" spans="1:25">
      <c r="C39" s="42"/>
      <c r="D39" s="42"/>
      <c r="E39" s="42"/>
      <c r="F39" s="42"/>
      <c r="G39" s="42"/>
      <c r="H39" s="42"/>
      <c r="I39" s="43"/>
      <c r="J39" s="47">
        <f>+B25</f>
        <v>212.5</v>
      </c>
      <c r="K39" s="42"/>
      <c r="L39" s="42"/>
      <c r="M39" s="300"/>
      <c r="N39" s="300"/>
      <c r="O39" s="300"/>
      <c r="P39" s="71"/>
      <c r="Q39" s="13"/>
      <c r="R39" s="9"/>
      <c r="S39" s="9"/>
      <c r="T39" s="9"/>
      <c r="U39" s="71"/>
      <c r="V39" s="71"/>
      <c r="W39" s="71"/>
      <c r="X39" s="71"/>
      <c r="Y39" s="71"/>
    </row>
    <row r="40" spans="1:25">
      <c r="A40" s="35"/>
      <c r="B40" s="35"/>
      <c r="C40" s="45"/>
      <c r="D40" s="45"/>
      <c r="E40" s="45"/>
      <c r="F40" s="42"/>
      <c r="G40" s="42"/>
      <c r="H40" s="42"/>
      <c r="I40" s="42"/>
      <c r="J40" s="42"/>
      <c r="K40" s="43"/>
      <c r="L40" s="42"/>
      <c r="M40" s="309" t="s">
        <v>329</v>
      </c>
      <c r="N40" s="309"/>
      <c r="O40" s="301">
        <f>SUM(O6:O39)</f>
        <v>1945.4440205249141</v>
      </c>
      <c r="P40" s="71"/>
      <c r="Q40" s="13"/>
      <c r="R40" s="9"/>
      <c r="S40" s="9"/>
      <c r="T40" s="9"/>
    </row>
    <row r="41" spans="1:25">
      <c r="A41" s="35"/>
      <c r="B41" s="35"/>
      <c r="C41" s="42"/>
      <c r="D41" s="42"/>
      <c r="E41" s="42"/>
      <c r="F41" s="42"/>
      <c r="G41" s="45">
        <f>+B20</f>
        <v>340</v>
      </c>
      <c r="H41" s="42"/>
      <c r="I41" s="42"/>
      <c r="J41" s="42"/>
      <c r="K41" s="43"/>
      <c r="L41" s="42"/>
      <c r="M41" s="71"/>
      <c r="N41" s="71"/>
      <c r="O41" s="71"/>
      <c r="P41" s="71"/>
      <c r="Q41" s="13"/>
      <c r="R41" s="71"/>
      <c r="S41" s="71"/>
      <c r="T41" s="71"/>
    </row>
    <row r="42" spans="1:25">
      <c r="A42" s="35"/>
      <c r="B42" s="35"/>
      <c r="C42" s="45"/>
      <c r="D42" s="45"/>
      <c r="E42" s="45"/>
      <c r="F42" s="42"/>
      <c r="G42" s="42"/>
      <c r="H42" s="42" t="s">
        <v>51</v>
      </c>
      <c r="I42" s="42"/>
      <c r="J42" s="57" t="s">
        <v>52</v>
      </c>
      <c r="K42" s="58" t="s">
        <v>50</v>
      </c>
      <c r="L42" s="42"/>
      <c r="M42" s="71"/>
      <c r="N42" s="71"/>
      <c r="O42" s="71"/>
      <c r="P42" s="71"/>
      <c r="Q42" s="13"/>
      <c r="R42" s="71"/>
      <c r="S42" s="71"/>
      <c r="T42" s="71"/>
    </row>
    <row r="43" spans="1:25">
      <c r="A43" s="35"/>
      <c r="B43" s="35"/>
      <c r="C43" s="42"/>
      <c r="D43" s="42"/>
      <c r="E43" s="42"/>
      <c r="F43" s="42"/>
      <c r="G43" s="42"/>
      <c r="H43" s="42"/>
      <c r="I43" s="42"/>
      <c r="J43" s="59">
        <f>+H17</f>
        <v>75</v>
      </c>
      <c r="K43" s="60">
        <f>+H17</f>
        <v>75</v>
      </c>
      <c r="L43" s="42"/>
      <c r="M43" s="310" t="s">
        <v>330</v>
      </c>
      <c r="N43" s="311" t="s">
        <v>336</v>
      </c>
      <c r="O43" s="311"/>
      <c r="P43" s="71"/>
      <c r="Q43" s="13"/>
      <c r="R43" s="71"/>
      <c r="S43" s="71"/>
      <c r="T43" s="71"/>
    </row>
    <row r="44" spans="1:25">
      <c r="A44" s="35"/>
      <c r="B44" s="35"/>
      <c r="F44" s="45"/>
      <c r="J44" s="61">
        <f>+H20</f>
        <v>1115.2</v>
      </c>
      <c r="K44" s="62">
        <f>+H20</f>
        <v>1115.2</v>
      </c>
      <c r="R44" s="71"/>
      <c r="S44" s="71"/>
      <c r="T44" s="71"/>
    </row>
    <row r="45" spans="1:25">
      <c r="A45" s="35"/>
      <c r="B45" s="35"/>
      <c r="J45" s="61">
        <f>+H27</f>
        <v>2112.25</v>
      </c>
      <c r="K45" s="62">
        <f>+H27</f>
        <v>2112.25</v>
      </c>
      <c r="R45" s="71"/>
      <c r="S45" s="71"/>
      <c r="T45" s="71"/>
    </row>
    <row r="46" spans="1:25">
      <c r="A46" s="35"/>
      <c r="B46" s="35"/>
      <c r="H46" s="44">
        <f>+(((0.5*B5)/(0.3*B5))*B17)-B17</f>
        <v>1408.166666666667</v>
      </c>
      <c r="J46" s="61">
        <f>+H34</f>
        <v>1020</v>
      </c>
      <c r="K46" s="62">
        <f>+K34</f>
        <v>1530</v>
      </c>
      <c r="R46" s="71"/>
      <c r="S46" s="71"/>
      <c r="T46" s="71"/>
    </row>
    <row r="47" spans="1:25">
      <c r="A47" s="35"/>
      <c r="B47" s="35"/>
      <c r="J47" s="63">
        <f>SUM(J43:J46)</f>
        <v>4322.45</v>
      </c>
      <c r="K47" s="64">
        <f>SUM(K43:K46)</f>
        <v>4832.45</v>
      </c>
      <c r="R47" s="71"/>
      <c r="S47" s="71"/>
      <c r="T47" s="71"/>
    </row>
    <row r="48" spans="1:25">
      <c r="A48" s="35"/>
      <c r="B48" s="35"/>
      <c r="M48" s="71"/>
      <c r="N48" s="71"/>
      <c r="O48" s="71"/>
      <c r="P48" s="71"/>
      <c r="Q48" s="71"/>
      <c r="R48" s="71"/>
      <c r="S48" s="71"/>
      <c r="T48" s="71"/>
    </row>
    <row r="49" spans="1:20">
      <c r="A49" s="35"/>
      <c r="B49" s="35"/>
      <c r="M49" s="71"/>
      <c r="N49" s="71"/>
      <c r="O49" s="71"/>
      <c r="P49" s="71"/>
      <c r="Q49" s="71"/>
      <c r="R49" s="71"/>
      <c r="S49" s="71"/>
      <c r="T49" s="71"/>
    </row>
    <row r="50" spans="1:20">
      <c r="A50" s="324"/>
      <c r="B50" s="325" t="s">
        <v>344</v>
      </c>
      <c r="C50" s="325" t="s">
        <v>344</v>
      </c>
      <c r="D50" s="325" t="s">
        <v>344</v>
      </c>
      <c r="E50" s="325" t="s">
        <v>344</v>
      </c>
      <c r="F50" s="325" t="s">
        <v>344</v>
      </c>
      <c r="G50" s="325" t="s">
        <v>344</v>
      </c>
      <c r="H50" s="325" t="s">
        <v>344</v>
      </c>
      <c r="M50" s="71"/>
      <c r="N50" s="71"/>
      <c r="O50" s="71"/>
      <c r="P50" s="71"/>
      <c r="Q50" s="71"/>
      <c r="R50" s="71"/>
      <c r="S50" s="71"/>
      <c r="T50" s="71"/>
    </row>
    <row r="51" spans="1:20">
      <c r="A51" s="326"/>
      <c r="B51" s="327">
        <v>250</v>
      </c>
      <c r="C51" s="327">
        <v>300</v>
      </c>
      <c r="D51" s="327">
        <v>350</v>
      </c>
      <c r="E51" s="327">
        <v>435</v>
      </c>
      <c r="F51" s="327">
        <v>550</v>
      </c>
      <c r="G51" s="327">
        <v>750</v>
      </c>
      <c r="H51" s="327">
        <v>850</v>
      </c>
      <c r="M51" s="71"/>
      <c r="N51" s="71"/>
      <c r="O51" s="71"/>
      <c r="P51" s="71"/>
      <c r="Q51" s="71"/>
      <c r="R51" s="71"/>
      <c r="S51" s="71"/>
      <c r="T51" s="71"/>
    </row>
    <row r="52" spans="1:20">
      <c r="A52" s="316" t="s">
        <v>34</v>
      </c>
      <c r="B52" s="317">
        <v>0.379</v>
      </c>
      <c r="C52" s="317">
        <v>0.34</v>
      </c>
      <c r="D52" s="317">
        <v>0.32</v>
      </c>
      <c r="E52" s="317">
        <v>0.28199999999999997</v>
      </c>
      <c r="F52" s="317">
        <v>0.25</v>
      </c>
      <c r="G52" s="317">
        <v>0.216</v>
      </c>
      <c r="H52" s="317">
        <v>0.20300000000000001</v>
      </c>
      <c r="M52" s="71"/>
      <c r="N52" s="71"/>
      <c r="O52" s="71"/>
      <c r="P52" s="71"/>
      <c r="Q52" s="71"/>
      <c r="R52" s="71"/>
      <c r="S52" s="71"/>
      <c r="T52" s="71"/>
    </row>
    <row r="53" spans="1:20">
      <c r="A53" s="316" t="s">
        <v>36</v>
      </c>
      <c r="B53" s="317">
        <v>0.82899999999999996</v>
      </c>
      <c r="C53" s="317">
        <v>0.77</v>
      </c>
      <c r="D53" s="317">
        <v>0.7</v>
      </c>
      <c r="E53" s="317">
        <v>0.64</v>
      </c>
      <c r="F53" s="317">
        <v>0.56999999999999995</v>
      </c>
      <c r="G53" s="317">
        <v>0.48599999999999999</v>
      </c>
      <c r="H53" s="317">
        <v>0.45700000000000002</v>
      </c>
    </row>
    <row r="54" spans="1:20">
      <c r="A54" s="316" t="s">
        <v>5</v>
      </c>
      <c r="B54" s="318" t="s">
        <v>343</v>
      </c>
      <c r="C54" s="319"/>
      <c r="D54" s="319"/>
      <c r="E54" s="319"/>
      <c r="F54" s="319"/>
      <c r="G54" s="319"/>
      <c r="H54" s="319"/>
    </row>
    <row r="55" spans="1:20">
      <c r="A55" s="316" t="s">
        <v>10</v>
      </c>
      <c r="B55" s="317">
        <v>1</v>
      </c>
      <c r="C55" s="317">
        <v>1</v>
      </c>
      <c r="D55" s="317">
        <v>1</v>
      </c>
      <c r="E55" s="317">
        <v>1</v>
      </c>
      <c r="F55" s="317">
        <v>1</v>
      </c>
      <c r="G55" s="317">
        <v>1</v>
      </c>
      <c r="H55" s="317">
        <v>1</v>
      </c>
    </row>
    <row r="56" spans="1:20">
      <c r="A56" s="316" t="s">
        <v>37</v>
      </c>
      <c r="B56" s="317">
        <v>0.63100000000000001</v>
      </c>
      <c r="C56" s="317">
        <v>0.63</v>
      </c>
      <c r="D56" s="317">
        <v>0.61699999999999999</v>
      </c>
      <c r="E56" s="317">
        <v>0.6</v>
      </c>
      <c r="F56" s="317">
        <v>0.57999999999999996</v>
      </c>
      <c r="G56" s="317">
        <v>0.56999999999999995</v>
      </c>
      <c r="H56" s="317">
        <v>0.56399999999999995</v>
      </c>
    </row>
    <row r="57" spans="1:20">
      <c r="A57" s="316" t="s">
        <v>38</v>
      </c>
      <c r="B57" s="317">
        <v>0.82</v>
      </c>
      <c r="C57" s="317">
        <v>0.68</v>
      </c>
      <c r="D57" s="317">
        <v>0.63</v>
      </c>
      <c r="E57" s="317">
        <v>0.56000000000000005</v>
      </c>
      <c r="F57" s="317">
        <v>0.45</v>
      </c>
      <c r="G57" s="317">
        <v>0.36499999999999999</v>
      </c>
      <c r="H57" s="317">
        <v>0.307</v>
      </c>
    </row>
    <row r="58" spans="1:20">
      <c r="A58" s="316" t="s">
        <v>39</v>
      </c>
      <c r="B58" s="317">
        <v>0.82</v>
      </c>
      <c r="C58" s="317">
        <v>0.68</v>
      </c>
      <c r="D58" s="317">
        <v>0.63</v>
      </c>
      <c r="E58" s="317">
        <v>0.56000000000000005</v>
      </c>
      <c r="F58" s="317">
        <v>0.56000000000000005</v>
      </c>
      <c r="G58" s="317">
        <v>0.56000000000000005</v>
      </c>
      <c r="H58" s="317">
        <v>0.42799999999999999</v>
      </c>
    </row>
    <row r="59" spans="1:20">
      <c r="A59" s="316" t="s">
        <v>40</v>
      </c>
      <c r="B59" s="317">
        <v>0.89200000000000002</v>
      </c>
      <c r="C59" s="317">
        <v>0.89200000000000002</v>
      </c>
      <c r="D59" s="317">
        <v>0.89200000000000002</v>
      </c>
      <c r="E59" s="317">
        <v>0.89200000000000002</v>
      </c>
      <c r="F59" s="317">
        <v>0.89200000000000002</v>
      </c>
      <c r="G59" s="317">
        <v>0.89200000000000002</v>
      </c>
      <c r="H59" s="317">
        <v>0.89200000000000002</v>
      </c>
    </row>
    <row r="60" spans="1:20">
      <c r="A60" s="316" t="s">
        <v>41</v>
      </c>
      <c r="B60" s="317">
        <v>3.36</v>
      </c>
      <c r="C60" s="317">
        <v>3.36</v>
      </c>
      <c r="D60" s="317">
        <v>3.36</v>
      </c>
      <c r="E60" s="317">
        <v>3.36</v>
      </c>
      <c r="F60" s="317">
        <v>3.36</v>
      </c>
      <c r="G60" s="317">
        <v>3.36</v>
      </c>
      <c r="H60" s="317">
        <v>3.7970000000000002</v>
      </c>
    </row>
    <row r="61" spans="1:20">
      <c r="A61" s="316" t="s">
        <v>42</v>
      </c>
      <c r="B61" s="318" t="s">
        <v>343</v>
      </c>
      <c r="C61" s="319"/>
      <c r="D61" s="319"/>
      <c r="E61" s="319"/>
      <c r="F61" s="319"/>
      <c r="G61" s="319"/>
      <c r="H61" s="319"/>
    </row>
    <row r="62" spans="1:20">
      <c r="A62" s="316" t="s">
        <v>43</v>
      </c>
      <c r="B62" s="318" t="s">
        <v>343</v>
      </c>
      <c r="C62" s="319"/>
      <c r="D62" s="319"/>
      <c r="E62" s="319"/>
      <c r="F62" s="319"/>
      <c r="G62" s="319"/>
      <c r="H62" s="319"/>
    </row>
    <row r="63" spans="1:20">
      <c r="A63" s="316" t="s">
        <v>11</v>
      </c>
      <c r="B63" s="317">
        <v>2.048</v>
      </c>
      <c r="C63" s="317">
        <v>2.048</v>
      </c>
      <c r="D63" s="317">
        <v>2.048</v>
      </c>
      <c r="E63" s="317">
        <v>2.048</v>
      </c>
      <c r="F63" s="317">
        <v>2.048</v>
      </c>
      <c r="G63" s="317">
        <v>2.048</v>
      </c>
      <c r="H63" s="317">
        <v>2.4849999999999999</v>
      </c>
    </row>
    <row r="64" spans="1:20">
      <c r="A64" s="316" t="s">
        <v>12</v>
      </c>
      <c r="B64" s="317">
        <v>1.3120000000000001</v>
      </c>
      <c r="C64" s="317">
        <v>1.3120000000000001</v>
      </c>
      <c r="D64" s="317">
        <v>1.3120000000000001</v>
      </c>
      <c r="E64" s="317">
        <v>1.3120000000000001</v>
      </c>
      <c r="F64" s="317">
        <v>1.3120000000000001</v>
      </c>
      <c r="G64" s="317">
        <v>1.3120000000000001</v>
      </c>
      <c r="H64" s="317">
        <v>1.3120000000000001</v>
      </c>
    </row>
    <row r="65" spans="1:8">
      <c r="A65" s="316" t="s">
        <v>44</v>
      </c>
      <c r="B65" s="320">
        <v>0.6</v>
      </c>
      <c r="C65" s="320">
        <v>0.6</v>
      </c>
      <c r="D65" s="320">
        <v>0.6</v>
      </c>
      <c r="E65" s="320">
        <v>0.6</v>
      </c>
      <c r="F65" s="320">
        <v>0.6</v>
      </c>
      <c r="G65" s="320">
        <v>0.6</v>
      </c>
      <c r="H65" s="320">
        <v>0.6</v>
      </c>
    </row>
    <row r="66" spans="1:8">
      <c r="A66" s="316" t="s">
        <v>29</v>
      </c>
      <c r="B66" s="320">
        <v>0.4</v>
      </c>
      <c r="C66" s="320">
        <v>0.4</v>
      </c>
      <c r="D66" s="320">
        <v>0.4</v>
      </c>
      <c r="E66" s="320">
        <v>0.4</v>
      </c>
      <c r="F66" s="320">
        <v>0.4</v>
      </c>
      <c r="G66" s="320">
        <v>0.4</v>
      </c>
      <c r="H66" s="320">
        <v>0.4</v>
      </c>
    </row>
    <row r="67" spans="1:8">
      <c r="A67" s="316" t="s">
        <v>45</v>
      </c>
      <c r="B67" s="320">
        <v>0.3</v>
      </c>
      <c r="C67" s="320">
        <v>0.3</v>
      </c>
      <c r="D67" s="320">
        <v>0.3</v>
      </c>
      <c r="E67" s="320">
        <v>0.3</v>
      </c>
      <c r="F67" s="320">
        <v>0.3</v>
      </c>
      <c r="G67" s="320">
        <v>0.3</v>
      </c>
      <c r="H67" s="320">
        <v>0.3</v>
      </c>
    </row>
    <row r="68" spans="1:8">
      <c r="A68" s="321" t="s">
        <v>46</v>
      </c>
      <c r="B68" s="320">
        <v>7</v>
      </c>
      <c r="C68" s="320">
        <v>7</v>
      </c>
      <c r="D68" s="320">
        <v>7</v>
      </c>
      <c r="E68" s="320">
        <v>7</v>
      </c>
      <c r="F68" s="320">
        <v>7</v>
      </c>
      <c r="G68" s="320">
        <v>7.5</v>
      </c>
      <c r="H68" s="320">
        <v>9.5</v>
      </c>
    </row>
    <row r="69" spans="1:8">
      <c r="A69" s="316" t="s">
        <v>47</v>
      </c>
      <c r="B69" s="320">
        <v>1.5</v>
      </c>
      <c r="C69" s="320">
        <v>1.5</v>
      </c>
      <c r="D69" s="320">
        <v>1.5</v>
      </c>
      <c r="E69" s="320">
        <v>1.5</v>
      </c>
      <c r="F69" s="320">
        <v>1.5</v>
      </c>
      <c r="G69" s="320">
        <v>1.5</v>
      </c>
      <c r="H69" s="320">
        <v>1.8</v>
      </c>
    </row>
    <row r="70" spans="1:8">
      <c r="A70" s="322" t="s">
        <v>48</v>
      </c>
      <c r="B70" s="323">
        <v>1.2</v>
      </c>
      <c r="C70" s="323">
        <v>1.2</v>
      </c>
      <c r="D70" s="323">
        <v>1.2</v>
      </c>
      <c r="E70" s="323">
        <v>1.2</v>
      </c>
      <c r="F70" s="323">
        <v>1.2</v>
      </c>
      <c r="G70" s="323">
        <v>1.2</v>
      </c>
      <c r="H70" s="323">
        <v>1.2</v>
      </c>
    </row>
    <row r="71" spans="1:8">
      <c r="A71" s="322" t="s">
        <v>40</v>
      </c>
      <c r="B71" s="323">
        <v>0.25</v>
      </c>
      <c r="C71" s="323">
        <v>0.25</v>
      </c>
      <c r="D71" s="323">
        <v>0.25</v>
      </c>
      <c r="E71" s="323">
        <v>0.25</v>
      </c>
      <c r="F71" s="323">
        <v>0.25</v>
      </c>
      <c r="G71" s="323">
        <v>0.25</v>
      </c>
      <c r="H71" s="323">
        <v>0.25</v>
      </c>
    </row>
  </sheetData>
  <mergeCells count="7">
    <mergeCell ref="F37:F38"/>
    <mergeCell ref="J6:K6"/>
    <mergeCell ref="K14:K15"/>
    <mergeCell ref="J16:K16"/>
    <mergeCell ref="J27:K27"/>
    <mergeCell ref="K34:L34"/>
    <mergeCell ref="G35:G36"/>
  </mergeCells>
  <pageMargins left="1.1599999999999999" right="0.24" top="0.5" bottom="0.5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Blad6"/>
  <dimension ref="A3:O29"/>
  <sheetViews>
    <sheetView workbookViewId="0">
      <selection activeCell="G26" sqref="G26"/>
    </sheetView>
  </sheetViews>
  <sheetFormatPr defaultRowHeight="15"/>
  <cols>
    <col min="2" max="2" width="14" bestFit="1" customWidth="1"/>
    <col min="4" max="4" width="9.5703125" bestFit="1" customWidth="1"/>
    <col min="5" max="5" width="10.140625" customWidth="1"/>
    <col min="7" max="7" width="11.5703125" bestFit="1" customWidth="1"/>
    <col min="8" max="8" width="11.85546875" bestFit="1" customWidth="1"/>
    <col min="10" max="10" width="11.28515625" bestFit="1" customWidth="1"/>
    <col min="11" max="11" width="11.7109375" bestFit="1" customWidth="1"/>
    <col min="12" max="12" width="12.28515625" bestFit="1" customWidth="1"/>
  </cols>
  <sheetData>
    <row r="3" spans="1:15">
      <c r="B3" t="s">
        <v>302</v>
      </c>
    </row>
    <row r="5" spans="1:15">
      <c r="C5" s="292" t="s">
        <v>274</v>
      </c>
      <c r="D5" s="292" t="s">
        <v>316</v>
      </c>
      <c r="E5" s="292" t="s">
        <v>327</v>
      </c>
      <c r="F5" s="292" t="s">
        <v>275</v>
      </c>
      <c r="G5" s="292" t="s">
        <v>286</v>
      </c>
      <c r="H5" s="292" t="s">
        <v>283</v>
      </c>
      <c r="I5" s="292" t="s">
        <v>292</v>
      </c>
      <c r="J5" s="344" t="s">
        <v>276</v>
      </c>
      <c r="K5" s="344"/>
      <c r="L5" s="344"/>
      <c r="M5" s="344" t="s">
        <v>277</v>
      </c>
      <c r="N5" s="344"/>
    </row>
    <row r="6" spans="1:15">
      <c r="C6" s="293" t="s">
        <v>5</v>
      </c>
      <c r="D6" s="293" t="s">
        <v>317</v>
      </c>
      <c r="E6" s="293" t="s">
        <v>13</v>
      </c>
      <c r="F6" s="293" t="s">
        <v>22</v>
      </c>
      <c r="G6" s="293" t="s">
        <v>287</v>
      </c>
      <c r="H6" s="293" t="s">
        <v>295</v>
      </c>
      <c r="I6" s="293" t="s">
        <v>5</v>
      </c>
      <c r="J6" s="293" t="s">
        <v>298</v>
      </c>
      <c r="K6" s="293" t="s">
        <v>297</v>
      </c>
      <c r="L6" s="293" t="s">
        <v>296</v>
      </c>
      <c r="M6" s="293" t="s">
        <v>299</v>
      </c>
      <c r="N6" s="293" t="s">
        <v>300</v>
      </c>
      <c r="O6" s="291" t="s">
        <v>278</v>
      </c>
    </row>
    <row r="7" spans="1:15">
      <c r="B7" t="s">
        <v>279</v>
      </c>
      <c r="C7">
        <v>1270</v>
      </c>
      <c r="D7">
        <v>0.4</v>
      </c>
      <c r="E7">
        <v>5</v>
      </c>
      <c r="F7">
        <v>2200</v>
      </c>
      <c r="G7" s="292"/>
      <c r="H7">
        <v>0.65600000000000003</v>
      </c>
      <c r="I7">
        <v>251</v>
      </c>
      <c r="J7">
        <v>55</v>
      </c>
      <c r="K7">
        <v>50</v>
      </c>
      <c r="L7">
        <v>50</v>
      </c>
      <c r="M7">
        <v>40</v>
      </c>
      <c r="N7">
        <v>40</v>
      </c>
      <c r="O7" t="s">
        <v>281</v>
      </c>
    </row>
    <row r="8" spans="1:15">
      <c r="A8" s="308" t="s">
        <v>328</v>
      </c>
      <c r="B8" t="s">
        <v>280</v>
      </c>
      <c r="C8">
        <v>1400</v>
      </c>
      <c r="D8">
        <v>0.3</v>
      </c>
      <c r="E8">
        <v>4</v>
      </c>
      <c r="F8">
        <v>2200</v>
      </c>
      <c r="G8" s="292" t="s">
        <v>288</v>
      </c>
      <c r="H8">
        <v>0.98199999999999998</v>
      </c>
      <c r="I8">
        <v>297</v>
      </c>
      <c r="K8">
        <v>60</v>
      </c>
      <c r="L8">
        <v>80</v>
      </c>
      <c r="M8">
        <v>52</v>
      </c>
      <c r="N8">
        <v>40</v>
      </c>
      <c r="O8" t="s">
        <v>282</v>
      </c>
    </row>
    <row r="9" spans="1:15">
      <c r="B9" t="s">
        <v>284</v>
      </c>
      <c r="C9">
        <v>1400</v>
      </c>
      <c r="D9">
        <v>0.3</v>
      </c>
      <c r="E9">
        <v>4</v>
      </c>
      <c r="F9">
        <v>1900</v>
      </c>
      <c r="G9" s="292" t="s">
        <v>289</v>
      </c>
      <c r="H9">
        <v>0.60499999999999998</v>
      </c>
      <c r="I9">
        <v>242</v>
      </c>
      <c r="K9">
        <v>40</v>
      </c>
      <c r="L9">
        <v>40</v>
      </c>
      <c r="M9">
        <v>52</v>
      </c>
      <c r="N9">
        <v>40</v>
      </c>
      <c r="O9" t="s">
        <v>285</v>
      </c>
    </row>
    <row r="10" spans="1:15">
      <c r="B10" t="s">
        <v>290</v>
      </c>
      <c r="C10">
        <v>1400</v>
      </c>
      <c r="D10">
        <v>0.2</v>
      </c>
      <c r="E10">
        <v>7</v>
      </c>
      <c r="F10">
        <v>2200</v>
      </c>
      <c r="G10" s="292" t="s">
        <v>289</v>
      </c>
      <c r="H10">
        <v>0.96799999999999997</v>
      </c>
      <c r="I10">
        <v>296</v>
      </c>
      <c r="J10">
        <v>100</v>
      </c>
      <c r="K10">
        <v>100</v>
      </c>
      <c r="L10">
        <v>100</v>
      </c>
      <c r="M10">
        <v>55</v>
      </c>
      <c r="N10">
        <v>39</v>
      </c>
      <c r="O10" t="s">
        <v>291</v>
      </c>
    </row>
    <row r="11" spans="1:15">
      <c r="B11" t="s">
        <v>293</v>
      </c>
      <c r="C11">
        <v>1400</v>
      </c>
      <c r="D11">
        <v>0.2</v>
      </c>
      <c r="E11">
        <v>7</v>
      </c>
      <c r="F11">
        <v>1850</v>
      </c>
      <c r="G11" s="292" t="s">
        <v>289</v>
      </c>
      <c r="H11">
        <v>0.51</v>
      </c>
      <c r="I11">
        <v>224</v>
      </c>
      <c r="J11">
        <v>60</v>
      </c>
      <c r="K11">
        <v>60</v>
      </c>
      <c r="L11">
        <v>60</v>
      </c>
      <c r="M11">
        <v>55</v>
      </c>
      <c r="N11">
        <v>39</v>
      </c>
      <c r="O11" t="s">
        <v>294</v>
      </c>
    </row>
    <row r="16" spans="1:15">
      <c r="B16" t="s">
        <v>303</v>
      </c>
    </row>
    <row r="17" spans="2:4">
      <c r="B17" t="s">
        <v>304</v>
      </c>
    </row>
    <row r="18" spans="2:4">
      <c r="B18" t="s">
        <v>305</v>
      </c>
    </row>
    <row r="22" spans="2:4">
      <c r="B22" t="s">
        <v>318</v>
      </c>
    </row>
    <row r="23" spans="2:4">
      <c r="B23" t="s">
        <v>319</v>
      </c>
      <c r="C23" s="306">
        <v>1.2E-5</v>
      </c>
      <c r="D23" t="s">
        <v>321</v>
      </c>
    </row>
    <row r="24" spans="2:4">
      <c r="B24" t="s">
        <v>320</v>
      </c>
      <c r="C24" s="306">
        <v>1.7E-5</v>
      </c>
      <c r="D24" t="s">
        <v>321</v>
      </c>
    </row>
    <row r="25" spans="2:4">
      <c r="B25" t="s">
        <v>326</v>
      </c>
      <c r="C25">
        <v>900</v>
      </c>
      <c r="D25" t="s">
        <v>43</v>
      </c>
    </row>
    <row r="26" spans="2:4">
      <c r="B26" t="s">
        <v>307</v>
      </c>
      <c r="C26">
        <v>2</v>
      </c>
      <c r="D26" t="s">
        <v>322</v>
      </c>
    </row>
    <row r="27" spans="2:4">
      <c r="B27" t="s">
        <v>323</v>
      </c>
      <c r="C27">
        <f>PI()*C26</f>
        <v>6.2831853071795862</v>
      </c>
      <c r="D27" t="s">
        <v>322</v>
      </c>
    </row>
    <row r="28" spans="2:4">
      <c r="B28" t="s">
        <v>316</v>
      </c>
      <c r="C28">
        <f>C27*D7*10</f>
        <v>25.132741228718345</v>
      </c>
      <c r="D28" t="s">
        <v>13</v>
      </c>
    </row>
    <row r="29" spans="2:4">
      <c r="B29" t="s">
        <v>324</v>
      </c>
      <c r="C29" s="307">
        <f>C27*C23*1000*C25</f>
        <v>67.858401317539531</v>
      </c>
      <c r="D29" t="s">
        <v>325</v>
      </c>
    </row>
  </sheetData>
  <mergeCells count="2">
    <mergeCell ref="J5:L5"/>
    <mergeCell ref="M5:N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Blad5"/>
  <dimension ref="B2:H24"/>
  <sheetViews>
    <sheetView topLeftCell="A3" workbookViewId="0">
      <selection activeCell="J6" sqref="J6"/>
    </sheetView>
  </sheetViews>
  <sheetFormatPr defaultRowHeight="15"/>
  <cols>
    <col min="2" max="2" width="8.85546875" customWidth="1"/>
    <col min="3" max="3" width="7.7109375" customWidth="1"/>
    <col min="5" max="5" width="8.85546875" customWidth="1"/>
    <col min="6" max="8" width="9" customWidth="1"/>
  </cols>
  <sheetData>
    <row r="2" spans="2:8" ht="15.75" thickBot="1">
      <c r="B2" t="s">
        <v>273</v>
      </c>
    </row>
    <row r="3" spans="2:8" ht="57.75" thickTop="1">
      <c r="B3" s="345" t="s">
        <v>145</v>
      </c>
      <c r="C3" s="346" t="s">
        <v>146</v>
      </c>
      <c r="D3" s="347" t="s">
        <v>147</v>
      </c>
      <c r="E3" s="347" t="s">
        <v>149</v>
      </c>
      <c r="F3" s="346" t="s">
        <v>151</v>
      </c>
      <c r="G3" s="347" t="s">
        <v>152</v>
      </c>
      <c r="H3" s="348" t="s">
        <v>154</v>
      </c>
    </row>
    <row r="4" spans="2:8" ht="18.75">
      <c r="B4" s="349" t="s">
        <v>346</v>
      </c>
      <c r="C4" s="350" t="s">
        <v>347</v>
      </c>
      <c r="D4" s="350" t="s">
        <v>348</v>
      </c>
      <c r="E4" s="350" t="s">
        <v>349</v>
      </c>
      <c r="F4" s="351" t="s">
        <v>350</v>
      </c>
      <c r="G4" s="351" t="s">
        <v>153</v>
      </c>
      <c r="H4" s="352" t="s">
        <v>351</v>
      </c>
    </row>
    <row r="5" spans="2:8" ht="33.75" thickBot="1">
      <c r="B5" s="353" t="s">
        <v>352</v>
      </c>
      <c r="C5" s="354" t="s">
        <v>353</v>
      </c>
      <c r="D5" s="354" t="s">
        <v>148</v>
      </c>
      <c r="E5" s="354" t="s">
        <v>150</v>
      </c>
      <c r="F5" s="354" t="s">
        <v>354</v>
      </c>
      <c r="G5" s="354" t="s">
        <v>355</v>
      </c>
      <c r="H5" s="355"/>
    </row>
    <row r="6" spans="2:8" ht="15.75" thickBot="1">
      <c r="B6" s="172" t="s">
        <v>155</v>
      </c>
      <c r="C6" s="171">
        <v>2793</v>
      </c>
      <c r="D6" s="171">
        <v>1026</v>
      </c>
      <c r="E6" s="170" t="s">
        <v>156</v>
      </c>
      <c r="F6" s="170" t="s">
        <v>157</v>
      </c>
      <c r="G6" s="170" t="s">
        <v>158</v>
      </c>
      <c r="H6" s="173" t="s">
        <v>159</v>
      </c>
    </row>
    <row r="7" spans="2:8" ht="15.75" thickBot="1">
      <c r="B7" s="172">
        <v>-100</v>
      </c>
      <c r="C7" s="171">
        <v>1980</v>
      </c>
      <c r="D7" s="171">
        <v>1009</v>
      </c>
      <c r="E7" s="170" t="s">
        <v>160</v>
      </c>
      <c r="F7" s="170" t="s">
        <v>161</v>
      </c>
      <c r="G7" s="170" t="s">
        <v>162</v>
      </c>
      <c r="H7" s="173" t="s">
        <v>163</v>
      </c>
    </row>
    <row r="8" spans="2:8" ht="15.75" thickBot="1">
      <c r="B8" s="172">
        <v>-50</v>
      </c>
      <c r="C8" s="171">
        <v>1534</v>
      </c>
      <c r="D8" s="171">
        <v>1005</v>
      </c>
      <c r="E8" s="170" t="s">
        <v>164</v>
      </c>
      <c r="F8" s="170" t="s">
        <v>165</v>
      </c>
      <c r="G8" s="170" t="s">
        <v>166</v>
      </c>
      <c r="H8" s="173" t="s">
        <v>167</v>
      </c>
    </row>
    <row r="9" spans="2:8" ht="15.75" thickBot="1">
      <c r="B9" s="172">
        <v>0</v>
      </c>
      <c r="C9" s="171">
        <v>1293</v>
      </c>
      <c r="D9" s="171">
        <v>1005</v>
      </c>
      <c r="E9" s="170" t="s">
        <v>168</v>
      </c>
      <c r="F9" s="170" t="s">
        <v>169</v>
      </c>
      <c r="G9" s="170" t="s">
        <v>170</v>
      </c>
      <c r="H9" s="173" t="s">
        <v>171</v>
      </c>
    </row>
    <row r="10" spans="2:8" ht="15.75" thickBot="1">
      <c r="B10" s="172">
        <v>20</v>
      </c>
      <c r="C10" s="171">
        <v>1205</v>
      </c>
      <c r="D10" s="171">
        <v>1005</v>
      </c>
      <c r="E10" s="170" t="s">
        <v>172</v>
      </c>
      <c r="F10" s="170" t="s">
        <v>173</v>
      </c>
      <c r="G10" s="170" t="s">
        <v>174</v>
      </c>
      <c r="H10" s="173" t="s">
        <v>175</v>
      </c>
    </row>
    <row r="11" spans="2:8" ht="15.75" thickBot="1">
      <c r="B11" s="172">
        <v>40</v>
      </c>
      <c r="C11" s="171">
        <v>1127</v>
      </c>
      <c r="D11" s="171">
        <v>1005</v>
      </c>
      <c r="E11" s="170" t="s">
        <v>176</v>
      </c>
      <c r="F11" s="170" t="s">
        <v>177</v>
      </c>
      <c r="G11" s="170" t="s">
        <v>178</v>
      </c>
      <c r="H11" s="173" t="s">
        <v>179</v>
      </c>
    </row>
    <row r="12" spans="2:8" ht="15.75" thickBot="1">
      <c r="B12" s="172">
        <v>60</v>
      </c>
      <c r="C12" s="171">
        <v>1067</v>
      </c>
      <c r="D12" s="171">
        <v>1009</v>
      </c>
      <c r="E12" s="170" t="s">
        <v>180</v>
      </c>
      <c r="F12" s="170" t="s">
        <v>181</v>
      </c>
      <c r="G12" s="170" t="s">
        <v>182</v>
      </c>
      <c r="H12" s="173" t="s">
        <v>183</v>
      </c>
    </row>
    <row r="13" spans="2:8" ht="15.75" thickBot="1">
      <c r="B13" s="172">
        <v>80</v>
      </c>
      <c r="C13" s="171">
        <v>1000</v>
      </c>
      <c r="D13" s="171">
        <v>1009</v>
      </c>
      <c r="E13" s="170" t="s">
        <v>184</v>
      </c>
      <c r="F13" s="170" t="s">
        <v>185</v>
      </c>
      <c r="G13" s="170" t="s">
        <v>186</v>
      </c>
      <c r="H13" s="173" t="s">
        <v>187</v>
      </c>
    </row>
    <row r="14" spans="2:8" ht="15.75" thickBot="1">
      <c r="B14" s="172">
        <v>100</v>
      </c>
      <c r="C14" s="170" t="s">
        <v>188</v>
      </c>
      <c r="D14" s="171">
        <v>1009</v>
      </c>
      <c r="E14" s="170" t="s">
        <v>189</v>
      </c>
      <c r="F14" s="170" t="s">
        <v>190</v>
      </c>
      <c r="G14" s="170" t="s">
        <v>191</v>
      </c>
      <c r="H14" s="173" t="s">
        <v>192</v>
      </c>
    </row>
    <row r="15" spans="2:8" ht="15.75" thickBot="1">
      <c r="B15" s="172">
        <v>120</v>
      </c>
      <c r="C15" s="170" t="s">
        <v>193</v>
      </c>
      <c r="D15" s="171">
        <v>1013</v>
      </c>
      <c r="E15" s="170" t="s">
        <v>194</v>
      </c>
      <c r="F15" s="170" t="s">
        <v>195</v>
      </c>
      <c r="G15" s="170" t="s">
        <v>196</v>
      </c>
      <c r="H15" s="173" t="s">
        <v>197</v>
      </c>
    </row>
    <row r="16" spans="2:8" ht="15.75" thickBot="1">
      <c r="B16" s="172">
        <v>140</v>
      </c>
      <c r="C16" s="170" t="s">
        <v>198</v>
      </c>
      <c r="D16" s="171">
        <v>1013</v>
      </c>
      <c r="E16" s="170" t="s">
        <v>199</v>
      </c>
      <c r="F16" s="170" t="s">
        <v>200</v>
      </c>
      <c r="G16" s="170" t="s">
        <v>201</v>
      </c>
      <c r="H16" s="173" t="s">
        <v>202</v>
      </c>
    </row>
    <row r="17" spans="2:8" ht="15.75" thickBot="1">
      <c r="B17" s="172">
        <v>160</v>
      </c>
      <c r="C17" s="170" t="s">
        <v>203</v>
      </c>
      <c r="D17" s="171">
        <v>1017</v>
      </c>
      <c r="E17" s="170" t="s">
        <v>204</v>
      </c>
      <c r="F17" s="170" t="s">
        <v>205</v>
      </c>
      <c r="G17" s="170" t="s">
        <v>206</v>
      </c>
      <c r="H17" s="173" t="s">
        <v>207</v>
      </c>
    </row>
    <row r="18" spans="2:8" ht="15.75" thickBot="1">
      <c r="B18" s="172">
        <v>180</v>
      </c>
      <c r="C18" s="170" t="s">
        <v>208</v>
      </c>
      <c r="D18" s="171">
        <v>1022</v>
      </c>
      <c r="E18" s="170" t="s">
        <v>209</v>
      </c>
      <c r="F18" s="170" t="s">
        <v>210</v>
      </c>
      <c r="G18" s="170" t="s">
        <v>211</v>
      </c>
      <c r="H18" s="173" t="s">
        <v>207</v>
      </c>
    </row>
    <row r="19" spans="2:8" ht="15.75" thickBot="1">
      <c r="B19" s="172">
        <v>200</v>
      </c>
      <c r="C19" s="170" t="s">
        <v>212</v>
      </c>
      <c r="D19" s="171">
        <v>1026</v>
      </c>
      <c r="E19" s="170" t="s">
        <v>213</v>
      </c>
      <c r="F19" s="170" t="s">
        <v>214</v>
      </c>
      <c r="G19" s="170" t="s">
        <v>215</v>
      </c>
      <c r="H19" s="173" t="s">
        <v>216</v>
      </c>
    </row>
    <row r="20" spans="2:8" ht="15.75" thickBot="1">
      <c r="B20" s="172">
        <v>250</v>
      </c>
      <c r="C20" s="170" t="s">
        <v>217</v>
      </c>
      <c r="D20" s="171">
        <v>1034</v>
      </c>
      <c r="E20" s="170" t="s">
        <v>218</v>
      </c>
      <c r="F20" s="170" t="s">
        <v>219</v>
      </c>
      <c r="G20" s="170" t="s">
        <v>220</v>
      </c>
      <c r="H20" s="173" t="s">
        <v>221</v>
      </c>
    </row>
    <row r="21" spans="2:8" ht="15.75" thickBot="1">
      <c r="B21" s="172">
        <v>300</v>
      </c>
      <c r="C21" s="170" t="s">
        <v>222</v>
      </c>
      <c r="D21" s="171">
        <v>1047</v>
      </c>
      <c r="E21" s="170" t="s">
        <v>223</v>
      </c>
      <c r="F21" s="170" t="s">
        <v>224</v>
      </c>
      <c r="G21" s="170" t="s">
        <v>225</v>
      </c>
      <c r="H21" s="173" t="s">
        <v>221</v>
      </c>
    </row>
    <row r="22" spans="2:8" ht="15.75" thickBot="1">
      <c r="B22" s="172">
        <v>350</v>
      </c>
      <c r="C22" s="170" t="s">
        <v>226</v>
      </c>
      <c r="D22" s="171">
        <v>1055</v>
      </c>
      <c r="E22" s="170" t="s">
        <v>227</v>
      </c>
      <c r="F22" s="170" t="s">
        <v>228</v>
      </c>
      <c r="G22" s="170" t="s">
        <v>229</v>
      </c>
      <c r="H22" s="173" t="s">
        <v>221</v>
      </c>
    </row>
    <row r="23" spans="2:8" ht="15.75" thickBot="1">
      <c r="B23" s="174">
        <v>400</v>
      </c>
      <c r="C23" s="175" t="s">
        <v>230</v>
      </c>
      <c r="D23" s="176">
        <v>1068</v>
      </c>
      <c r="E23" s="175" t="s">
        <v>231</v>
      </c>
      <c r="F23" s="175" t="s">
        <v>232</v>
      </c>
      <c r="G23" s="175" t="s">
        <v>233</v>
      </c>
      <c r="H23" s="177" t="s">
        <v>221</v>
      </c>
    </row>
    <row r="24" spans="2:8" ht="15.75" thickTop="1"/>
  </sheetData>
  <hyperlinks>
    <hyperlink ref="B3" r:id="rId1" display="http://www.engineeringtoolbox.com/temperature-d_291.html"/>
    <hyperlink ref="C3" r:id="rId2" display="http://www.engineeringtoolbox.com/density-specific-weight-gravity-d_290.html"/>
    <hyperlink ref="F3" r:id="rId3" display="http://www.engineeringtoolbox.com/dynamic-absolute-kinematic-viscosity-d_412.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warmteoverdracht cilinder</vt:lpstr>
      <vt:lpstr>heat loss estimation</vt:lpstr>
      <vt:lpstr>weight estimation</vt:lpstr>
      <vt:lpstr>lining properties</vt:lpstr>
      <vt:lpstr>Blad2</vt:lpstr>
      <vt:lpstr>'warmteoverdracht cilinder'!Afdrukbereik</vt:lpstr>
      <vt:lpstr>'weight estimation'!Afdrukbereik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Guus van Gemert</dc:creator>
  <cp:lastModifiedBy>Guus van Gemert</cp:lastModifiedBy>
  <cp:lastPrinted>2016-06-01T14:28:18Z</cp:lastPrinted>
  <dcterms:created xsi:type="dcterms:W3CDTF">2016-02-12T12:56:37Z</dcterms:created>
  <dcterms:modified xsi:type="dcterms:W3CDTF">2016-06-20T08:07:08Z</dcterms:modified>
</cp:coreProperties>
</file>