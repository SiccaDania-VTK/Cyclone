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Cyclone\VTK-cyclone\"/>
    </mc:Choice>
  </mc:AlternateContent>
  <xr:revisionPtr revIDLastSave="0" documentId="8_{3103D05C-323C-4201-B05B-0A4C6C6D7A9E}" xr6:coauthVersionLast="43" xr6:coauthVersionMax="43" xr10:uidLastSave="{00000000-0000-0000-0000-000000000000}"/>
  <bookViews>
    <workbookView xWindow="28680" yWindow="-120" windowWidth="29040" windowHeight="15840" xr2:uid="{00000000-000D-0000-FFFF-FFFF00000000}"/>
  </bookViews>
  <sheets>
    <sheet name="INVOER" sheetId="2" r:id="rId1"/>
    <sheet name="Berekening trap 1" sheetId="3" r:id="rId2"/>
    <sheet name="Berekening trap 2" sheetId="52254" r:id="rId3"/>
    <sheet name="OUTPUT trap 1" sheetId="52252" r:id="rId4"/>
    <sheet name="OUTPUT trap 2" sheetId="52256" r:id="rId5"/>
    <sheet name="OUTPUT trap 1&amp;2" sheetId="52255" r:id="rId6"/>
  </sheets>
  <externalReferences>
    <externalReference r:id="rId7"/>
    <externalReference r:id="rId8"/>
    <externalReference r:id="rId9"/>
    <externalReference r:id="rId10"/>
  </externalReferences>
  <definedNames>
    <definedName name="_xlnm.Print_Area" localSheetId="1">'Berekening trap 1'!#REF!</definedName>
    <definedName name="_xlnm.Print_Area" localSheetId="2">'Berekening trap 2'!#REF!</definedName>
    <definedName name="_xlnm.Print_Area" localSheetId="0">INVOER!$A$1:$K$30</definedName>
    <definedName name="_xlnm.Print_Area" localSheetId="3">'OUTPUT trap 1'!$A$1:$P$83</definedName>
    <definedName name="_xlnm.Print_Area" localSheetId="5">'OUTPUT trap 1&amp;2'!$A$1:$P$84</definedName>
    <definedName name="_xlnm.Print_Area" localSheetId="4">'OUTPUT trap 2'!$A$1:$P$83</definedName>
    <definedName name="Al">[1]Tabellen!$C$74</definedName>
    <definedName name="ASDIA" localSheetId="2">[1]Tabellen!#REF!</definedName>
    <definedName name="ASDIA" localSheetId="5">[1]Tabellen!#REF!</definedName>
    <definedName name="ASDIA" localSheetId="4">[1]Tabellen!#REF!</definedName>
    <definedName name="ASDIA">[1]Tabellen!#REF!</definedName>
    <definedName name="isolatie">[1]Tabellen!$A$67:$M$84</definedName>
    <definedName name="lijst">[1]Tabellen!$A$6:$V$25</definedName>
    <definedName name="reductie">'[2]Dempings waarden'!$A$3:$K$14</definedName>
    <definedName name="veld">[3]page1!$E$3:$AJ$83</definedName>
    <definedName name="vsnaarenlager" localSheetId="2">[1]Tabellen!#REF!</definedName>
    <definedName name="vsnaarenlager" localSheetId="5">[1]Tabellen!#REF!</definedName>
    <definedName name="vsnaarenlager" localSheetId="4">[1]Tabellen!#REF!</definedName>
    <definedName name="vsnaarenlager">[1]Tabellen!#REF!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1" i="2" l="1"/>
  <c r="AA90" i="3"/>
  <c r="AC90" i="3" s="1"/>
  <c r="D9" i="2" l="1"/>
  <c r="S31" i="2" l="1"/>
  <c r="R31" i="2"/>
  <c r="Q31" i="2"/>
  <c r="T2" i="2" l="1"/>
  <c r="T6" i="2" s="1"/>
  <c r="T15" i="2" s="1"/>
  <c r="D12" i="52255" s="1"/>
  <c r="AA103" i="3"/>
  <c r="K24" i="52254"/>
  <c r="D18" i="52255"/>
  <c r="D23" i="52255"/>
  <c r="J20" i="52255"/>
  <c r="M19" i="52255" s="1"/>
  <c r="M25" i="52255" s="1"/>
  <c r="J19" i="52255"/>
  <c r="E19" i="52255"/>
  <c r="J8" i="52256"/>
  <c r="M7" i="52256" s="1"/>
  <c r="J7" i="52256"/>
  <c r="D6" i="52256"/>
  <c r="D11" i="52256"/>
  <c r="J5" i="52256"/>
  <c r="O4" i="52256"/>
  <c r="J4" i="52256"/>
  <c r="O3" i="52256"/>
  <c r="J3" i="52256"/>
  <c r="D13" i="52255"/>
  <c r="J9" i="52255"/>
  <c r="D9" i="52255"/>
  <c r="D8" i="52255"/>
  <c r="J5" i="52255"/>
  <c r="O4" i="52255"/>
  <c r="J4" i="52255"/>
  <c r="O3" i="52255"/>
  <c r="J3" i="52255"/>
  <c r="K22" i="52254"/>
  <c r="U37" i="2"/>
  <c r="J24" i="52255" s="1"/>
  <c r="U36" i="2"/>
  <c r="J14" i="52255" s="1"/>
  <c r="K41" i="52254"/>
  <c r="K40" i="52254"/>
  <c r="K39" i="52254"/>
  <c r="K38" i="52254"/>
  <c r="K37" i="52254"/>
  <c r="K36" i="52254"/>
  <c r="K35" i="52254"/>
  <c r="K43" i="52254"/>
  <c r="K34" i="52254"/>
  <c r="K29" i="52254"/>
  <c r="K28" i="52254"/>
  <c r="K27" i="52254"/>
  <c r="K26" i="52254"/>
  <c r="K25" i="52254"/>
  <c r="K23" i="52254"/>
  <c r="K6" i="52256" s="1"/>
  <c r="T9" i="2"/>
  <c r="U9" i="2" s="1"/>
  <c r="T19" i="2" s="1"/>
  <c r="C8" i="52254"/>
  <c r="C9" i="52254"/>
  <c r="C15" i="52254"/>
  <c r="C14" i="52254"/>
  <c r="B54" i="52254" s="1"/>
  <c r="C13" i="52254"/>
  <c r="C12" i="52254"/>
  <c r="C11" i="52254"/>
  <c r="K23" i="3"/>
  <c r="K8" i="52255" s="1"/>
  <c r="K24" i="3"/>
  <c r="K25" i="3"/>
  <c r="K26" i="3"/>
  <c r="K27" i="3"/>
  <c r="K28" i="3"/>
  <c r="S5" i="2"/>
  <c r="E7" i="52256" s="1"/>
  <c r="D13" i="52254"/>
  <c r="D12" i="52254"/>
  <c r="A12" i="52254"/>
  <c r="A11" i="52254"/>
  <c r="D9" i="52254"/>
  <c r="A9" i="52254"/>
  <c r="D8" i="52254"/>
  <c r="A8" i="52254"/>
  <c r="A7" i="52254"/>
  <c r="A6" i="52254"/>
  <c r="E9" i="52255" l="1"/>
  <c r="T32" i="52254"/>
  <c r="F13" i="2"/>
  <c r="F14" i="2"/>
  <c r="J12" i="52256"/>
  <c r="J9" i="52256"/>
  <c r="K18" i="52255"/>
  <c r="J21" i="52255"/>
  <c r="O23" i="52255"/>
  <c r="O7" i="52256"/>
  <c r="M9" i="52256"/>
  <c r="O9" i="52256"/>
  <c r="M11" i="52256"/>
  <c r="M8" i="52256"/>
  <c r="M10" i="52256"/>
  <c r="M12" i="52256"/>
  <c r="O8" i="52256"/>
  <c r="O10" i="52256"/>
  <c r="O19" i="52255"/>
  <c r="O20" i="52255"/>
  <c r="M21" i="52255"/>
  <c r="M24" i="52255"/>
  <c r="M20" i="52255"/>
  <c r="O11" i="52256"/>
  <c r="O21" i="52255"/>
  <c r="O22" i="52255"/>
  <c r="O24" i="52255" s="1"/>
  <c r="M22" i="52255"/>
  <c r="M23" i="52255"/>
  <c r="M13" i="52256"/>
  <c r="O12" i="52256"/>
  <c r="U19" i="2"/>
  <c r="V10" i="2"/>
  <c r="U15" i="2"/>
  <c r="C17" i="2"/>
  <c r="T33" i="52254"/>
  <c r="T34" i="52254"/>
  <c r="T35" i="52254"/>
  <c r="T36" i="52254"/>
  <c r="O25" i="52255" l="1"/>
  <c r="T39" i="52254"/>
  <c r="F22" i="52255"/>
  <c r="F10" i="52256"/>
  <c r="F12" i="52255"/>
  <c r="C13" i="3" l="1"/>
  <c r="J10" i="52255" s="1"/>
  <c r="M9" i="52255" s="1"/>
  <c r="C12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93" i="3"/>
  <c r="Z84" i="3"/>
  <c r="Z79" i="3"/>
  <c r="Z77" i="3"/>
  <c r="AA77" i="3"/>
  <c r="AC77" i="3" s="1"/>
  <c r="Z78" i="3"/>
  <c r="AA78" i="3"/>
  <c r="AC78" i="3" s="1"/>
  <c r="Z110" i="3"/>
  <c r="Z92" i="3"/>
  <c r="Z83" i="3"/>
  <c r="C14" i="3"/>
  <c r="T34" i="3" s="1"/>
  <c r="AA79" i="3"/>
  <c r="AC79" i="3" s="1"/>
  <c r="Z80" i="3"/>
  <c r="Z81" i="3"/>
  <c r="AA80" i="3"/>
  <c r="AC80" i="3" s="1"/>
  <c r="Z82" i="3"/>
  <c r="AA81" i="3"/>
  <c r="AC81" i="3" s="1"/>
  <c r="AA82" i="3"/>
  <c r="AC82" i="3" s="1"/>
  <c r="AA83" i="3"/>
  <c r="AC83" i="3" s="1"/>
  <c r="Z87" i="3"/>
  <c r="Z85" i="3"/>
  <c r="AA84" i="3"/>
  <c r="AC84" i="3" s="1"/>
  <c r="Z88" i="3"/>
  <c r="Z86" i="3"/>
  <c r="AA85" i="3"/>
  <c r="AC85" i="3" s="1"/>
  <c r="AA86" i="3"/>
  <c r="AC86" i="3" s="1"/>
  <c r="AA87" i="3"/>
  <c r="AC87" i="3" s="1"/>
  <c r="Z89" i="3"/>
  <c r="AA88" i="3"/>
  <c r="AC88" i="3" s="1"/>
  <c r="Z90" i="3"/>
  <c r="AA89" i="3"/>
  <c r="AC89" i="3" s="1"/>
  <c r="Z91" i="3"/>
  <c r="AA91" i="3"/>
  <c r="AC91" i="3" s="1"/>
  <c r="AA92" i="3"/>
  <c r="AC92" i="3" s="1"/>
  <c r="Z101" i="3"/>
  <c r="Z96" i="3"/>
  <c r="Z94" i="3"/>
  <c r="AA93" i="3"/>
  <c r="AC93" i="3" s="1"/>
  <c r="Z102" i="3"/>
  <c r="Z97" i="3"/>
  <c r="Z95" i="3"/>
  <c r="AA94" i="3"/>
  <c r="AC94" i="3" s="1"/>
  <c r="AA95" i="3"/>
  <c r="AC95" i="3" s="1"/>
  <c r="AA96" i="3"/>
  <c r="AC96" i="3" s="1"/>
  <c r="Z98" i="3"/>
  <c r="AA97" i="3"/>
  <c r="AC97" i="3" s="1"/>
  <c r="Z99" i="3"/>
  <c r="AA98" i="3"/>
  <c r="AC98" i="3" s="1"/>
  <c r="Z100" i="3"/>
  <c r="AA99" i="3"/>
  <c r="AC99" i="3" s="1"/>
  <c r="AA100" i="3"/>
  <c r="AC100" i="3" s="1"/>
  <c r="AA101" i="3"/>
  <c r="AC101" i="3" s="1"/>
  <c r="J12" i="52252"/>
  <c r="C15" i="3"/>
  <c r="AD91" i="3"/>
  <c r="V9" i="2"/>
  <c r="J3" i="52252"/>
  <c r="O3" i="52252"/>
  <c r="J4" i="52252"/>
  <c r="O4" i="52252"/>
  <c r="J5" i="52252"/>
  <c r="D6" i="52252"/>
  <c r="D7" i="52252"/>
  <c r="E7" i="52252"/>
  <c r="J7" i="52252"/>
  <c r="D10" i="52252"/>
  <c r="D11" i="52252"/>
  <c r="C9" i="3"/>
  <c r="Z105" i="3"/>
  <c r="Z103" i="3"/>
  <c r="AA102" i="3"/>
  <c r="AC102" i="3" s="1"/>
  <c r="Z106" i="3"/>
  <c r="Z104" i="3"/>
  <c r="AC103" i="3"/>
  <c r="AA104" i="3"/>
  <c r="AC104" i="3" s="1"/>
  <c r="AA105" i="3"/>
  <c r="AC105" i="3" s="1"/>
  <c r="Z107" i="3"/>
  <c r="AA106" i="3"/>
  <c r="AC106" i="3" s="1"/>
  <c r="Z108" i="3"/>
  <c r="AA107" i="3"/>
  <c r="AC107" i="3" s="1"/>
  <c r="Z109" i="3"/>
  <c r="AA108" i="3"/>
  <c r="AC108" i="3" s="1"/>
  <c r="AA109" i="3"/>
  <c r="AC109" i="3" s="1"/>
  <c r="AA110" i="3"/>
  <c r="AC110" i="3" s="1"/>
  <c r="AA145" i="3"/>
  <c r="AC145" i="3" s="1"/>
  <c r="A6" i="3"/>
  <c r="A7" i="3"/>
  <c r="A8" i="3"/>
  <c r="C8" i="3"/>
  <c r="D8" i="3"/>
  <c r="A9" i="3"/>
  <c r="D9" i="3"/>
  <c r="A11" i="3"/>
  <c r="A12" i="3"/>
  <c r="D12" i="3"/>
  <c r="D13" i="3"/>
  <c r="AC76" i="3"/>
  <c r="Y77" i="3"/>
  <c r="AD77" i="3"/>
  <c r="Y78" i="3"/>
  <c r="Y79" i="3" s="1"/>
  <c r="Y80" i="3" s="1"/>
  <c r="Y81" i="3" s="1"/>
  <c r="Y82" i="3" s="1"/>
  <c r="Y83" i="3" s="1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A111" i="3"/>
  <c r="AC111" i="3" s="1"/>
  <c r="AD111" i="3"/>
  <c r="AA112" i="3"/>
  <c r="AC112" i="3" s="1"/>
  <c r="AD112" i="3"/>
  <c r="AA113" i="3"/>
  <c r="AC113" i="3" s="1"/>
  <c r="AD113" i="3"/>
  <c r="AA114" i="3"/>
  <c r="AC114" i="3" s="1"/>
  <c r="AD114" i="3"/>
  <c r="AA115" i="3"/>
  <c r="AC115" i="3" s="1"/>
  <c r="AD115" i="3"/>
  <c r="AA116" i="3"/>
  <c r="AC116" i="3" s="1"/>
  <c r="AD116" i="3"/>
  <c r="AA117" i="3"/>
  <c r="AC117" i="3" s="1"/>
  <c r="AD117" i="3"/>
  <c r="AA118" i="3"/>
  <c r="AC118" i="3" s="1"/>
  <c r="AD118" i="3"/>
  <c r="AA119" i="3"/>
  <c r="AC119" i="3" s="1"/>
  <c r="AD119" i="3"/>
  <c r="AA120" i="3"/>
  <c r="AC120" i="3" s="1"/>
  <c r="AD120" i="3"/>
  <c r="AA121" i="3"/>
  <c r="AC121" i="3" s="1"/>
  <c r="AD121" i="3"/>
  <c r="AA122" i="3"/>
  <c r="AC122" i="3" s="1"/>
  <c r="AD122" i="3"/>
  <c r="AA123" i="3"/>
  <c r="AC123" i="3" s="1"/>
  <c r="AD123" i="3"/>
  <c r="AA124" i="3"/>
  <c r="AC124" i="3" s="1"/>
  <c r="AD124" i="3"/>
  <c r="AA125" i="3"/>
  <c r="AC125" i="3" s="1"/>
  <c r="AD125" i="3"/>
  <c r="AA126" i="3"/>
  <c r="AC126" i="3" s="1"/>
  <c r="AD126" i="3"/>
  <c r="AA127" i="3"/>
  <c r="AC127" i="3" s="1"/>
  <c r="AD127" i="3"/>
  <c r="AA128" i="3"/>
  <c r="AC128" i="3" s="1"/>
  <c r="AD128" i="3"/>
  <c r="AA129" i="3"/>
  <c r="AC129" i="3" s="1"/>
  <c r="AD129" i="3"/>
  <c r="AA130" i="3"/>
  <c r="AC130" i="3" s="1"/>
  <c r="AD130" i="3"/>
  <c r="AA131" i="3"/>
  <c r="AC131" i="3" s="1"/>
  <c r="AD131" i="3"/>
  <c r="AA132" i="3"/>
  <c r="AC132" i="3" s="1"/>
  <c r="AD132" i="3"/>
  <c r="AA133" i="3"/>
  <c r="AC133" i="3" s="1"/>
  <c r="AD133" i="3"/>
  <c r="AA134" i="3"/>
  <c r="AC134" i="3" s="1"/>
  <c r="AD134" i="3"/>
  <c r="AA135" i="3"/>
  <c r="AC135" i="3" s="1"/>
  <c r="AD135" i="3"/>
  <c r="AA136" i="3"/>
  <c r="AC136" i="3" s="1"/>
  <c r="AD136" i="3"/>
  <c r="AA137" i="3"/>
  <c r="AC137" i="3" s="1"/>
  <c r="AD137" i="3"/>
  <c r="AA138" i="3"/>
  <c r="AC138" i="3" s="1"/>
  <c r="AD138" i="3"/>
  <c r="AA139" i="3"/>
  <c r="AC139" i="3" s="1"/>
  <c r="AD139" i="3"/>
  <c r="AA140" i="3"/>
  <c r="AC140" i="3" s="1"/>
  <c r="AD140" i="3"/>
  <c r="AA141" i="3"/>
  <c r="AC141" i="3" s="1"/>
  <c r="AD141" i="3"/>
  <c r="AA142" i="3"/>
  <c r="AC142" i="3" s="1"/>
  <c r="AD142" i="3"/>
  <c r="AA143" i="3"/>
  <c r="AC143" i="3" s="1"/>
  <c r="AD143" i="3"/>
  <c r="AA144" i="3"/>
  <c r="AC144" i="3" s="1"/>
  <c r="AD144" i="3"/>
  <c r="AD145" i="3"/>
  <c r="AA146" i="3"/>
  <c r="AC146" i="3" s="1"/>
  <c r="AD146" i="3"/>
  <c r="C37" i="2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AB83" i="3" l="1"/>
  <c r="Y84" i="3"/>
  <c r="Y85" i="3" s="1"/>
  <c r="Y86" i="3" s="1"/>
  <c r="Y87" i="3" s="1"/>
  <c r="Y88" i="3" s="1"/>
  <c r="Y89" i="3" s="1"/>
  <c r="Y90" i="3" s="1"/>
  <c r="Y91" i="3" s="1"/>
  <c r="AB91" i="3" s="1"/>
  <c r="J8" i="52252"/>
  <c r="M7" i="52252" s="1"/>
  <c r="O10" i="52252" s="1"/>
  <c r="O12" i="52252" s="1"/>
  <c r="AB84" i="3"/>
  <c r="AB82" i="3"/>
  <c r="AB78" i="3"/>
  <c r="D9" i="52256"/>
  <c r="F9" i="52256" s="1"/>
  <c r="D21" i="52255"/>
  <c r="F21" i="52255" s="1"/>
  <c r="AB81" i="3"/>
  <c r="AB87" i="3"/>
  <c r="AB77" i="3"/>
  <c r="AB86" i="3"/>
  <c r="D12" i="52256"/>
  <c r="D24" i="52255"/>
  <c r="W19" i="2"/>
  <c r="D11" i="52255"/>
  <c r="F11" i="52255" s="1"/>
  <c r="B54" i="3"/>
  <c r="J11" i="52255"/>
  <c r="M15" i="52255"/>
  <c r="O10" i="52255"/>
  <c r="O12" i="52255"/>
  <c r="O14" i="52255" s="1"/>
  <c r="M10" i="52255"/>
  <c r="M12" i="52255"/>
  <c r="M14" i="52255"/>
  <c r="M11" i="52255"/>
  <c r="O13" i="52255"/>
  <c r="O11" i="52255"/>
  <c r="M13" i="52255"/>
  <c r="D12" i="52252"/>
  <c r="D14" i="52255"/>
  <c r="D9" i="52252"/>
  <c r="F9" i="52252" s="1"/>
  <c r="AB80" i="3"/>
  <c r="AB88" i="3"/>
  <c r="T32" i="3"/>
  <c r="T36" i="3"/>
  <c r="AB85" i="3"/>
  <c r="AB79" i="3"/>
  <c r="T35" i="3"/>
  <c r="T33" i="3"/>
  <c r="J9" i="52252"/>
  <c r="C6" i="3"/>
  <c r="C7" i="3"/>
  <c r="F10" i="52252"/>
  <c r="O8" i="52252"/>
  <c r="Y92" i="3"/>
  <c r="AB89" i="3" l="1"/>
  <c r="AB90" i="3"/>
  <c r="T39" i="3"/>
  <c r="O11" i="52252"/>
  <c r="M13" i="52252"/>
  <c r="O9" i="52252"/>
  <c r="F13" i="52252"/>
  <c r="F15" i="52255"/>
  <c r="R25" i="3"/>
  <c r="D10" i="52255"/>
  <c r="F10" i="52255" s="1"/>
  <c r="D8" i="52252"/>
  <c r="F8" i="52252" s="1"/>
  <c r="V19" i="2"/>
  <c r="AB92" i="3"/>
  <c r="Y93" i="3"/>
  <c r="D15" i="52255" l="1"/>
  <c r="C25" i="2"/>
  <c r="J13" i="52255"/>
  <c r="B58" i="3"/>
  <c r="D13" i="52252"/>
  <c r="AB93" i="3"/>
  <c r="Y94" i="3"/>
  <c r="B60" i="3" l="1"/>
  <c r="B62" i="3"/>
  <c r="B61" i="3"/>
  <c r="B59" i="3"/>
  <c r="AB94" i="3"/>
  <c r="Y95" i="3"/>
  <c r="B63" i="3" l="1"/>
  <c r="B64" i="3" s="1"/>
  <c r="C64" i="3" s="1"/>
  <c r="AB95" i="3"/>
  <c r="Y96" i="3"/>
  <c r="AB96" i="3" l="1"/>
  <c r="Y97" i="3"/>
  <c r="AB97" i="3" l="1"/>
  <c r="Y98" i="3"/>
  <c r="AB98" i="3" l="1"/>
  <c r="Y99" i="3"/>
  <c r="AB99" i="3" l="1"/>
  <c r="Y100" i="3"/>
  <c r="AB100" i="3" l="1"/>
  <c r="Y101" i="3"/>
  <c r="Y102" i="3" l="1"/>
  <c r="AB101" i="3"/>
  <c r="Y103" i="3" l="1"/>
  <c r="AB102" i="3"/>
  <c r="Y104" i="3" l="1"/>
  <c r="AB103" i="3"/>
  <c r="Y105" i="3" l="1"/>
  <c r="AB104" i="3"/>
  <c r="Y106" i="3" l="1"/>
  <c r="AB105" i="3"/>
  <c r="Y107" i="3" l="1"/>
  <c r="AB106" i="3"/>
  <c r="Y108" i="3" l="1"/>
  <c r="AB107" i="3"/>
  <c r="AB108" i="3" l="1"/>
  <c r="Y109" i="3"/>
  <c r="AB109" i="3" l="1"/>
  <c r="Y110" i="3"/>
  <c r="AB110" i="3" l="1"/>
  <c r="Y111" i="3"/>
  <c r="AB111" i="3" l="1"/>
  <c r="Y112" i="3"/>
  <c r="AB112" i="3" l="1"/>
  <c r="Y113" i="3"/>
  <c r="AB113" i="3" l="1"/>
  <c r="Y114" i="3"/>
  <c r="AB114" i="3" l="1"/>
  <c r="Y115" i="3"/>
  <c r="AB115" i="3" l="1"/>
  <c r="Y116" i="3"/>
  <c r="AB116" i="3" l="1"/>
  <c r="Y117" i="3"/>
  <c r="AB117" i="3" l="1"/>
  <c r="Y118" i="3"/>
  <c r="AB118" i="3" l="1"/>
  <c r="Y119" i="3"/>
  <c r="AB119" i="3" l="1"/>
  <c r="Y120" i="3"/>
  <c r="AB120" i="3" l="1"/>
  <c r="Y121" i="3"/>
  <c r="AB121" i="3" l="1"/>
  <c r="Y122" i="3"/>
  <c r="AB122" i="3" l="1"/>
  <c r="Y123" i="3"/>
  <c r="AB123" i="3" l="1"/>
  <c r="Y124" i="3"/>
  <c r="AB124" i="3" l="1"/>
  <c r="Y125" i="3"/>
  <c r="AB125" i="3" l="1"/>
  <c r="Y126" i="3"/>
  <c r="AB126" i="3" l="1"/>
  <c r="Y127" i="3"/>
  <c r="AB127" i="3" l="1"/>
  <c r="Y128" i="3"/>
  <c r="AB128" i="3" l="1"/>
  <c r="Y129" i="3"/>
  <c r="AB129" i="3" l="1"/>
  <c r="Y130" i="3"/>
  <c r="AB130" i="3" l="1"/>
  <c r="Y131" i="3"/>
  <c r="AB131" i="3" l="1"/>
  <c r="Y132" i="3"/>
  <c r="AB132" i="3" l="1"/>
  <c r="Y133" i="3"/>
  <c r="AB133" i="3" l="1"/>
  <c r="Y134" i="3"/>
  <c r="AB134" i="3" l="1"/>
  <c r="Y135" i="3"/>
  <c r="AB135" i="3" l="1"/>
  <c r="Y136" i="3"/>
  <c r="AB136" i="3" l="1"/>
  <c r="Y137" i="3"/>
  <c r="Y138" i="3" l="1"/>
  <c r="AB137" i="3"/>
  <c r="AB138" i="3" l="1"/>
  <c r="Y139" i="3"/>
  <c r="Y140" i="3" l="1"/>
  <c r="AB139" i="3"/>
  <c r="AB140" i="3" l="1"/>
  <c r="Y141" i="3"/>
  <c r="Y142" i="3" l="1"/>
  <c r="AB141" i="3"/>
  <c r="AB142" i="3" l="1"/>
  <c r="Y143" i="3"/>
  <c r="Y144" i="3" l="1"/>
  <c r="AB143" i="3"/>
  <c r="AB144" i="3" l="1"/>
  <c r="Y145" i="3"/>
  <c r="AB145" i="3" l="1"/>
  <c r="Y146" i="3"/>
  <c r="AB146" i="3" s="1"/>
  <c r="K36" i="3" l="1"/>
  <c r="K40" i="3"/>
  <c r="C11" i="3"/>
  <c r="K39" i="3"/>
  <c r="K41" i="3"/>
  <c r="K34" i="3"/>
  <c r="K6" i="52252"/>
  <c r="M11" i="52252"/>
  <c r="K29" i="3"/>
  <c r="M10" i="52252"/>
  <c r="K38" i="3"/>
  <c r="M12" i="52252"/>
  <c r="M9" i="52252"/>
  <c r="K43" i="3"/>
  <c r="K22" i="3"/>
  <c r="K37" i="3"/>
  <c r="K35" i="3"/>
  <c r="O7" i="52252" l="1"/>
  <c r="O9" i="52255"/>
  <c r="O15" i="52255" s="1"/>
  <c r="R24" i="3"/>
  <c r="M8" i="52252"/>
  <c r="C24" i="2" l="1"/>
  <c r="B51" i="3" s="1"/>
  <c r="J12" i="52255"/>
  <c r="R28" i="3"/>
  <c r="R27" i="3"/>
  <c r="J10" i="52252"/>
  <c r="J11" i="52252"/>
  <c r="I56" i="3" l="1"/>
  <c r="H57" i="3"/>
  <c r="D44" i="52252" s="1"/>
  <c r="I51" i="3"/>
  <c r="K51" i="3" s="1"/>
  <c r="J56" i="3"/>
  <c r="J54" i="3"/>
  <c r="I53" i="3"/>
  <c r="K53" i="3" s="1"/>
  <c r="I55" i="3"/>
  <c r="J52" i="3"/>
  <c r="C26" i="2"/>
  <c r="I54" i="3"/>
  <c r="I52" i="3"/>
  <c r="K52" i="3" s="1"/>
  <c r="J53" i="3"/>
  <c r="J55" i="3"/>
  <c r="J51" i="3"/>
  <c r="D20" i="52252"/>
  <c r="D34" i="52255" s="1"/>
  <c r="C28" i="2"/>
  <c r="D21" i="52252"/>
  <c r="D35" i="52255" s="1"/>
  <c r="C29" i="2"/>
  <c r="L56" i="3" l="1"/>
  <c r="K56" i="3" s="1"/>
  <c r="D43" i="52252" s="1"/>
  <c r="K54" i="3"/>
  <c r="D25" i="52252" s="1"/>
  <c r="D39" i="52255" s="1"/>
  <c r="K55" i="3"/>
  <c r="D26" i="52252" s="1"/>
  <c r="D40" i="52255" s="1"/>
  <c r="D7" i="52256"/>
  <c r="D19" i="52255"/>
  <c r="D24" i="52252"/>
  <c r="D38" i="52255" s="1"/>
  <c r="D22" i="52252"/>
  <c r="D36" i="52255" s="1"/>
  <c r="D23" i="52252"/>
  <c r="D37" i="52255" s="1"/>
  <c r="T3" i="2"/>
  <c r="A186" i="3" l="1"/>
  <c r="A186" i="52254" s="1"/>
  <c r="U10" i="2"/>
  <c r="T7" i="2"/>
  <c r="T16" i="2" s="1"/>
  <c r="K186" i="3" l="1"/>
  <c r="M186" i="3" s="1"/>
  <c r="C7" i="52254"/>
  <c r="U16" i="2"/>
  <c r="E17" i="2"/>
  <c r="C6" i="52254"/>
  <c r="L186" i="3" l="1"/>
  <c r="T186" i="3" s="1"/>
  <c r="H40" i="52252"/>
  <c r="D22" i="52255"/>
  <c r="D10" i="52256"/>
  <c r="D20" i="52255"/>
  <c r="F20" i="52255" s="1"/>
  <c r="D8" i="52256"/>
  <c r="F8" i="52256" s="1"/>
  <c r="R24" i="52254"/>
  <c r="R25" i="52254"/>
  <c r="J23" i="52255" l="1"/>
  <c r="J11" i="52256"/>
  <c r="J22" i="52255"/>
  <c r="J10" i="52256"/>
  <c r="E25" i="2"/>
  <c r="R27" i="52254"/>
  <c r="E24" i="2"/>
  <c r="B51" i="52254" s="1"/>
  <c r="R28" i="52254"/>
  <c r="E26" i="2" l="1"/>
  <c r="E29" i="2"/>
  <c r="D21" i="52256"/>
  <c r="H35" i="52255" s="1"/>
  <c r="L35" i="52255" s="1"/>
  <c r="E28" i="2"/>
  <c r="D20" i="52256"/>
  <c r="H34" i="52255" s="1"/>
  <c r="L34" i="52255" s="1"/>
  <c r="G28" i="2" l="1"/>
  <c r="G29" i="2"/>
  <c r="H57" i="52254"/>
  <c r="A76" i="3" s="1"/>
  <c r="A76" i="52254" s="1"/>
  <c r="B76" i="52254" s="1"/>
  <c r="R76" i="52254" s="1"/>
  <c r="H58" i="3" l="1"/>
  <c r="A77" i="3" s="1"/>
  <c r="A77" i="52254" s="1"/>
  <c r="B77" i="52254" s="1"/>
  <c r="D44" i="52256"/>
  <c r="G18" i="52256"/>
  <c r="K76" i="3"/>
  <c r="L76" i="3" s="1"/>
  <c r="N76" i="3" s="1"/>
  <c r="B76" i="3"/>
  <c r="D45" i="52255" s="1"/>
  <c r="C76" i="52254"/>
  <c r="D76" i="52254" s="1"/>
  <c r="B77" i="3" l="1"/>
  <c r="C77" i="3" s="1"/>
  <c r="E77" i="3" s="1"/>
  <c r="G77" i="3" s="1"/>
  <c r="C76" i="3"/>
  <c r="D76" i="3" s="1"/>
  <c r="F76" i="3" s="1"/>
  <c r="I76" i="3" s="1"/>
  <c r="K77" i="3"/>
  <c r="M77" i="3" s="1"/>
  <c r="O77" i="3" s="1"/>
  <c r="A78" i="3"/>
  <c r="A78" i="52254" s="1"/>
  <c r="B78" i="52254" s="1"/>
  <c r="G18" i="52252"/>
  <c r="M76" i="3"/>
  <c r="O76" i="3" s="1"/>
  <c r="P76" i="3" s="1"/>
  <c r="Q76" i="3" s="1"/>
  <c r="R76" i="3" s="1"/>
  <c r="S76" i="3" s="1"/>
  <c r="H76" i="52254"/>
  <c r="E76" i="52254"/>
  <c r="C77" i="52254"/>
  <c r="E77" i="52254" s="1"/>
  <c r="R77" i="52254"/>
  <c r="D77" i="3" l="1"/>
  <c r="F77" i="3" s="1"/>
  <c r="I77" i="3" s="1"/>
  <c r="H76" i="3"/>
  <c r="J76" i="3" s="1"/>
  <c r="E76" i="3"/>
  <c r="G76" i="3" s="1"/>
  <c r="A79" i="3"/>
  <c r="K79" i="3" s="1"/>
  <c r="M79" i="3" s="1"/>
  <c r="L77" i="3"/>
  <c r="N77" i="3" s="1"/>
  <c r="P77" i="3" s="1"/>
  <c r="Q77" i="3" s="1"/>
  <c r="R77" i="3" s="1"/>
  <c r="S77" i="3" s="1"/>
  <c r="K78" i="3"/>
  <c r="L78" i="3" s="1"/>
  <c r="N78" i="3" s="1"/>
  <c r="B78" i="3"/>
  <c r="C78" i="3" s="1"/>
  <c r="D78" i="3" s="1"/>
  <c r="F78" i="3" s="1"/>
  <c r="I78" i="3" s="1"/>
  <c r="D77" i="52254"/>
  <c r="C78" i="52254"/>
  <c r="D78" i="52254" s="1"/>
  <c r="R78" i="52254"/>
  <c r="T76" i="3"/>
  <c r="S76" i="52254" s="1"/>
  <c r="H18" i="52252"/>
  <c r="A79" i="52254" l="1"/>
  <c r="B79" i="52254" s="1"/>
  <c r="R79" i="52254" s="1"/>
  <c r="H77" i="3"/>
  <c r="J77" i="3" s="1"/>
  <c r="J18" i="52252"/>
  <c r="O18" i="52252" s="1"/>
  <c r="E78" i="3"/>
  <c r="G78" i="3" s="1"/>
  <c r="L79" i="3"/>
  <c r="N79" i="3" s="1"/>
  <c r="B79" i="3"/>
  <c r="C79" i="3" s="1"/>
  <c r="E79" i="3" s="1"/>
  <c r="G79" i="3" s="1"/>
  <c r="A80" i="3"/>
  <c r="A80" i="52254" s="1"/>
  <c r="M78" i="3"/>
  <c r="O78" i="3" s="1"/>
  <c r="P78" i="3" s="1"/>
  <c r="Q78" i="3" s="1"/>
  <c r="R78" i="3" s="1"/>
  <c r="U76" i="3"/>
  <c r="T77" i="3"/>
  <c r="S77" i="52254" s="1"/>
  <c r="E78" i="52254"/>
  <c r="H77" i="52254"/>
  <c r="C79" i="52254"/>
  <c r="D79" i="52254" s="1"/>
  <c r="H78" i="3"/>
  <c r="J78" i="3" s="1"/>
  <c r="I18" i="52252"/>
  <c r="V76" i="3"/>
  <c r="O79" i="3"/>
  <c r="H78" i="52254"/>
  <c r="B80" i="52254" l="1"/>
  <c r="C80" i="52254" s="1"/>
  <c r="E80" i="52254" s="1"/>
  <c r="K76" i="52254"/>
  <c r="A81" i="3"/>
  <c r="A81" i="52254" s="1"/>
  <c r="B81" i="52254" s="1"/>
  <c r="R81" i="52254" s="1"/>
  <c r="D79" i="3"/>
  <c r="H79" i="3" s="1"/>
  <c r="B80" i="3"/>
  <c r="C80" i="3" s="1"/>
  <c r="K80" i="3"/>
  <c r="L80" i="3" s="1"/>
  <c r="N80" i="3" s="1"/>
  <c r="V77" i="3"/>
  <c r="S78" i="3"/>
  <c r="T78" i="3"/>
  <c r="S78" i="52254" s="1"/>
  <c r="U77" i="3"/>
  <c r="E79" i="52254"/>
  <c r="H79" i="52254"/>
  <c r="K18" i="52252"/>
  <c r="P79" i="3"/>
  <c r="Q79" i="3" s="1"/>
  <c r="R79" i="3" s="1"/>
  <c r="R80" i="52254" l="1"/>
  <c r="K77" i="52254"/>
  <c r="F79" i="3"/>
  <c r="I79" i="3" s="1"/>
  <c r="B81" i="3"/>
  <c r="C81" i="3" s="1"/>
  <c r="E81" i="3" s="1"/>
  <c r="G81" i="3" s="1"/>
  <c r="A82" i="3"/>
  <c r="A82" i="52254" s="1"/>
  <c r="B82" i="52254" s="1"/>
  <c r="M80" i="3"/>
  <c r="O80" i="3" s="1"/>
  <c r="P80" i="3" s="1"/>
  <c r="Q80" i="3" s="1"/>
  <c r="K81" i="3"/>
  <c r="M81" i="3" s="1"/>
  <c r="O81" i="3" s="1"/>
  <c r="E80" i="3"/>
  <c r="G80" i="3" s="1"/>
  <c r="D80" i="3"/>
  <c r="U78" i="3"/>
  <c r="V78" i="3"/>
  <c r="M18" i="52252"/>
  <c r="J79" i="3"/>
  <c r="D80" i="52254"/>
  <c r="S79" i="3"/>
  <c r="T79" i="3"/>
  <c r="S79" i="52254" s="1"/>
  <c r="C81" i="52254"/>
  <c r="D81" i="52254" s="1"/>
  <c r="G19" i="52256"/>
  <c r="K78" i="52254" l="1"/>
  <c r="B82" i="3"/>
  <c r="C82" i="3" s="1"/>
  <c r="E82" i="3" s="1"/>
  <c r="G82" i="3" s="1"/>
  <c r="A83" i="3"/>
  <c r="A83" i="52254" s="1"/>
  <c r="B83" i="52254" s="1"/>
  <c r="D81" i="3"/>
  <c r="F81" i="3" s="1"/>
  <c r="I81" i="3" s="1"/>
  <c r="G19" i="52252"/>
  <c r="K82" i="3"/>
  <c r="L82" i="3" s="1"/>
  <c r="N82" i="3" s="1"/>
  <c r="L81" i="3"/>
  <c r="N81" i="3" s="1"/>
  <c r="P81" i="3" s="1"/>
  <c r="Q81" i="3" s="1"/>
  <c r="R81" i="3" s="1"/>
  <c r="F80" i="3"/>
  <c r="I80" i="3" s="1"/>
  <c r="H80" i="3"/>
  <c r="H80" i="52254"/>
  <c r="K83" i="3"/>
  <c r="L83" i="3" s="1"/>
  <c r="N83" i="3" s="1"/>
  <c r="R80" i="3"/>
  <c r="T80" i="3" s="1"/>
  <c r="S80" i="52254" s="1"/>
  <c r="C82" i="52254"/>
  <c r="E82" i="52254" s="1"/>
  <c r="R82" i="52254"/>
  <c r="E81" i="52254"/>
  <c r="U79" i="3"/>
  <c r="V79" i="3"/>
  <c r="H81" i="52254"/>
  <c r="J80" i="3" l="1"/>
  <c r="D82" i="3"/>
  <c r="F82" i="3" s="1"/>
  <c r="I82" i="3" s="1"/>
  <c r="K79" i="52254"/>
  <c r="A84" i="3"/>
  <c r="A84" i="52254" s="1"/>
  <c r="B84" i="52254" s="1"/>
  <c r="B83" i="3"/>
  <c r="C83" i="3" s="1"/>
  <c r="E83" i="3" s="1"/>
  <c r="G83" i="3" s="1"/>
  <c r="H81" i="3"/>
  <c r="J19" i="52252" s="1"/>
  <c r="O19" i="52252" s="1"/>
  <c r="M82" i="3"/>
  <c r="O82" i="3" s="1"/>
  <c r="P82" i="3" s="1"/>
  <c r="Q82" i="3" s="1"/>
  <c r="R82" i="3" s="1"/>
  <c r="T82" i="3" s="1"/>
  <c r="S82" i="52254" s="1"/>
  <c r="M83" i="3"/>
  <c r="O83" i="3" s="1"/>
  <c r="P83" i="3" s="1"/>
  <c r="Q83" i="3" s="1"/>
  <c r="S80" i="3"/>
  <c r="U80" i="3"/>
  <c r="V80" i="3"/>
  <c r="D82" i="52254"/>
  <c r="C83" i="52254"/>
  <c r="D83" i="52254" s="1"/>
  <c r="R83" i="52254"/>
  <c r="H19" i="52252"/>
  <c r="I19" i="52252" s="1"/>
  <c r="S81" i="3"/>
  <c r="T81" i="3"/>
  <c r="S81" i="52254" s="1"/>
  <c r="H82" i="3" l="1"/>
  <c r="J82" i="3" s="1"/>
  <c r="K84" i="3"/>
  <c r="L84" i="3" s="1"/>
  <c r="N84" i="3" s="1"/>
  <c r="D83" i="3"/>
  <c r="F83" i="3" s="1"/>
  <c r="I83" i="3" s="1"/>
  <c r="A85" i="3"/>
  <c r="A85" i="52254" s="1"/>
  <c r="B85" i="52254" s="1"/>
  <c r="K80" i="52254"/>
  <c r="B84" i="3"/>
  <c r="C84" i="3" s="1"/>
  <c r="E84" i="3" s="1"/>
  <c r="G84" i="3" s="1"/>
  <c r="K19" i="52252"/>
  <c r="J81" i="3"/>
  <c r="S82" i="3"/>
  <c r="R83" i="3"/>
  <c r="S83" i="3" s="1"/>
  <c r="H82" i="52254"/>
  <c r="E83" i="52254"/>
  <c r="V82" i="3"/>
  <c r="C84" i="52254"/>
  <c r="E84" i="52254" s="1"/>
  <c r="R84" i="52254"/>
  <c r="U81" i="3"/>
  <c r="V81" i="3"/>
  <c r="H83" i="52254"/>
  <c r="M19" i="52252" l="1"/>
  <c r="U82" i="3"/>
  <c r="K82" i="52254" s="1"/>
  <c r="A86" i="3"/>
  <c r="A86" i="52254" s="1"/>
  <c r="B86" i="52254" s="1"/>
  <c r="R86" i="52254" s="1"/>
  <c r="B85" i="3"/>
  <c r="C85" i="3" s="1"/>
  <c r="E85" i="3" s="1"/>
  <c r="G85" i="3" s="1"/>
  <c r="D84" i="3"/>
  <c r="F84" i="3" s="1"/>
  <c r="I84" i="3" s="1"/>
  <c r="M84" i="3"/>
  <c r="O84" i="3" s="1"/>
  <c r="P84" i="3" s="1"/>
  <c r="Q84" i="3" s="1"/>
  <c r="R84" i="3" s="1"/>
  <c r="H83" i="3"/>
  <c r="J83" i="3" s="1"/>
  <c r="K85" i="3"/>
  <c r="L85" i="3" s="1"/>
  <c r="N85" i="3" s="1"/>
  <c r="K81" i="52254"/>
  <c r="T83" i="3"/>
  <c r="S83" i="52254" s="1"/>
  <c r="D84" i="52254"/>
  <c r="C85" i="52254"/>
  <c r="E85" i="52254" s="1"/>
  <c r="R85" i="52254"/>
  <c r="D85" i="3" l="1"/>
  <c r="F85" i="3" s="1"/>
  <c r="I85" i="3" s="1"/>
  <c r="A87" i="3"/>
  <c r="A87" i="52254" s="1"/>
  <c r="B87" i="52254" s="1"/>
  <c r="B86" i="3"/>
  <c r="G20" i="52252" s="1"/>
  <c r="H84" i="3"/>
  <c r="J84" i="3" s="1"/>
  <c r="K86" i="3"/>
  <c r="M86" i="3" s="1"/>
  <c r="O86" i="3" s="1"/>
  <c r="M85" i="3"/>
  <c r="O85" i="3" s="1"/>
  <c r="P85" i="3" s="1"/>
  <c r="Q85" i="3" s="1"/>
  <c r="R85" i="3" s="1"/>
  <c r="S85" i="3" s="1"/>
  <c r="A88" i="3"/>
  <c r="A88" i="52254" s="1"/>
  <c r="H84" i="52254"/>
  <c r="U83" i="3"/>
  <c r="V83" i="3"/>
  <c r="D85" i="52254"/>
  <c r="S84" i="3"/>
  <c r="T84" i="3"/>
  <c r="S84" i="52254" s="1"/>
  <c r="C86" i="52254"/>
  <c r="E86" i="52254" s="1"/>
  <c r="G20" i="52256"/>
  <c r="K87" i="3" l="1"/>
  <c r="M87" i="3" s="1"/>
  <c r="O87" i="3" s="1"/>
  <c r="H85" i="3"/>
  <c r="J85" i="3" s="1"/>
  <c r="B87" i="3"/>
  <c r="C87" i="3" s="1"/>
  <c r="E87" i="3" s="1"/>
  <c r="G87" i="3" s="1"/>
  <c r="C86" i="3"/>
  <c r="D86" i="3" s="1"/>
  <c r="F86" i="3" s="1"/>
  <c r="I86" i="3" s="1"/>
  <c r="L86" i="3"/>
  <c r="N86" i="3" s="1"/>
  <c r="P86" i="3" s="1"/>
  <c r="Q86" i="3" s="1"/>
  <c r="R86" i="3" s="1"/>
  <c r="S86" i="3" s="1"/>
  <c r="T85" i="3"/>
  <c r="S85" i="52254" s="1"/>
  <c r="K83" i="52254"/>
  <c r="A89" i="3"/>
  <c r="A89" i="52254" s="1"/>
  <c r="K88" i="3"/>
  <c r="M88" i="3" s="1"/>
  <c r="B88" i="3"/>
  <c r="C88" i="3" s="1"/>
  <c r="H85" i="52254"/>
  <c r="C87" i="52254"/>
  <c r="D87" i="52254" s="1"/>
  <c r="R87" i="52254"/>
  <c r="D86" i="52254"/>
  <c r="V84" i="3"/>
  <c r="U84" i="3"/>
  <c r="B88" i="52254"/>
  <c r="L87" i="3" l="1"/>
  <c r="N87" i="3" s="1"/>
  <c r="D87" i="3"/>
  <c r="F87" i="3" s="1"/>
  <c r="I87" i="3" s="1"/>
  <c r="H86" i="3"/>
  <c r="J86" i="3" s="1"/>
  <c r="E86" i="3"/>
  <c r="G86" i="3" s="1"/>
  <c r="U85" i="3"/>
  <c r="V85" i="3"/>
  <c r="K84" i="52254"/>
  <c r="L88" i="3"/>
  <c r="N88" i="3" s="1"/>
  <c r="A90" i="3"/>
  <c r="A90" i="52254" s="1"/>
  <c r="K89" i="3"/>
  <c r="L89" i="3" s="1"/>
  <c r="N89" i="3" s="1"/>
  <c r="B89" i="3"/>
  <c r="C89" i="3" s="1"/>
  <c r="D89" i="3" s="1"/>
  <c r="F89" i="3" s="1"/>
  <c r="I89" i="3" s="1"/>
  <c r="H20" i="52252"/>
  <c r="I20" i="52252" s="1"/>
  <c r="T86" i="3"/>
  <c r="S86" i="52254" s="1"/>
  <c r="P87" i="3"/>
  <c r="Q87" i="3" s="1"/>
  <c r="R87" i="3" s="1"/>
  <c r="S87" i="3" s="1"/>
  <c r="E87" i="52254"/>
  <c r="H86" i="52254"/>
  <c r="C88" i="52254"/>
  <c r="D88" i="52254" s="1"/>
  <c r="R88" i="52254"/>
  <c r="O88" i="3"/>
  <c r="E88" i="3"/>
  <c r="G88" i="3" s="1"/>
  <c r="D88" i="3"/>
  <c r="F88" i="3" s="1"/>
  <c r="I88" i="3" s="1"/>
  <c r="H87" i="52254"/>
  <c r="B89" i="52254"/>
  <c r="H87" i="3" l="1"/>
  <c r="J87" i="3" s="1"/>
  <c r="K85" i="52254"/>
  <c r="J20" i="52252"/>
  <c r="O20" i="52252" s="1"/>
  <c r="A91" i="3"/>
  <c r="A91" i="52254" s="1"/>
  <c r="E89" i="3"/>
  <c r="G89" i="3" s="1"/>
  <c r="B90" i="3"/>
  <c r="C90" i="3" s="1"/>
  <c r="K90" i="3"/>
  <c r="L90" i="3" s="1"/>
  <c r="N90" i="3" s="1"/>
  <c r="M89" i="3"/>
  <c r="O89" i="3" s="1"/>
  <c r="P89" i="3" s="1"/>
  <c r="Q89" i="3" s="1"/>
  <c r="V86" i="3"/>
  <c r="U86" i="3"/>
  <c r="P88" i="3"/>
  <c r="Q88" i="3" s="1"/>
  <c r="H89" i="3"/>
  <c r="J89" i="3" s="1"/>
  <c r="E88" i="52254"/>
  <c r="C89" i="52254"/>
  <c r="D89" i="52254" s="1"/>
  <c r="R89" i="52254"/>
  <c r="H88" i="3"/>
  <c r="J88" i="3" s="1"/>
  <c r="T87" i="3"/>
  <c r="S87" i="52254" s="1"/>
  <c r="H88" i="52254"/>
  <c r="B90" i="52254"/>
  <c r="K20" i="52252" l="1"/>
  <c r="K86" i="52254"/>
  <c r="M90" i="3"/>
  <c r="O90" i="3" s="1"/>
  <c r="P90" i="3" s="1"/>
  <c r="Q90" i="3" s="1"/>
  <c r="R90" i="3" s="1"/>
  <c r="K91" i="3"/>
  <c r="L91" i="3" s="1"/>
  <c r="N91" i="3" s="1"/>
  <c r="B91" i="3"/>
  <c r="G21" i="52252" s="1"/>
  <c r="A92" i="3"/>
  <c r="A92" i="52254" s="1"/>
  <c r="R89" i="3"/>
  <c r="S89" i="3" s="1"/>
  <c r="R88" i="3"/>
  <c r="S88" i="3" s="1"/>
  <c r="E89" i="52254"/>
  <c r="C90" i="52254"/>
  <c r="E90" i="52254" s="1"/>
  <c r="R90" i="52254"/>
  <c r="V87" i="3"/>
  <c r="U87" i="3"/>
  <c r="D90" i="3"/>
  <c r="F90" i="3" s="1"/>
  <c r="I90" i="3" s="1"/>
  <c r="E90" i="3"/>
  <c r="G90" i="3" s="1"/>
  <c r="H89" i="52254"/>
  <c r="B91" i="52254"/>
  <c r="R91" i="52254" s="1"/>
  <c r="M20" i="52252" l="1"/>
  <c r="K87" i="52254"/>
  <c r="K92" i="3"/>
  <c r="M92" i="3" s="1"/>
  <c r="B92" i="3"/>
  <c r="C92" i="3" s="1"/>
  <c r="M91" i="3"/>
  <c r="O91" i="3" s="1"/>
  <c r="P91" i="3" s="1"/>
  <c r="Q91" i="3" s="1"/>
  <c r="R91" i="3" s="1"/>
  <c r="C91" i="3"/>
  <c r="D91" i="3" s="1"/>
  <c r="F91" i="3" s="1"/>
  <c r="I91" i="3" s="1"/>
  <c r="A93" i="3"/>
  <c r="A93" i="52254" s="1"/>
  <c r="T88" i="3"/>
  <c r="V88" i="3" s="1"/>
  <c r="T89" i="3"/>
  <c r="S89" i="52254" s="1"/>
  <c r="S90" i="3"/>
  <c r="H90" i="3"/>
  <c r="J90" i="3" s="1"/>
  <c r="D90" i="52254"/>
  <c r="T90" i="3"/>
  <c r="C91" i="52254"/>
  <c r="E91" i="52254" s="1"/>
  <c r="G21" i="52256"/>
  <c r="B92" i="52254"/>
  <c r="L92" i="3" l="1"/>
  <c r="N92" i="3" s="1"/>
  <c r="B93" i="3"/>
  <c r="C93" i="3" s="1"/>
  <c r="E93" i="3" s="1"/>
  <c r="G93" i="3" s="1"/>
  <c r="E91" i="3"/>
  <c r="G91" i="3" s="1"/>
  <c r="U88" i="3"/>
  <c r="K88" i="52254" s="1"/>
  <c r="A94" i="3"/>
  <c r="A94" i="52254" s="1"/>
  <c r="K93" i="3"/>
  <c r="M93" i="3" s="1"/>
  <c r="S88" i="52254"/>
  <c r="U89" i="3"/>
  <c r="V89" i="3"/>
  <c r="D91" i="52254"/>
  <c r="H90" i="52254"/>
  <c r="C92" i="52254"/>
  <c r="D92" i="52254" s="1"/>
  <c r="R92" i="52254"/>
  <c r="U90" i="3"/>
  <c r="S90" i="52254"/>
  <c r="V90" i="3"/>
  <c r="H91" i="3"/>
  <c r="S91" i="3"/>
  <c r="H21" i="52252"/>
  <c r="I21" i="52252" s="1"/>
  <c r="E92" i="3"/>
  <c r="G92" i="3" s="1"/>
  <c r="D92" i="3"/>
  <c r="F92" i="3" s="1"/>
  <c r="I92" i="3" s="1"/>
  <c r="O92" i="3"/>
  <c r="T91" i="3"/>
  <c r="B93" i="52254"/>
  <c r="K90" i="52254" l="1"/>
  <c r="K89" i="52254"/>
  <c r="D93" i="3"/>
  <c r="F93" i="3" s="1"/>
  <c r="I93" i="3" s="1"/>
  <c r="L93" i="3"/>
  <c r="N93" i="3" s="1"/>
  <c r="A95" i="3"/>
  <c r="A95" i="52254" s="1"/>
  <c r="K94" i="3"/>
  <c r="M94" i="3" s="1"/>
  <c r="B94" i="3"/>
  <c r="C94" i="3" s="1"/>
  <c r="E94" i="3" s="1"/>
  <c r="G94" i="3" s="1"/>
  <c r="E92" i="52254"/>
  <c r="H91" i="52254"/>
  <c r="C93" i="52254"/>
  <c r="D93" i="52254" s="1"/>
  <c r="R93" i="52254"/>
  <c r="V91" i="3"/>
  <c r="S91" i="52254"/>
  <c r="O93" i="3"/>
  <c r="H92" i="3"/>
  <c r="J21" i="52252"/>
  <c r="J91" i="3"/>
  <c r="U91" i="3"/>
  <c r="P92" i="3"/>
  <c r="Q92" i="3" s="1"/>
  <c r="R92" i="3" s="1"/>
  <c r="H92" i="52254"/>
  <c r="B94" i="52254"/>
  <c r="K91" i="52254" l="1"/>
  <c r="L94" i="3"/>
  <c r="N94" i="3" s="1"/>
  <c r="H93" i="3"/>
  <c r="J93" i="3" s="1"/>
  <c r="D94" i="3"/>
  <c r="F94" i="3" s="1"/>
  <c r="I94" i="3" s="1"/>
  <c r="K95" i="3"/>
  <c r="M95" i="3" s="1"/>
  <c r="B95" i="3"/>
  <c r="C95" i="3" s="1"/>
  <c r="D95" i="3" s="1"/>
  <c r="F95" i="3" s="1"/>
  <c r="A96" i="3"/>
  <c r="A96" i="52254" s="1"/>
  <c r="E93" i="52254"/>
  <c r="C94" i="52254"/>
  <c r="E94" i="52254" s="1"/>
  <c r="R94" i="52254"/>
  <c r="S92" i="3"/>
  <c r="T92" i="3"/>
  <c r="U92" i="3" s="1"/>
  <c r="O21" i="52252"/>
  <c r="K21" i="52252"/>
  <c r="O94" i="3"/>
  <c r="J92" i="3"/>
  <c r="P93" i="3"/>
  <c r="Q93" i="3" s="1"/>
  <c r="R93" i="3" s="1"/>
  <c r="H93" i="52254"/>
  <c r="B95" i="52254"/>
  <c r="M21" i="52252" l="1"/>
  <c r="B96" i="3"/>
  <c r="G22" i="52252" s="1"/>
  <c r="P94" i="3"/>
  <c r="Q94" i="3" s="1"/>
  <c r="R94" i="3" s="1"/>
  <c r="S94" i="3" s="1"/>
  <c r="E95" i="3"/>
  <c r="G95" i="3" s="1"/>
  <c r="I95" i="3" s="1"/>
  <c r="H94" i="3"/>
  <c r="J94" i="3" s="1"/>
  <c r="L95" i="3"/>
  <c r="N95" i="3" s="1"/>
  <c r="A97" i="3"/>
  <c r="A97" i="52254" s="1"/>
  <c r="K96" i="3"/>
  <c r="M96" i="3" s="1"/>
  <c r="D94" i="52254"/>
  <c r="C95" i="52254"/>
  <c r="D95" i="52254" s="1"/>
  <c r="R95" i="52254"/>
  <c r="V92" i="3"/>
  <c r="K92" i="52254" s="1"/>
  <c r="S92" i="52254"/>
  <c r="S93" i="3"/>
  <c r="T93" i="3"/>
  <c r="S93" i="52254" s="1"/>
  <c r="O95" i="3"/>
  <c r="H95" i="3"/>
  <c r="B96" i="52254"/>
  <c r="R96" i="52254" s="1"/>
  <c r="C96" i="3" l="1"/>
  <c r="E96" i="3" s="1"/>
  <c r="G96" i="3" s="1"/>
  <c r="T94" i="3"/>
  <c r="S94" i="52254" s="1"/>
  <c r="A98" i="3"/>
  <c r="A98" i="52254" s="1"/>
  <c r="P95" i="3"/>
  <c r="Q95" i="3" s="1"/>
  <c r="R95" i="3" s="1"/>
  <c r="T95" i="3" s="1"/>
  <c r="U95" i="3" s="1"/>
  <c r="K97" i="3"/>
  <c r="M97" i="3" s="1"/>
  <c r="L96" i="3"/>
  <c r="N96" i="3" s="1"/>
  <c r="B97" i="3"/>
  <c r="C97" i="3" s="1"/>
  <c r="D97" i="3" s="1"/>
  <c r="F97" i="3" s="1"/>
  <c r="H94" i="52254"/>
  <c r="E95" i="52254"/>
  <c r="J95" i="3"/>
  <c r="O96" i="3"/>
  <c r="U93" i="3"/>
  <c r="V93" i="3"/>
  <c r="C96" i="52254"/>
  <c r="D96" i="52254" s="1"/>
  <c r="G22" i="52256"/>
  <c r="H95" i="52254"/>
  <c r="B97" i="52254"/>
  <c r="D96" i="3" l="1"/>
  <c r="F96" i="3" s="1"/>
  <c r="I96" i="3" s="1"/>
  <c r="K93" i="52254"/>
  <c r="V94" i="3"/>
  <c r="U94" i="3"/>
  <c r="K98" i="3"/>
  <c r="L98" i="3" s="1"/>
  <c r="N98" i="3" s="1"/>
  <c r="E97" i="3"/>
  <c r="G97" i="3" s="1"/>
  <c r="I97" i="3" s="1"/>
  <c r="B98" i="3"/>
  <c r="C98" i="3" s="1"/>
  <c r="A99" i="3"/>
  <c r="A99" i="52254" s="1"/>
  <c r="S95" i="3"/>
  <c r="L97" i="3"/>
  <c r="N97" i="3" s="1"/>
  <c r="P96" i="3"/>
  <c r="Q96" i="3" s="1"/>
  <c r="R96" i="3" s="1"/>
  <c r="H22" i="52252" s="1"/>
  <c r="I22" i="52252" s="1"/>
  <c r="C97" i="52254"/>
  <c r="D97" i="52254" s="1"/>
  <c r="R97" i="52254"/>
  <c r="V95" i="3"/>
  <c r="K95" i="52254" s="1"/>
  <c r="S95" i="52254"/>
  <c r="E96" i="52254"/>
  <c r="O97" i="3"/>
  <c r="H96" i="52254"/>
  <c r="B98" i="52254"/>
  <c r="H96" i="3" l="1"/>
  <c r="J96" i="3" s="1"/>
  <c r="K94" i="52254"/>
  <c r="H97" i="3"/>
  <c r="B99" i="3"/>
  <c r="C99" i="3" s="1"/>
  <c r="E99" i="3" s="1"/>
  <c r="G99" i="3" s="1"/>
  <c r="M98" i="3"/>
  <c r="O98" i="3" s="1"/>
  <c r="P98" i="3" s="1"/>
  <c r="Q98" i="3" s="1"/>
  <c r="R98" i="3" s="1"/>
  <c r="K99" i="3"/>
  <c r="M99" i="3" s="1"/>
  <c r="P97" i="3"/>
  <c r="Q97" i="3" s="1"/>
  <c r="R97" i="3" s="1"/>
  <c r="T97" i="3" s="1"/>
  <c r="A100" i="3"/>
  <c r="A100" i="52254" s="1"/>
  <c r="T96" i="3"/>
  <c r="U96" i="3" s="1"/>
  <c r="S96" i="3"/>
  <c r="E97" i="52254"/>
  <c r="J22" i="52252"/>
  <c r="K22" i="52252" s="1"/>
  <c r="M22" i="52252" s="1"/>
  <c r="C98" i="52254"/>
  <c r="D98" i="52254" s="1"/>
  <c r="R98" i="52254"/>
  <c r="J97" i="3"/>
  <c r="D98" i="3"/>
  <c r="F98" i="3" s="1"/>
  <c r="I98" i="3" s="1"/>
  <c r="E98" i="3"/>
  <c r="G98" i="3" s="1"/>
  <c r="H97" i="52254"/>
  <c r="B99" i="52254"/>
  <c r="B100" i="3" l="1"/>
  <c r="C100" i="3" s="1"/>
  <c r="S97" i="3"/>
  <c r="D99" i="3"/>
  <c r="F99" i="3" s="1"/>
  <c r="I99" i="3" s="1"/>
  <c r="L99" i="3"/>
  <c r="N99" i="3" s="1"/>
  <c r="A101" i="3"/>
  <c r="A101" i="52254" s="1"/>
  <c r="K100" i="3"/>
  <c r="L100" i="3" s="1"/>
  <c r="N100" i="3" s="1"/>
  <c r="V96" i="3"/>
  <c r="K96" i="52254" s="1"/>
  <c r="S96" i="52254"/>
  <c r="O22" i="52252"/>
  <c r="H98" i="3"/>
  <c r="J98" i="3" s="1"/>
  <c r="H98" i="52254"/>
  <c r="E98" i="52254"/>
  <c r="C99" i="52254"/>
  <c r="E99" i="52254" s="1"/>
  <c r="R99" i="52254"/>
  <c r="V97" i="3"/>
  <c r="S97" i="52254"/>
  <c r="U97" i="3"/>
  <c r="S98" i="3"/>
  <c r="T98" i="3"/>
  <c r="O99" i="3"/>
  <c r="B100" i="52254"/>
  <c r="K97" i="52254" l="1"/>
  <c r="A102" i="3"/>
  <c r="A102" i="52254" s="1"/>
  <c r="M100" i="3"/>
  <c r="O100" i="3" s="1"/>
  <c r="P100" i="3" s="1"/>
  <c r="Q100" i="3" s="1"/>
  <c r="R100" i="3" s="1"/>
  <c r="B101" i="3"/>
  <c r="G23" i="52252" s="1"/>
  <c r="H99" i="3"/>
  <c r="J99" i="3" s="1"/>
  <c r="K101" i="3"/>
  <c r="M101" i="3" s="1"/>
  <c r="D99" i="52254"/>
  <c r="U98" i="3"/>
  <c r="C100" i="52254"/>
  <c r="E100" i="52254" s="1"/>
  <c r="R100" i="52254"/>
  <c r="V98" i="3"/>
  <c r="S98" i="52254"/>
  <c r="P99" i="3"/>
  <c r="Q99" i="3" s="1"/>
  <c r="R99" i="3" s="1"/>
  <c r="D100" i="3"/>
  <c r="F100" i="3" s="1"/>
  <c r="I100" i="3" s="1"/>
  <c r="E100" i="3"/>
  <c r="G100" i="3" s="1"/>
  <c r="B101" i="52254"/>
  <c r="R101" i="52254" s="1"/>
  <c r="K98" i="52254" l="1"/>
  <c r="B102" i="3"/>
  <c r="C102" i="3" s="1"/>
  <c r="C101" i="3"/>
  <c r="E101" i="3" s="1"/>
  <c r="G101" i="3" s="1"/>
  <c r="K102" i="3"/>
  <c r="M102" i="3" s="1"/>
  <c r="A103" i="3"/>
  <c r="A103" i="52254" s="1"/>
  <c r="L101" i="3"/>
  <c r="N101" i="3" s="1"/>
  <c r="S100" i="3"/>
  <c r="D100" i="52254"/>
  <c r="H99" i="52254"/>
  <c r="H100" i="3"/>
  <c r="J100" i="3" s="1"/>
  <c r="S99" i="3"/>
  <c r="T99" i="3"/>
  <c r="S99" i="52254" s="1"/>
  <c r="O101" i="3"/>
  <c r="T100" i="3"/>
  <c r="C101" i="52254"/>
  <c r="D101" i="52254" s="1"/>
  <c r="G23" i="52256"/>
  <c r="B102" i="52254"/>
  <c r="D101" i="3" l="1"/>
  <c r="F101" i="3" s="1"/>
  <c r="I101" i="3" s="1"/>
  <c r="P101" i="3"/>
  <c r="Q101" i="3" s="1"/>
  <c r="R101" i="3" s="1"/>
  <c r="H23" i="52252" s="1"/>
  <c r="I23" i="52252" s="1"/>
  <c r="A104" i="3"/>
  <c r="A104" i="52254" s="1"/>
  <c r="L102" i="3"/>
  <c r="N102" i="3" s="1"/>
  <c r="B103" i="3"/>
  <c r="C103" i="3" s="1"/>
  <c r="K103" i="3"/>
  <c r="L103" i="3" s="1"/>
  <c r="N103" i="3" s="1"/>
  <c r="H100" i="52254"/>
  <c r="C102" i="52254"/>
  <c r="E102" i="52254" s="1"/>
  <c r="R102" i="52254"/>
  <c r="V99" i="3"/>
  <c r="U99" i="3"/>
  <c r="V100" i="3"/>
  <c r="S100" i="52254"/>
  <c r="E101" i="52254"/>
  <c r="O102" i="3"/>
  <c r="D102" i="3"/>
  <c r="F102" i="3" s="1"/>
  <c r="I102" i="3" s="1"/>
  <c r="E102" i="3"/>
  <c r="G102" i="3" s="1"/>
  <c r="U100" i="3"/>
  <c r="H101" i="52254"/>
  <c r="B103" i="52254"/>
  <c r="K100" i="52254" l="1"/>
  <c r="H101" i="3"/>
  <c r="J101" i="3" s="1"/>
  <c r="K99" i="52254"/>
  <c r="T101" i="3"/>
  <c r="S101" i="52254" s="1"/>
  <c r="P102" i="3"/>
  <c r="Q102" i="3" s="1"/>
  <c r="R102" i="3" s="1"/>
  <c r="S102" i="3" s="1"/>
  <c r="S101" i="3"/>
  <c r="M103" i="3"/>
  <c r="O103" i="3" s="1"/>
  <c r="P103" i="3" s="1"/>
  <c r="Q103" i="3" s="1"/>
  <c r="K104" i="3"/>
  <c r="M104" i="3" s="1"/>
  <c r="A105" i="3"/>
  <c r="B105" i="3" s="1"/>
  <c r="C105" i="3" s="1"/>
  <c r="B104" i="3"/>
  <c r="C104" i="3" s="1"/>
  <c r="E104" i="3" s="1"/>
  <c r="G104" i="3" s="1"/>
  <c r="H102" i="3"/>
  <c r="J102" i="3" s="1"/>
  <c r="D102" i="52254"/>
  <c r="C103" i="52254"/>
  <c r="D103" i="52254" s="1"/>
  <c r="R103" i="52254"/>
  <c r="D103" i="3"/>
  <c r="F103" i="3" s="1"/>
  <c r="I103" i="3" s="1"/>
  <c r="E103" i="3"/>
  <c r="G103" i="3" s="1"/>
  <c r="B104" i="52254"/>
  <c r="J23" i="52252" l="1"/>
  <c r="K23" i="52252" s="1"/>
  <c r="M23" i="52252" s="1"/>
  <c r="T102" i="3"/>
  <c r="V102" i="3" s="1"/>
  <c r="U101" i="3"/>
  <c r="V101" i="3"/>
  <c r="A105" i="52254"/>
  <c r="B105" i="52254" s="1"/>
  <c r="D104" i="3"/>
  <c r="F104" i="3" s="1"/>
  <c r="I104" i="3" s="1"/>
  <c r="L104" i="3"/>
  <c r="N104" i="3" s="1"/>
  <c r="K105" i="3"/>
  <c r="L105" i="3" s="1"/>
  <c r="N105" i="3" s="1"/>
  <c r="A106" i="3"/>
  <c r="A106" i="52254" s="1"/>
  <c r="R103" i="3"/>
  <c r="S103" i="3" s="1"/>
  <c r="E103" i="52254"/>
  <c r="H102" i="52254"/>
  <c r="H103" i="3"/>
  <c r="J103" i="3" s="1"/>
  <c r="C104" i="52254"/>
  <c r="E104" i="52254" s="1"/>
  <c r="R104" i="52254"/>
  <c r="E105" i="3"/>
  <c r="G105" i="3" s="1"/>
  <c r="D105" i="3"/>
  <c r="F105" i="3" s="1"/>
  <c r="O104" i="3"/>
  <c r="H103" i="52254"/>
  <c r="O23" i="52252" l="1"/>
  <c r="K101" i="52254"/>
  <c r="I105" i="3"/>
  <c r="U102" i="3"/>
  <c r="K102" i="52254" s="1"/>
  <c r="S102" i="52254"/>
  <c r="A107" i="3"/>
  <c r="A107" i="52254" s="1"/>
  <c r="H104" i="3"/>
  <c r="J104" i="3" s="1"/>
  <c r="P104" i="3"/>
  <c r="Q104" i="3" s="1"/>
  <c r="R104" i="3" s="1"/>
  <c r="S104" i="3" s="1"/>
  <c r="M105" i="3"/>
  <c r="O105" i="3" s="1"/>
  <c r="P105" i="3" s="1"/>
  <c r="Q105" i="3" s="1"/>
  <c r="R105" i="3" s="1"/>
  <c r="B106" i="3"/>
  <c r="C106" i="3" s="1"/>
  <c r="K106" i="3"/>
  <c r="L106" i="3" s="1"/>
  <c r="N106" i="3" s="1"/>
  <c r="T103" i="3"/>
  <c r="U103" i="3" s="1"/>
  <c r="D104" i="52254"/>
  <c r="C105" i="52254"/>
  <c r="E105" i="52254" s="1"/>
  <c r="R105" i="52254"/>
  <c r="H105" i="3"/>
  <c r="B106" i="52254"/>
  <c r="R106" i="52254" s="1"/>
  <c r="J105" i="3" l="1"/>
  <c r="A108" i="3"/>
  <c r="A108" i="52254" s="1"/>
  <c r="G24" i="52252"/>
  <c r="B107" i="3"/>
  <c r="C107" i="3" s="1"/>
  <c r="K107" i="3"/>
  <c r="L107" i="3" s="1"/>
  <c r="N107" i="3" s="1"/>
  <c r="T104" i="3"/>
  <c r="U104" i="3" s="1"/>
  <c r="M106" i="3"/>
  <c r="O106" i="3" s="1"/>
  <c r="P106" i="3" s="1"/>
  <c r="Q106" i="3" s="1"/>
  <c r="R106" i="3" s="1"/>
  <c r="S103" i="52254"/>
  <c r="V103" i="3"/>
  <c r="K103" i="52254" s="1"/>
  <c r="S105" i="3"/>
  <c r="H104" i="52254"/>
  <c r="D105" i="52254"/>
  <c r="E106" i="3"/>
  <c r="G106" i="3" s="1"/>
  <c r="D106" i="3"/>
  <c r="F106" i="3" s="1"/>
  <c r="T105" i="3"/>
  <c r="S105" i="52254" s="1"/>
  <c r="C106" i="52254"/>
  <c r="D106" i="52254" s="1"/>
  <c r="G24" i="52256"/>
  <c r="B107" i="52254"/>
  <c r="I106" i="3" l="1"/>
  <c r="K108" i="3"/>
  <c r="M108" i="3" s="1"/>
  <c r="B108" i="3"/>
  <c r="C108" i="3" s="1"/>
  <c r="A109" i="3"/>
  <c r="A109" i="52254" s="1"/>
  <c r="M107" i="3"/>
  <c r="O107" i="3" s="1"/>
  <c r="P107" i="3" s="1"/>
  <c r="Q107" i="3" s="1"/>
  <c r="R107" i="3" s="1"/>
  <c r="H105" i="52254"/>
  <c r="S104" i="52254"/>
  <c r="V104" i="3"/>
  <c r="K104" i="52254" s="1"/>
  <c r="E106" i="52254"/>
  <c r="C107" i="52254"/>
  <c r="D107" i="52254" s="1"/>
  <c r="R107" i="52254"/>
  <c r="S106" i="3"/>
  <c r="H24" i="52252"/>
  <c r="I24" i="52252" s="1"/>
  <c r="T106" i="3"/>
  <c r="S106" i="52254" s="1"/>
  <c r="H106" i="3"/>
  <c r="V105" i="3"/>
  <c r="U105" i="3"/>
  <c r="E107" i="3"/>
  <c r="G107" i="3" s="1"/>
  <c r="D107" i="3"/>
  <c r="F107" i="3" s="1"/>
  <c r="I107" i="3" s="1"/>
  <c r="H106" i="52254"/>
  <c r="B108" i="52254"/>
  <c r="K105" i="52254" l="1"/>
  <c r="K109" i="3"/>
  <c r="L109" i="3" s="1"/>
  <c r="N109" i="3" s="1"/>
  <c r="B109" i="3"/>
  <c r="C109" i="3" s="1"/>
  <c r="A110" i="3"/>
  <c r="A110" i="52254" s="1"/>
  <c r="L108" i="3"/>
  <c r="N108" i="3" s="1"/>
  <c r="E107" i="52254"/>
  <c r="V106" i="3"/>
  <c r="C108" i="52254"/>
  <c r="D108" i="52254" s="1"/>
  <c r="R108" i="52254"/>
  <c r="S107" i="3"/>
  <c r="T107" i="3"/>
  <c r="S107" i="52254" s="1"/>
  <c r="O108" i="3"/>
  <c r="J24" i="52252"/>
  <c r="J106" i="3"/>
  <c r="U106" i="3"/>
  <c r="K106" i="52254" s="1"/>
  <c r="H107" i="3"/>
  <c r="E108" i="3"/>
  <c r="G108" i="3" s="1"/>
  <c r="D108" i="3"/>
  <c r="F108" i="3" s="1"/>
  <c r="H107" i="52254"/>
  <c r="B109" i="52254"/>
  <c r="M109" i="3" l="1"/>
  <c r="O109" i="3" s="1"/>
  <c r="P109" i="3" s="1"/>
  <c r="Q109" i="3" s="1"/>
  <c r="R109" i="3" s="1"/>
  <c r="P108" i="3"/>
  <c r="Q108" i="3" s="1"/>
  <c r="R108" i="3" s="1"/>
  <c r="S108" i="3" s="1"/>
  <c r="I108" i="3"/>
  <c r="A111" i="3"/>
  <c r="A111" i="52254" s="1"/>
  <c r="B110" i="3"/>
  <c r="C110" i="3" s="1"/>
  <c r="K110" i="3"/>
  <c r="M110" i="3" s="1"/>
  <c r="E108" i="52254"/>
  <c r="V107" i="3"/>
  <c r="C109" i="52254"/>
  <c r="D109" i="52254" s="1"/>
  <c r="R109" i="52254"/>
  <c r="H108" i="52254"/>
  <c r="H108" i="3"/>
  <c r="O24" i="52252"/>
  <c r="K24" i="52252"/>
  <c r="M24" i="52252" s="1"/>
  <c r="E109" i="3"/>
  <c r="G109" i="3" s="1"/>
  <c r="D109" i="3"/>
  <c r="F109" i="3" s="1"/>
  <c r="B110" i="52254"/>
  <c r="J107" i="3"/>
  <c r="U107" i="3"/>
  <c r="J108" i="3" l="1"/>
  <c r="K107" i="52254"/>
  <c r="A112" i="3"/>
  <c r="A112" i="52254" s="1"/>
  <c r="B111" i="3"/>
  <c r="C111" i="3" s="1"/>
  <c r="E111" i="3" s="1"/>
  <c r="G111" i="3" s="1"/>
  <c r="I109" i="3"/>
  <c r="K111" i="3"/>
  <c r="L111" i="3" s="1"/>
  <c r="L110" i="3"/>
  <c r="N110" i="3" s="1"/>
  <c r="E109" i="52254"/>
  <c r="T108" i="3"/>
  <c r="S108" i="52254" s="1"/>
  <c r="C110" i="52254"/>
  <c r="E110" i="52254" s="1"/>
  <c r="R110" i="52254"/>
  <c r="H109" i="3"/>
  <c r="S109" i="3"/>
  <c r="T109" i="3"/>
  <c r="S109" i="52254" s="1"/>
  <c r="D110" i="3"/>
  <c r="F110" i="3" s="1"/>
  <c r="I110" i="3" s="1"/>
  <c r="E110" i="3"/>
  <c r="G110" i="3" s="1"/>
  <c r="O110" i="3"/>
  <c r="H109" i="52254"/>
  <c r="B111" i="52254"/>
  <c r="R111" i="52254" s="1"/>
  <c r="J109" i="3" l="1"/>
  <c r="G25" i="52252"/>
  <c r="B112" i="3"/>
  <c r="C112" i="3" s="1"/>
  <c r="E112" i="3" s="1"/>
  <c r="G112" i="3" s="1"/>
  <c r="K112" i="3"/>
  <c r="L112" i="3" s="1"/>
  <c r="N112" i="3" s="1"/>
  <c r="A113" i="3"/>
  <c r="A113" i="52254" s="1"/>
  <c r="D111" i="3"/>
  <c r="F111" i="3" s="1"/>
  <c r="I111" i="3" s="1"/>
  <c r="M111" i="3"/>
  <c r="O111" i="3" s="1"/>
  <c r="V108" i="3"/>
  <c r="U108" i="3"/>
  <c r="D110" i="52254"/>
  <c r="H110" i="3"/>
  <c r="J110" i="3" s="1"/>
  <c r="U109" i="3"/>
  <c r="V109" i="3"/>
  <c r="N111" i="3"/>
  <c r="D112" i="3"/>
  <c r="F112" i="3" s="1"/>
  <c r="P110" i="3"/>
  <c r="Q110" i="3" s="1"/>
  <c r="R110" i="3" s="1"/>
  <c r="C111" i="52254"/>
  <c r="D111" i="52254" s="1"/>
  <c r="G25" i="52256"/>
  <c r="B112" i="52254"/>
  <c r="K109" i="52254" l="1"/>
  <c r="K108" i="52254"/>
  <c r="M112" i="3"/>
  <c r="O112" i="3" s="1"/>
  <c r="P112" i="3" s="1"/>
  <c r="Q112" i="3" s="1"/>
  <c r="R112" i="3" s="1"/>
  <c r="A114" i="3"/>
  <c r="B114" i="3" s="1"/>
  <c r="C114" i="3" s="1"/>
  <c r="B113" i="3"/>
  <c r="C113" i="3" s="1"/>
  <c r="K113" i="3"/>
  <c r="L113" i="3" s="1"/>
  <c r="N113" i="3" s="1"/>
  <c r="H111" i="3"/>
  <c r="J111" i="3" s="1"/>
  <c r="I112" i="3"/>
  <c r="H110" i="52254"/>
  <c r="H112" i="3"/>
  <c r="E111" i="52254"/>
  <c r="C112" i="52254"/>
  <c r="E112" i="52254" s="1"/>
  <c r="R112" i="52254"/>
  <c r="A114" i="52254"/>
  <c r="S110" i="3"/>
  <c r="T110" i="3"/>
  <c r="S110" i="52254" s="1"/>
  <c r="P111" i="3"/>
  <c r="Q111" i="3" s="1"/>
  <c r="R111" i="3" s="1"/>
  <c r="B113" i="52254"/>
  <c r="J112" i="3" l="1"/>
  <c r="A115" i="3"/>
  <c r="A115" i="52254" s="1"/>
  <c r="M113" i="3"/>
  <c r="O113" i="3" s="1"/>
  <c r="P113" i="3" s="1"/>
  <c r="Q113" i="3" s="1"/>
  <c r="R113" i="3" s="1"/>
  <c r="K114" i="3"/>
  <c r="L114" i="3" s="1"/>
  <c r="J25" i="52252"/>
  <c r="O25" i="52252" s="1"/>
  <c r="S112" i="3"/>
  <c r="D112" i="52254"/>
  <c r="H111" i="52254"/>
  <c r="C113" i="52254"/>
  <c r="E113" i="52254" s="1"/>
  <c r="R113" i="52254"/>
  <c r="S111" i="3"/>
  <c r="H25" i="52252"/>
  <c r="I25" i="52252" s="1"/>
  <c r="T111" i="3"/>
  <c r="S111" i="52254" s="1"/>
  <c r="T112" i="3"/>
  <c r="S112" i="52254" s="1"/>
  <c r="D113" i="3"/>
  <c r="F113" i="3" s="1"/>
  <c r="I113" i="3" s="1"/>
  <c r="E113" i="3"/>
  <c r="G113" i="3" s="1"/>
  <c r="D114" i="3"/>
  <c r="F114" i="3" s="1"/>
  <c r="I114" i="3" s="1"/>
  <c r="E114" i="3"/>
  <c r="G114" i="3" s="1"/>
  <c r="V110" i="3"/>
  <c r="U110" i="3"/>
  <c r="B114" i="52254"/>
  <c r="K110" i="52254" l="1"/>
  <c r="A116" i="3"/>
  <c r="A116" i="52254" s="1"/>
  <c r="K115" i="3"/>
  <c r="L115" i="3" s="1"/>
  <c r="B115" i="3"/>
  <c r="C115" i="3" s="1"/>
  <c r="D115" i="3" s="1"/>
  <c r="F115" i="3" s="1"/>
  <c r="I115" i="3" s="1"/>
  <c r="M114" i="3"/>
  <c r="O114" i="3" s="1"/>
  <c r="S113" i="3"/>
  <c r="H112" i="52254"/>
  <c r="D113" i="52254"/>
  <c r="H113" i="3"/>
  <c r="J113" i="3" s="1"/>
  <c r="C114" i="52254"/>
  <c r="E114" i="52254" s="1"/>
  <c r="R114" i="52254"/>
  <c r="H114" i="3"/>
  <c r="J114" i="3" s="1"/>
  <c r="N114" i="3"/>
  <c r="V111" i="3"/>
  <c r="U111" i="3"/>
  <c r="T113" i="3"/>
  <c r="U112" i="3"/>
  <c r="V112" i="3"/>
  <c r="K25" i="52252"/>
  <c r="M25" i="52252" s="1"/>
  <c r="B115" i="52254"/>
  <c r="K112" i="52254" l="1"/>
  <c r="K111" i="52254"/>
  <c r="E115" i="3"/>
  <c r="G115" i="3" s="1"/>
  <c r="A117" i="3"/>
  <c r="A117" i="52254" s="1"/>
  <c r="K116" i="3"/>
  <c r="L116" i="3" s="1"/>
  <c r="N116" i="3" s="1"/>
  <c r="B116" i="3"/>
  <c r="C116" i="3" s="1"/>
  <c r="M115" i="3"/>
  <c r="O115" i="3" s="1"/>
  <c r="H113" i="52254"/>
  <c r="D114" i="52254"/>
  <c r="H115" i="3"/>
  <c r="J115" i="3" s="1"/>
  <c r="C115" i="52254"/>
  <c r="D115" i="52254" s="1"/>
  <c r="R115" i="52254"/>
  <c r="V113" i="3"/>
  <c r="S113" i="52254"/>
  <c r="U113" i="3"/>
  <c r="N115" i="3"/>
  <c r="P114" i="3"/>
  <c r="Q114" i="3" s="1"/>
  <c r="R114" i="3" s="1"/>
  <c r="B116" i="52254"/>
  <c r="R116" i="52254" s="1"/>
  <c r="K113" i="52254" l="1"/>
  <c r="G26" i="52252"/>
  <c r="M116" i="3"/>
  <c r="O116" i="3" s="1"/>
  <c r="P116" i="3" s="1"/>
  <c r="Q116" i="3" s="1"/>
  <c r="R116" i="3" s="1"/>
  <c r="A118" i="3"/>
  <c r="A118" i="52254" s="1"/>
  <c r="K117" i="3"/>
  <c r="M117" i="3" s="1"/>
  <c r="B117" i="3"/>
  <c r="C117" i="3" s="1"/>
  <c r="E117" i="3" s="1"/>
  <c r="G117" i="3" s="1"/>
  <c r="E115" i="52254"/>
  <c r="H114" i="52254"/>
  <c r="S114" i="3"/>
  <c r="T114" i="3"/>
  <c r="S114" i="52254" s="1"/>
  <c r="E116" i="3"/>
  <c r="G116" i="3" s="1"/>
  <c r="D116" i="3"/>
  <c r="F116" i="3" s="1"/>
  <c r="P115" i="3"/>
  <c r="Q115" i="3" s="1"/>
  <c r="C116" i="52254"/>
  <c r="E116" i="52254" s="1"/>
  <c r="G26" i="52256"/>
  <c r="B117" i="52254"/>
  <c r="H115" i="52254"/>
  <c r="K118" i="3" l="1"/>
  <c r="M118" i="3" s="1"/>
  <c r="A119" i="3"/>
  <c r="A119" i="52254" s="1"/>
  <c r="B118" i="3"/>
  <c r="C118" i="3" s="1"/>
  <c r="E118" i="3" s="1"/>
  <c r="G118" i="3" s="1"/>
  <c r="D117" i="3"/>
  <c r="F117" i="3" s="1"/>
  <c r="I117" i="3" s="1"/>
  <c r="L117" i="3"/>
  <c r="N117" i="3" s="1"/>
  <c r="I116" i="3"/>
  <c r="R115" i="3"/>
  <c r="S115" i="3" s="1"/>
  <c r="C117" i="52254"/>
  <c r="D117" i="52254" s="1"/>
  <c r="R117" i="52254"/>
  <c r="D116" i="52254"/>
  <c r="H116" i="3"/>
  <c r="S116" i="3"/>
  <c r="H26" i="52252"/>
  <c r="I26" i="52252" s="1"/>
  <c r="O117" i="3"/>
  <c r="U114" i="3"/>
  <c r="V114" i="3"/>
  <c r="B118" i="52254"/>
  <c r="J116" i="3" l="1"/>
  <c r="K114" i="52254"/>
  <c r="H117" i="3"/>
  <c r="J117" i="3" s="1"/>
  <c r="D118" i="3"/>
  <c r="F118" i="3" s="1"/>
  <c r="I118" i="3" s="1"/>
  <c r="P117" i="3"/>
  <c r="Q117" i="3" s="1"/>
  <c r="R117" i="3" s="1"/>
  <c r="S117" i="3" s="1"/>
  <c r="L118" i="3"/>
  <c r="N118" i="3" s="1"/>
  <c r="B119" i="3"/>
  <c r="C119" i="3" s="1"/>
  <c r="A120" i="3"/>
  <c r="A120" i="52254" s="1"/>
  <c r="K119" i="3"/>
  <c r="L119" i="3" s="1"/>
  <c r="T116" i="3"/>
  <c r="V116" i="3" s="1"/>
  <c r="T115" i="3"/>
  <c r="S115" i="52254" s="1"/>
  <c r="J26" i="52252"/>
  <c r="K26" i="52252" s="1"/>
  <c r="M26" i="52252" s="1"/>
  <c r="E117" i="52254"/>
  <c r="C118" i="52254"/>
  <c r="D118" i="52254" s="1"/>
  <c r="R118" i="52254"/>
  <c r="H116" i="52254"/>
  <c r="O118" i="3"/>
  <c r="B119" i="52254"/>
  <c r="T117" i="3" l="1"/>
  <c r="U117" i="3" s="1"/>
  <c r="H118" i="3"/>
  <c r="J118" i="3" s="1"/>
  <c r="M119" i="3"/>
  <c r="O119" i="3" s="1"/>
  <c r="B120" i="3"/>
  <c r="C120" i="3" s="1"/>
  <c r="A121" i="3"/>
  <c r="A121" i="52254" s="1"/>
  <c r="K120" i="3"/>
  <c r="M120" i="3" s="1"/>
  <c r="V115" i="3"/>
  <c r="H117" i="52254"/>
  <c r="U115" i="3"/>
  <c r="U116" i="3"/>
  <c r="K116" i="52254" s="1"/>
  <c r="S116" i="52254"/>
  <c r="E118" i="52254"/>
  <c r="O26" i="52252"/>
  <c r="C119" i="52254"/>
  <c r="E119" i="52254" s="1"/>
  <c r="R119" i="52254"/>
  <c r="P118" i="3"/>
  <c r="Q118" i="3" s="1"/>
  <c r="R118" i="3" s="1"/>
  <c r="N119" i="3"/>
  <c r="E119" i="3"/>
  <c r="G119" i="3" s="1"/>
  <c r="D119" i="3"/>
  <c r="F119" i="3" s="1"/>
  <c r="H118" i="52254"/>
  <c r="B120" i="52254"/>
  <c r="K115" i="52254" l="1"/>
  <c r="V117" i="3"/>
  <c r="K117" i="52254" s="1"/>
  <c r="S117" i="52254"/>
  <c r="L120" i="3"/>
  <c r="N120" i="3" s="1"/>
  <c r="K121" i="3"/>
  <c r="M121" i="3" s="1"/>
  <c r="A122" i="3"/>
  <c r="A122" i="52254" s="1"/>
  <c r="B121" i="3"/>
  <c r="G27" i="52252" s="1"/>
  <c r="I119" i="3"/>
  <c r="D119" i="52254"/>
  <c r="C120" i="52254"/>
  <c r="E120" i="52254" s="1"/>
  <c r="R120" i="52254"/>
  <c r="H119" i="3"/>
  <c r="E120" i="3"/>
  <c r="G120" i="3" s="1"/>
  <c r="D120" i="3"/>
  <c r="F120" i="3" s="1"/>
  <c r="O120" i="3"/>
  <c r="S118" i="3"/>
  <c r="T118" i="3"/>
  <c r="S118" i="52254" s="1"/>
  <c r="P119" i="3"/>
  <c r="Q119" i="3" s="1"/>
  <c r="R119" i="3" s="1"/>
  <c r="B121" i="52254"/>
  <c r="R121" i="52254" s="1"/>
  <c r="J119" i="3" l="1"/>
  <c r="L121" i="3"/>
  <c r="N121" i="3" s="1"/>
  <c r="P120" i="3"/>
  <c r="Q120" i="3" s="1"/>
  <c r="R120" i="3" s="1"/>
  <c r="S120" i="3" s="1"/>
  <c r="C121" i="3"/>
  <c r="E121" i="3" s="1"/>
  <c r="G121" i="3" s="1"/>
  <c r="A123" i="3"/>
  <c r="A123" i="52254" s="1"/>
  <c r="K122" i="3"/>
  <c r="L122" i="3" s="1"/>
  <c r="N122" i="3" s="1"/>
  <c r="B122" i="3"/>
  <c r="C122" i="3" s="1"/>
  <c r="E122" i="3" s="1"/>
  <c r="G122" i="3" s="1"/>
  <c r="I120" i="3"/>
  <c r="H119" i="52254"/>
  <c r="D120" i="52254"/>
  <c r="H120" i="3"/>
  <c r="S119" i="3"/>
  <c r="T119" i="3"/>
  <c r="S119" i="52254" s="1"/>
  <c r="O121" i="3"/>
  <c r="V118" i="3"/>
  <c r="U118" i="3"/>
  <c r="C121" i="52254"/>
  <c r="E121" i="52254" s="1"/>
  <c r="G27" i="52256"/>
  <c r="B122" i="52254"/>
  <c r="J120" i="3" l="1"/>
  <c r="K118" i="52254"/>
  <c r="T120" i="3"/>
  <c r="S120" i="52254" s="1"/>
  <c r="D122" i="3"/>
  <c r="F122" i="3" s="1"/>
  <c r="I122" i="3" s="1"/>
  <c r="D121" i="3"/>
  <c r="F121" i="3" s="1"/>
  <c r="I121" i="3" s="1"/>
  <c r="M122" i="3"/>
  <c r="O122" i="3" s="1"/>
  <c r="P122" i="3" s="1"/>
  <c r="Q122" i="3" s="1"/>
  <c r="B123" i="3"/>
  <c r="C123" i="3" s="1"/>
  <c r="K123" i="3"/>
  <c r="M123" i="3" s="1"/>
  <c r="A124" i="3"/>
  <c r="A125" i="3" s="1"/>
  <c r="A125" i="52254" s="1"/>
  <c r="D121" i="52254"/>
  <c r="H120" i="52254"/>
  <c r="P121" i="3"/>
  <c r="Q121" i="3" s="1"/>
  <c r="R121" i="3" s="1"/>
  <c r="C122" i="52254"/>
  <c r="E122" i="52254" s="1"/>
  <c r="R122" i="52254"/>
  <c r="B123" i="52254"/>
  <c r="V119" i="3"/>
  <c r="U119" i="3"/>
  <c r="A124" i="52254" l="1"/>
  <c r="B124" i="52254" s="1"/>
  <c r="K119" i="52254"/>
  <c r="V120" i="3"/>
  <c r="U120" i="3"/>
  <c r="H122" i="3"/>
  <c r="J122" i="3" s="1"/>
  <c r="B124" i="3"/>
  <c r="C124" i="3" s="1"/>
  <c r="E124" i="3" s="1"/>
  <c r="G124" i="3" s="1"/>
  <c r="L123" i="3"/>
  <c r="N123" i="3" s="1"/>
  <c r="H121" i="3"/>
  <c r="J27" i="52252" s="1"/>
  <c r="O27" i="52252" s="1"/>
  <c r="K124" i="3"/>
  <c r="M124" i="3" s="1"/>
  <c r="D122" i="52254"/>
  <c r="H121" i="52254"/>
  <c r="R122" i="3"/>
  <c r="S122" i="3" s="1"/>
  <c r="C123" i="52254"/>
  <c r="E123" i="52254" s="1"/>
  <c r="R123" i="52254"/>
  <c r="E123" i="3"/>
  <c r="G123" i="3" s="1"/>
  <c r="D123" i="3"/>
  <c r="F123" i="3" s="1"/>
  <c r="B125" i="3"/>
  <c r="A126" i="3"/>
  <c r="A126" i="52254" s="1"/>
  <c r="K125" i="3"/>
  <c r="H27" i="52252"/>
  <c r="I27" i="52252" s="1"/>
  <c r="S121" i="3"/>
  <c r="T121" i="3"/>
  <c r="S121" i="52254" s="1"/>
  <c r="O123" i="3"/>
  <c r="K120" i="52254" l="1"/>
  <c r="D124" i="3"/>
  <c r="F124" i="3" s="1"/>
  <c r="I124" i="3" s="1"/>
  <c r="K27" i="52252"/>
  <c r="M27" i="52252" s="1"/>
  <c r="L124" i="3"/>
  <c r="N124" i="3" s="1"/>
  <c r="P123" i="3"/>
  <c r="Q123" i="3" s="1"/>
  <c r="R123" i="3" s="1"/>
  <c r="T123" i="3" s="1"/>
  <c r="S123" i="52254" s="1"/>
  <c r="J121" i="3"/>
  <c r="T122" i="3"/>
  <c r="U122" i="3" s="1"/>
  <c r="H122" i="52254"/>
  <c r="I123" i="3"/>
  <c r="D123" i="52254"/>
  <c r="C124" i="52254"/>
  <c r="E124" i="52254" s="1"/>
  <c r="R124" i="52254"/>
  <c r="H123" i="3"/>
  <c r="J123" i="3" s="1"/>
  <c r="V121" i="3"/>
  <c r="U121" i="3"/>
  <c r="M125" i="3"/>
  <c r="L125" i="3"/>
  <c r="N125" i="3" s="1"/>
  <c r="C125" i="3"/>
  <c r="O124" i="3"/>
  <c r="B126" i="3"/>
  <c r="A127" i="3"/>
  <c r="A127" i="52254" s="1"/>
  <c r="K126" i="3"/>
  <c r="B125" i="52254"/>
  <c r="K121" i="52254" l="1"/>
  <c r="S123" i="3"/>
  <c r="H124" i="3"/>
  <c r="J124" i="3" s="1"/>
  <c r="P124" i="3"/>
  <c r="Q124" i="3" s="1"/>
  <c r="R124" i="3" s="1"/>
  <c r="T124" i="3" s="1"/>
  <c r="S124" i="52254" s="1"/>
  <c r="V122" i="3"/>
  <c r="K122" i="52254" s="1"/>
  <c r="S122" i="52254"/>
  <c r="H123" i="52254"/>
  <c r="D124" i="52254"/>
  <c r="V123" i="3"/>
  <c r="U123" i="3"/>
  <c r="C125" i="52254"/>
  <c r="D125" i="52254" s="1"/>
  <c r="R125" i="52254"/>
  <c r="L126" i="3"/>
  <c r="N126" i="3" s="1"/>
  <c r="M126" i="3"/>
  <c r="C126" i="3"/>
  <c r="G28" i="52252"/>
  <c r="B127" i="3"/>
  <c r="K127" i="3"/>
  <c r="A128" i="3"/>
  <c r="A128" i="52254" s="1"/>
  <c r="E125" i="3"/>
  <c r="G125" i="3" s="1"/>
  <c r="D125" i="3"/>
  <c r="F125" i="3" s="1"/>
  <c r="O125" i="3"/>
  <c r="P125" i="3" s="1"/>
  <c r="Q125" i="3" s="1"/>
  <c r="R125" i="3" s="1"/>
  <c r="B126" i="52254"/>
  <c r="R126" i="52254" s="1"/>
  <c r="K123" i="52254" l="1"/>
  <c r="S124" i="3"/>
  <c r="I125" i="3"/>
  <c r="E125" i="52254"/>
  <c r="H124" i="52254"/>
  <c r="B128" i="3"/>
  <c r="C128" i="3" s="1"/>
  <c r="S125" i="3"/>
  <c r="T125" i="3"/>
  <c r="S125" i="52254" s="1"/>
  <c r="A129" i="3"/>
  <c r="A129" i="52254" s="1"/>
  <c r="K128" i="3"/>
  <c r="C127" i="3"/>
  <c r="H125" i="3"/>
  <c r="L127" i="3"/>
  <c r="N127" i="3" s="1"/>
  <c r="M127" i="3"/>
  <c r="E126" i="3"/>
  <c r="G126" i="3" s="1"/>
  <c r="D126" i="3"/>
  <c r="F126" i="3" s="1"/>
  <c r="O126" i="3"/>
  <c r="P126" i="3" s="1"/>
  <c r="Q126" i="3" s="1"/>
  <c r="R126" i="3" s="1"/>
  <c r="V124" i="3"/>
  <c r="U124" i="3"/>
  <c r="C126" i="52254"/>
  <c r="D126" i="52254" s="1"/>
  <c r="G28" i="52256"/>
  <c r="B127" i="52254"/>
  <c r="K124" i="52254" l="1"/>
  <c r="J125" i="3"/>
  <c r="H125" i="52254"/>
  <c r="V125" i="3"/>
  <c r="I126" i="3"/>
  <c r="H126" i="3"/>
  <c r="C127" i="52254"/>
  <c r="E127" i="52254" s="1"/>
  <c r="R127" i="52254"/>
  <c r="S126" i="3"/>
  <c r="H28" i="52252"/>
  <c r="I28" i="52252" s="1"/>
  <c r="T126" i="3"/>
  <c r="D128" i="3"/>
  <c r="F128" i="3" s="1"/>
  <c r="E128" i="3"/>
  <c r="G128" i="3" s="1"/>
  <c r="B129" i="3"/>
  <c r="K129" i="3"/>
  <c r="A130" i="3"/>
  <c r="O127" i="3"/>
  <c r="P127" i="3" s="1"/>
  <c r="Q127" i="3" s="1"/>
  <c r="R127" i="3" s="1"/>
  <c r="D127" i="3"/>
  <c r="F127" i="3" s="1"/>
  <c r="E127" i="3"/>
  <c r="G127" i="3" s="1"/>
  <c r="L128" i="3"/>
  <c r="N128" i="3" s="1"/>
  <c r="M128" i="3"/>
  <c r="U125" i="3"/>
  <c r="E126" i="52254"/>
  <c r="B128" i="52254"/>
  <c r="K125" i="52254" l="1"/>
  <c r="A130" i="52254"/>
  <c r="K130" i="3"/>
  <c r="L130" i="3" s="1"/>
  <c r="J126" i="3"/>
  <c r="V126" i="3"/>
  <c r="I127" i="3"/>
  <c r="I128" i="3"/>
  <c r="D127" i="52254"/>
  <c r="J28" i="52252"/>
  <c r="K28" i="52252" s="1"/>
  <c r="M28" i="52252" s="1"/>
  <c r="B130" i="3"/>
  <c r="C130" i="3" s="1"/>
  <c r="H126" i="52254"/>
  <c r="C128" i="52254"/>
  <c r="E128" i="52254" s="1"/>
  <c r="R128" i="52254"/>
  <c r="U126" i="3"/>
  <c r="S126" i="52254"/>
  <c r="S127" i="3"/>
  <c r="T127" i="3"/>
  <c r="S127" i="52254" s="1"/>
  <c r="O128" i="3"/>
  <c r="P128" i="3" s="1"/>
  <c r="Q128" i="3" s="1"/>
  <c r="R128" i="3" s="1"/>
  <c r="A131" i="3"/>
  <c r="A131" i="52254" s="1"/>
  <c r="C129" i="3"/>
  <c r="H127" i="3"/>
  <c r="M129" i="3"/>
  <c r="L129" i="3"/>
  <c r="H128" i="3"/>
  <c r="B129" i="52254"/>
  <c r="K126" i="52254" l="1"/>
  <c r="S128" i="3"/>
  <c r="N129" i="3"/>
  <c r="H127" i="52254"/>
  <c r="D128" i="52254"/>
  <c r="V127" i="3"/>
  <c r="O28" i="52252"/>
  <c r="C129" i="52254"/>
  <c r="E129" i="52254" s="1"/>
  <c r="R129" i="52254"/>
  <c r="J128" i="3"/>
  <c r="O129" i="3"/>
  <c r="J127" i="3"/>
  <c r="U127" i="3"/>
  <c r="B131" i="3"/>
  <c r="K131" i="3"/>
  <c r="A132" i="3"/>
  <c r="A132" i="52254" s="1"/>
  <c r="E130" i="3"/>
  <c r="G130" i="3" s="1"/>
  <c r="D130" i="3"/>
  <c r="F130" i="3" s="1"/>
  <c r="D129" i="3"/>
  <c r="F129" i="3" s="1"/>
  <c r="E129" i="3"/>
  <c r="G129" i="3" s="1"/>
  <c r="M130" i="3"/>
  <c r="N130" i="3"/>
  <c r="T128" i="3"/>
  <c r="B130" i="52254"/>
  <c r="K127" i="52254" l="1"/>
  <c r="P129" i="3"/>
  <c r="Q129" i="3" s="1"/>
  <c r="R129" i="3" s="1"/>
  <c r="I129" i="3"/>
  <c r="I130" i="3"/>
  <c r="H128" i="52254"/>
  <c r="D129" i="52254"/>
  <c r="C130" i="52254"/>
  <c r="E130" i="52254" s="1"/>
  <c r="R130" i="52254"/>
  <c r="V128" i="3"/>
  <c r="S128" i="52254"/>
  <c r="H130" i="3"/>
  <c r="O130" i="3"/>
  <c r="P130" i="3" s="1"/>
  <c r="K132" i="3"/>
  <c r="A133" i="3"/>
  <c r="A133" i="52254" s="1"/>
  <c r="C131" i="3"/>
  <c r="G29" i="52252"/>
  <c r="M131" i="3"/>
  <c r="L131" i="3"/>
  <c r="N131" i="3" s="1"/>
  <c r="H129" i="3"/>
  <c r="J129" i="3" s="1"/>
  <c r="B132" i="3"/>
  <c r="U128" i="3"/>
  <c r="K128" i="52254" s="1"/>
  <c r="B131" i="52254"/>
  <c r="R131" i="52254" s="1"/>
  <c r="S129" i="3" l="1"/>
  <c r="T129" i="3"/>
  <c r="U129" i="3" s="1"/>
  <c r="Q130" i="3"/>
  <c r="J130" i="3"/>
  <c r="H129" i="52254"/>
  <c r="D130" i="52254"/>
  <c r="C132" i="3"/>
  <c r="M132" i="3"/>
  <c r="L132" i="3"/>
  <c r="N132" i="3" s="1"/>
  <c r="O131" i="3"/>
  <c r="P131" i="3" s="1"/>
  <c r="Q131" i="3" s="1"/>
  <c r="R131" i="3" s="1"/>
  <c r="E131" i="3"/>
  <c r="G131" i="3" s="1"/>
  <c r="D131" i="3"/>
  <c r="F131" i="3" s="1"/>
  <c r="B133" i="3"/>
  <c r="A134" i="3"/>
  <c r="A134" i="52254" s="1"/>
  <c r="K133" i="3"/>
  <c r="C131" i="52254"/>
  <c r="D131" i="52254" s="1"/>
  <c r="G29" i="52256"/>
  <c r="B132" i="52254"/>
  <c r="R130" i="3" l="1"/>
  <c r="T131" i="3" s="1"/>
  <c r="S131" i="52254" s="1"/>
  <c r="S129" i="52254"/>
  <c r="V129" i="3"/>
  <c r="K129" i="52254" s="1"/>
  <c r="H130" i="52254"/>
  <c r="I131" i="3"/>
  <c r="B134" i="3"/>
  <c r="C134" i="3" s="1"/>
  <c r="C132" i="52254"/>
  <c r="E132" i="52254" s="1"/>
  <c r="R132" i="52254"/>
  <c r="E131" i="52254"/>
  <c r="H131" i="3"/>
  <c r="H29" i="52252"/>
  <c r="I29" i="52252" s="1"/>
  <c r="S131" i="3"/>
  <c r="K134" i="3"/>
  <c r="A135" i="3"/>
  <c r="A135" i="52254" s="1"/>
  <c r="O132" i="3"/>
  <c r="P132" i="3" s="1"/>
  <c r="Q132" i="3" s="1"/>
  <c r="R132" i="3" s="1"/>
  <c r="L133" i="3"/>
  <c r="N133" i="3" s="1"/>
  <c r="M133" i="3"/>
  <c r="C133" i="3"/>
  <c r="E132" i="3"/>
  <c r="G132" i="3" s="1"/>
  <c r="D132" i="3"/>
  <c r="F132" i="3" s="1"/>
  <c r="B133" i="52254"/>
  <c r="T130" i="3" l="1"/>
  <c r="U130" i="3" s="1"/>
  <c r="S130" i="3"/>
  <c r="S132" i="3"/>
  <c r="D132" i="52254"/>
  <c r="H131" i="52254"/>
  <c r="U131" i="3"/>
  <c r="J131" i="3"/>
  <c r="J29" i="52252"/>
  <c r="K29" i="52252" s="1"/>
  <c r="M29" i="52252" s="1"/>
  <c r="V131" i="3"/>
  <c r="C133" i="52254"/>
  <c r="E133" i="52254" s="1"/>
  <c r="R133" i="52254"/>
  <c r="I132" i="3"/>
  <c r="H132" i="3"/>
  <c r="D133" i="3"/>
  <c r="F133" i="3" s="1"/>
  <c r="E133" i="3"/>
  <c r="G133" i="3" s="1"/>
  <c r="B135" i="3"/>
  <c r="K135" i="3"/>
  <c r="A136" i="3"/>
  <c r="A136" i="52254" s="1"/>
  <c r="E134" i="3"/>
  <c r="G134" i="3" s="1"/>
  <c r="D134" i="3"/>
  <c r="F134" i="3" s="1"/>
  <c r="O133" i="3"/>
  <c r="P133" i="3" s="1"/>
  <c r="Q133" i="3" s="1"/>
  <c r="R133" i="3" s="1"/>
  <c r="M134" i="3"/>
  <c r="L134" i="3"/>
  <c r="N134" i="3" s="1"/>
  <c r="T132" i="3"/>
  <c r="B134" i="52254"/>
  <c r="K131" i="52254" l="1"/>
  <c r="H132" i="52254"/>
  <c r="S130" i="52254"/>
  <c r="V130" i="3"/>
  <c r="K130" i="52254" s="1"/>
  <c r="J132" i="3"/>
  <c r="D133" i="52254"/>
  <c r="O29" i="52252"/>
  <c r="B136" i="3"/>
  <c r="G30" i="52252" s="1"/>
  <c r="C134" i="52254"/>
  <c r="E134" i="52254" s="1"/>
  <c r="R134" i="52254"/>
  <c r="V132" i="3"/>
  <c r="S132" i="52254"/>
  <c r="I133" i="3"/>
  <c r="H133" i="3"/>
  <c r="S133" i="3"/>
  <c r="T133" i="3"/>
  <c r="K136" i="3"/>
  <c r="A137" i="3"/>
  <c r="C135" i="3"/>
  <c r="U132" i="3"/>
  <c r="H134" i="3"/>
  <c r="I134" i="3"/>
  <c r="O134" i="3"/>
  <c r="P134" i="3" s="1"/>
  <c r="Q134" i="3" s="1"/>
  <c r="R134" i="3" s="1"/>
  <c r="C136" i="3"/>
  <c r="M135" i="3"/>
  <c r="L135" i="3"/>
  <c r="N135" i="3" s="1"/>
  <c r="B135" i="52254"/>
  <c r="K132" i="52254" l="1"/>
  <c r="H133" i="52254"/>
  <c r="J133" i="3"/>
  <c r="D134" i="52254"/>
  <c r="C135" i="52254"/>
  <c r="D135" i="52254" s="1"/>
  <c r="R135" i="52254"/>
  <c r="U133" i="3"/>
  <c r="S133" i="52254"/>
  <c r="V133" i="3"/>
  <c r="B137" i="3"/>
  <c r="C137" i="3" s="1"/>
  <c r="A137" i="52254"/>
  <c r="S134" i="3"/>
  <c r="T134" i="3"/>
  <c r="U134" i="3" s="1"/>
  <c r="D135" i="3"/>
  <c r="F135" i="3" s="1"/>
  <c r="E135" i="3"/>
  <c r="G135" i="3" s="1"/>
  <c r="L136" i="3"/>
  <c r="M136" i="3"/>
  <c r="O135" i="3"/>
  <c r="P135" i="3" s="1"/>
  <c r="Q135" i="3" s="1"/>
  <c r="R135" i="3" s="1"/>
  <c r="D136" i="3"/>
  <c r="F136" i="3" s="1"/>
  <c r="E136" i="3"/>
  <c r="G136" i="3" s="1"/>
  <c r="J134" i="3"/>
  <c r="K137" i="3"/>
  <c r="A138" i="3"/>
  <c r="A138" i="52254" s="1"/>
  <c r="H134" i="52254"/>
  <c r="B136" i="52254"/>
  <c r="R136" i="52254" s="1"/>
  <c r="K133" i="52254" l="1"/>
  <c r="E135" i="52254"/>
  <c r="V134" i="3"/>
  <c r="K134" i="52254" s="1"/>
  <c r="S134" i="52254"/>
  <c r="H135" i="3"/>
  <c r="H136" i="3"/>
  <c r="S135" i="3"/>
  <c r="T135" i="3"/>
  <c r="S135" i="52254" s="1"/>
  <c r="L137" i="3"/>
  <c r="N137" i="3" s="1"/>
  <c r="M137" i="3"/>
  <c r="O136" i="3"/>
  <c r="I136" i="3"/>
  <c r="B138" i="3"/>
  <c r="A139" i="3"/>
  <c r="A139" i="52254" s="1"/>
  <c r="K138" i="3"/>
  <c r="N136" i="3"/>
  <c r="D137" i="3"/>
  <c r="F137" i="3" s="1"/>
  <c r="E137" i="3"/>
  <c r="G137" i="3" s="1"/>
  <c r="I135" i="3"/>
  <c r="C136" i="52254"/>
  <c r="D136" i="52254" s="1"/>
  <c r="G30" i="52256"/>
  <c r="B137" i="52254"/>
  <c r="J135" i="3" l="1"/>
  <c r="J30" i="52252"/>
  <c r="O30" i="52252" s="1"/>
  <c r="H135" i="52254"/>
  <c r="J136" i="3"/>
  <c r="V135" i="3"/>
  <c r="U135" i="3"/>
  <c r="I137" i="3"/>
  <c r="C137" i="52254"/>
  <c r="E137" i="52254" s="1"/>
  <c r="R137" i="52254"/>
  <c r="P136" i="3"/>
  <c r="Q136" i="3" s="1"/>
  <c r="H137" i="3"/>
  <c r="B139" i="3"/>
  <c r="K139" i="3"/>
  <c r="A140" i="3"/>
  <c r="A140" i="52254" s="1"/>
  <c r="M138" i="3"/>
  <c r="L138" i="3"/>
  <c r="N138" i="3" s="1"/>
  <c r="C138" i="3"/>
  <c r="O137" i="3"/>
  <c r="P137" i="3" s="1"/>
  <c r="Q137" i="3" s="1"/>
  <c r="R137" i="3" s="1"/>
  <c r="E136" i="52254"/>
  <c r="B138" i="52254"/>
  <c r="K135" i="52254" l="1"/>
  <c r="J137" i="3"/>
  <c r="R136" i="3"/>
  <c r="T136" i="3" s="1"/>
  <c r="V136" i="3" s="1"/>
  <c r="D137" i="52254"/>
  <c r="B140" i="3"/>
  <c r="C140" i="3" s="1"/>
  <c r="C138" i="52254"/>
  <c r="E138" i="52254" s="1"/>
  <c r="R138" i="52254"/>
  <c r="H136" i="52254"/>
  <c r="S137" i="3"/>
  <c r="M139" i="3"/>
  <c r="L139" i="3"/>
  <c r="N139" i="3" s="1"/>
  <c r="E138" i="3"/>
  <c r="G138" i="3" s="1"/>
  <c r="D138" i="3"/>
  <c r="F138" i="3" s="1"/>
  <c r="O138" i="3"/>
  <c r="P138" i="3" s="1"/>
  <c r="Q138" i="3" s="1"/>
  <c r="R138" i="3" s="1"/>
  <c r="K140" i="3"/>
  <c r="A141" i="3"/>
  <c r="A141" i="52254" s="1"/>
  <c r="C139" i="3"/>
  <c r="B139" i="52254"/>
  <c r="H137" i="52254" l="1"/>
  <c r="S136" i="3"/>
  <c r="H30" i="52252"/>
  <c r="I30" i="52252" s="1"/>
  <c r="K30" i="52252" s="1"/>
  <c r="M30" i="52252" s="1"/>
  <c r="T137" i="3"/>
  <c r="S137" i="52254" s="1"/>
  <c r="D138" i="52254"/>
  <c r="S136" i="52254"/>
  <c r="U136" i="3"/>
  <c r="K136" i="52254" s="1"/>
  <c r="C139" i="52254"/>
  <c r="E139" i="52254" s="1"/>
  <c r="R139" i="52254"/>
  <c r="H138" i="3"/>
  <c r="I138" i="3"/>
  <c r="S138" i="3"/>
  <c r="T138" i="3"/>
  <c r="S138" i="52254" s="1"/>
  <c r="D139" i="3"/>
  <c r="F139" i="3" s="1"/>
  <c r="E139" i="3"/>
  <c r="G139" i="3" s="1"/>
  <c r="M140" i="3"/>
  <c r="L140" i="3"/>
  <c r="N140" i="3" s="1"/>
  <c r="O139" i="3"/>
  <c r="P139" i="3" s="1"/>
  <c r="Q139" i="3" s="1"/>
  <c r="R139" i="3" s="1"/>
  <c r="B141" i="3"/>
  <c r="K141" i="3"/>
  <c r="A142" i="3"/>
  <c r="D140" i="3"/>
  <c r="F140" i="3" s="1"/>
  <c r="E140" i="3"/>
  <c r="G140" i="3" s="1"/>
  <c r="B140" i="52254"/>
  <c r="H138" i="52254" l="1"/>
  <c r="I140" i="3"/>
  <c r="J138" i="3"/>
  <c r="U137" i="3"/>
  <c r="V137" i="3"/>
  <c r="S139" i="3"/>
  <c r="D139" i="52254"/>
  <c r="I139" i="3"/>
  <c r="V138" i="3"/>
  <c r="U138" i="3"/>
  <c r="C140" i="52254"/>
  <c r="E140" i="52254" s="1"/>
  <c r="R140" i="52254"/>
  <c r="B142" i="3"/>
  <c r="C142" i="3" s="1"/>
  <c r="A142" i="52254"/>
  <c r="H139" i="3"/>
  <c r="L141" i="3"/>
  <c r="N141" i="3" s="1"/>
  <c r="M141" i="3"/>
  <c r="T139" i="3"/>
  <c r="K142" i="3"/>
  <c r="A143" i="3"/>
  <c r="A143" i="52254" s="1"/>
  <c r="G31" i="52252"/>
  <c r="C141" i="3"/>
  <c r="O140" i="3"/>
  <c r="P140" i="3" s="1"/>
  <c r="Q140" i="3" s="1"/>
  <c r="R140" i="3" s="1"/>
  <c r="H140" i="3"/>
  <c r="H139" i="52254"/>
  <c r="B141" i="52254"/>
  <c r="R141" i="52254" s="1"/>
  <c r="K138" i="52254" l="1"/>
  <c r="K137" i="52254"/>
  <c r="J139" i="3"/>
  <c r="D140" i="52254"/>
  <c r="V139" i="3"/>
  <c r="U139" i="3"/>
  <c r="S139" i="52254"/>
  <c r="S140" i="3"/>
  <c r="T140" i="3"/>
  <c r="U140" i="3" s="1"/>
  <c r="J140" i="3"/>
  <c r="B143" i="3"/>
  <c r="K143" i="3"/>
  <c r="A144" i="3"/>
  <c r="A144" i="52254" s="1"/>
  <c r="E141" i="3"/>
  <c r="G141" i="3" s="1"/>
  <c r="D141" i="3"/>
  <c r="F141" i="3" s="1"/>
  <c r="L142" i="3"/>
  <c r="M142" i="3"/>
  <c r="O141" i="3"/>
  <c r="P141" i="3" s="1"/>
  <c r="Q141" i="3" s="1"/>
  <c r="R141" i="3" s="1"/>
  <c r="E142" i="3"/>
  <c r="G142" i="3" s="1"/>
  <c r="D142" i="3"/>
  <c r="F142" i="3" s="1"/>
  <c r="C141" i="52254"/>
  <c r="E141" i="52254" s="1"/>
  <c r="G31" i="52256"/>
  <c r="H140" i="52254"/>
  <c r="B142" i="52254"/>
  <c r="K139" i="52254" l="1"/>
  <c r="D141" i="52254"/>
  <c r="I141" i="3"/>
  <c r="H141" i="3"/>
  <c r="H142" i="3"/>
  <c r="I142" i="3"/>
  <c r="C142" i="52254"/>
  <c r="E142" i="52254" s="1"/>
  <c r="R142" i="52254"/>
  <c r="B144" i="3"/>
  <c r="C144" i="3" s="1"/>
  <c r="V140" i="3"/>
  <c r="K140" i="52254" s="1"/>
  <c r="S140" i="52254"/>
  <c r="S141" i="3"/>
  <c r="H31" i="52252"/>
  <c r="I31" i="52252" s="1"/>
  <c r="T141" i="3"/>
  <c r="S141" i="52254" s="1"/>
  <c r="N142" i="3"/>
  <c r="K144" i="3"/>
  <c r="A145" i="3"/>
  <c r="A145" i="52254" s="1"/>
  <c r="C143" i="3"/>
  <c r="O142" i="3"/>
  <c r="M143" i="3"/>
  <c r="L143" i="3"/>
  <c r="N143" i="3" s="1"/>
  <c r="H141" i="52254"/>
  <c r="B143" i="52254"/>
  <c r="J31" i="52252" l="1"/>
  <c r="K31" i="52252" s="1"/>
  <c r="M31" i="52252" s="1"/>
  <c r="J141" i="3"/>
  <c r="J142" i="3"/>
  <c r="D142" i="52254"/>
  <c r="H142" i="52254"/>
  <c r="V141" i="3"/>
  <c r="U141" i="3"/>
  <c r="C143" i="52254"/>
  <c r="D143" i="52254" s="1"/>
  <c r="R143" i="52254"/>
  <c r="B145" i="3"/>
  <c r="C145" i="3" s="1"/>
  <c r="O143" i="3"/>
  <c r="P143" i="3" s="1"/>
  <c r="Q143" i="3" s="1"/>
  <c r="R143" i="3" s="1"/>
  <c r="A146" i="3"/>
  <c r="A146" i="52254" s="1"/>
  <c r="K145" i="3"/>
  <c r="E144" i="3"/>
  <c r="G144" i="3" s="1"/>
  <c r="D144" i="3"/>
  <c r="F144" i="3" s="1"/>
  <c r="E143" i="3"/>
  <c r="G143" i="3" s="1"/>
  <c r="D143" i="3"/>
  <c r="F143" i="3" s="1"/>
  <c r="M144" i="3"/>
  <c r="L144" i="3"/>
  <c r="P142" i="3"/>
  <c r="Q142" i="3" s="1"/>
  <c r="R142" i="3" s="1"/>
  <c r="B144" i="52254"/>
  <c r="K141" i="52254" l="1"/>
  <c r="I143" i="3"/>
  <c r="O31" i="52252"/>
  <c r="S143" i="3"/>
  <c r="E143" i="52254"/>
  <c r="H143" i="3"/>
  <c r="I144" i="3"/>
  <c r="B146" i="3"/>
  <c r="G32" i="52252" s="1"/>
  <c r="H144" i="3"/>
  <c r="C144" i="52254"/>
  <c r="D144" i="52254" s="1"/>
  <c r="R144" i="52254"/>
  <c r="S142" i="3"/>
  <c r="T142" i="3"/>
  <c r="S142" i="52254" s="1"/>
  <c r="T143" i="3"/>
  <c r="S143" i="52254" s="1"/>
  <c r="O144" i="3"/>
  <c r="M145" i="3"/>
  <c r="L145" i="3"/>
  <c r="N145" i="3" s="1"/>
  <c r="N144" i="3"/>
  <c r="E145" i="3"/>
  <c r="G145" i="3" s="1"/>
  <c r="D145" i="3"/>
  <c r="F145" i="3" s="1"/>
  <c r="K146" i="3"/>
  <c r="A147" i="3"/>
  <c r="B145" i="52254"/>
  <c r="J143" i="3" l="1"/>
  <c r="J144" i="3"/>
  <c r="C146" i="3"/>
  <c r="E146" i="3" s="1"/>
  <c r="G146" i="3" s="1"/>
  <c r="H143" i="52254"/>
  <c r="E144" i="52254"/>
  <c r="P144" i="3"/>
  <c r="Q144" i="3" s="1"/>
  <c r="R144" i="3" s="1"/>
  <c r="U143" i="3"/>
  <c r="H145" i="3"/>
  <c r="I145" i="3"/>
  <c r="C145" i="52254"/>
  <c r="D145" i="52254" s="1"/>
  <c r="R145" i="52254"/>
  <c r="V143" i="3"/>
  <c r="B147" i="3"/>
  <c r="C147" i="3" s="1"/>
  <c r="A147" i="52254"/>
  <c r="D146" i="3"/>
  <c r="F146" i="3" s="1"/>
  <c r="L146" i="3"/>
  <c r="N146" i="3" s="1"/>
  <c r="M146" i="3"/>
  <c r="K147" i="3"/>
  <c r="A148" i="3"/>
  <c r="A148" i="52254" s="1"/>
  <c r="O145" i="3"/>
  <c r="P145" i="3" s="1"/>
  <c r="Q145" i="3" s="1"/>
  <c r="R145" i="3" s="1"/>
  <c r="U142" i="3"/>
  <c r="V142" i="3"/>
  <c r="B146" i="52254"/>
  <c r="R146" i="52254" s="1"/>
  <c r="K143" i="52254" l="1"/>
  <c r="K142" i="52254"/>
  <c r="S145" i="3"/>
  <c r="J145" i="3"/>
  <c r="H144" i="52254"/>
  <c r="E145" i="52254"/>
  <c r="I146" i="3"/>
  <c r="T145" i="3"/>
  <c r="S145" i="52254" s="1"/>
  <c r="L147" i="3"/>
  <c r="N147" i="3" s="1"/>
  <c r="M147" i="3"/>
  <c r="B148" i="3"/>
  <c r="A149" i="3"/>
  <c r="A149" i="52254" s="1"/>
  <c r="K148" i="3"/>
  <c r="O146" i="3"/>
  <c r="P146" i="3" s="1"/>
  <c r="Q146" i="3" s="1"/>
  <c r="R146" i="3" s="1"/>
  <c r="H146" i="3"/>
  <c r="S144" i="3"/>
  <c r="T144" i="3"/>
  <c r="S144" i="52254" s="1"/>
  <c r="D147" i="3"/>
  <c r="F147" i="3" s="1"/>
  <c r="E147" i="3"/>
  <c r="G147" i="3" s="1"/>
  <c r="C146" i="52254"/>
  <c r="D146" i="52254" s="1"/>
  <c r="G32" i="52256"/>
  <c r="B147" i="52254"/>
  <c r="H145" i="52254" l="1"/>
  <c r="I147" i="3"/>
  <c r="C147" i="52254"/>
  <c r="E147" i="52254" s="1"/>
  <c r="R147" i="52254"/>
  <c r="E146" i="52254"/>
  <c r="H147" i="3"/>
  <c r="J147" i="3" s="1"/>
  <c r="H32" i="52252"/>
  <c r="I32" i="52252" s="1"/>
  <c r="S146" i="3"/>
  <c r="V144" i="3"/>
  <c r="U144" i="3"/>
  <c r="J146" i="3"/>
  <c r="J32" i="52252"/>
  <c r="B149" i="3"/>
  <c r="A150" i="3"/>
  <c r="A150" i="52254" s="1"/>
  <c r="K149" i="3"/>
  <c r="O147" i="3"/>
  <c r="P147" i="3" s="1"/>
  <c r="Q147" i="3" s="1"/>
  <c r="V145" i="3"/>
  <c r="U145" i="3"/>
  <c r="M148" i="3"/>
  <c r="L148" i="3"/>
  <c r="N148" i="3" s="1"/>
  <c r="C148" i="3"/>
  <c r="T146" i="3"/>
  <c r="B148" i="52254"/>
  <c r="K145" i="52254" l="1"/>
  <c r="K144" i="52254"/>
  <c r="R147" i="3"/>
  <c r="S147" i="3" s="1"/>
  <c r="D147" i="52254"/>
  <c r="H146" i="52254"/>
  <c r="C148" i="52254"/>
  <c r="D148" i="52254" s="1"/>
  <c r="R148" i="52254"/>
  <c r="V146" i="3"/>
  <c r="S146" i="52254"/>
  <c r="D148" i="3"/>
  <c r="F148" i="3" s="1"/>
  <c r="E148" i="3"/>
  <c r="G148" i="3" s="1"/>
  <c r="I148" i="3" s="1"/>
  <c r="B150" i="3"/>
  <c r="A151" i="3"/>
  <c r="A151" i="52254" s="1"/>
  <c r="K150" i="3"/>
  <c r="U146" i="3"/>
  <c r="O148" i="3"/>
  <c r="P148" i="3" s="1"/>
  <c r="Q148" i="3" s="1"/>
  <c r="R148" i="3" s="1"/>
  <c r="L149" i="3"/>
  <c r="N149" i="3" s="1"/>
  <c r="M149" i="3"/>
  <c r="C149" i="3"/>
  <c r="O32" i="52252"/>
  <c r="K32" i="52252"/>
  <c r="M32" i="52252" s="1"/>
  <c r="H147" i="52254"/>
  <c r="B149" i="52254"/>
  <c r="K146" i="52254" l="1"/>
  <c r="T147" i="3"/>
  <c r="S147" i="52254" s="1"/>
  <c r="E148" i="52254"/>
  <c r="C149" i="52254"/>
  <c r="D149" i="52254" s="1"/>
  <c r="R149" i="52254"/>
  <c r="H148" i="3"/>
  <c r="J148" i="3" s="1"/>
  <c r="S148" i="3"/>
  <c r="T148" i="3"/>
  <c r="S148" i="52254" s="1"/>
  <c r="O149" i="3"/>
  <c r="P149" i="3" s="1"/>
  <c r="Q149" i="3" s="1"/>
  <c r="R149" i="3" s="1"/>
  <c r="M150" i="3"/>
  <c r="L150" i="3"/>
  <c r="N150" i="3" s="1"/>
  <c r="C150" i="3"/>
  <c r="E149" i="3"/>
  <c r="G149" i="3" s="1"/>
  <c r="D149" i="3"/>
  <c r="F149" i="3" s="1"/>
  <c r="B151" i="3"/>
  <c r="K151" i="3"/>
  <c r="A152" i="3"/>
  <c r="A152" i="52254" s="1"/>
  <c r="B150" i="52254"/>
  <c r="V147" i="3" l="1"/>
  <c r="U147" i="3"/>
  <c r="S149" i="3"/>
  <c r="H148" i="52254"/>
  <c r="E149" i="52254"/>
  <c r="V148" i="3"/>
  <c r="U148" i="3"/>
  <c r="I149" i="3"/>
  <c r="H149" i="3"/>
  <c r="C150" i="52254"/>
  <c r="E150" i="52254" s="1"/>
  <c r="R150" i="52254"/>
  <c r="L151" i="3"/>
  <c r="N151" i="3" s="1"/>
  <c r="M151" i="3"/>
  <c r="O150" i="3"/>
  <c r="P150" i="3" s="1"/>
  <c r="Q150" i="3" s="1"/>
  <c r="R150" i="3" s="1"/>
  <c r="B152" i="3"/>
  <c r="K152" i="3"/>
  <c r="A153" i="3"/>
  <c r="A153" i="52254" s="1"/>
  <c r="B151" i="52254"/>
  <c r="R151" i="52254" s="1"/>
  <c r="C151" i="3"/>
  <c r="G33" i="52252"/>
  <c r="E150" i="3"/>
  <c r="G150" i="3" s="1"/>
  <c r="D150" i="3"/>
  <c r="F150" i="3" s="1"/>
  <c r="T149" i="3"/>
  <c r="K147" i="52254" l="1"/>
  <c r="K148" i="52254"/>
  <c r="S150" i="3"/>
  <c r="J149" i="3"/>
  <c r="H149" i="52254"/>
  <c r="D150" i="52254"/>
  <c r="H150" i="3"/>
  <c r="I150" i="3"/>
  <c r="U149" i="3"/>
  <c r="S149" i="52254"/>
  <c r="V149" i="3"/>
  <c r="M152" i="3"/>
  <c r="L152" i="3"/>
  <c r="N152" i="3" s="1"/>
  <c r="D151" i="3"/>
  <c r="F151" i="3" s="1"/>
  <c r="E151" i="3"/>
  <c r="G151" i="3" s="1"/>
  <c r="B153" i="3"/>
  <c r="A154" i="3"/>
  <c r="A154" i="52254" s="1"/>
  <c r="K153" i="3"/>
  <c r="B152" i="52254"/>
  <c r="C152" i="3"/>
  <c r="O151" i="3"/>
  <c r="P151" i="3" s="1"/>
  <c r="Q151" i="3" s="1"/>
  <c r="R151" i="3" s="1"/>
  <c r="T150" i="3"/>
  <c r="C151" i="52254"/>
  <c r="D151" i="52254" s="1"/>
  <c r="G33" i="52256"/>
  <c r="H150" i="52254"/>
  <c r="K149" i="52254" l="1"/>
  <c r="J150" i="3"/>
  <c r="B154" i="3"/>
  <c r="C154" i="3" s="1"/>
  <c r="I151" i="3"/>
  <c r="C152" i="52254"/>
  <c r="E152" i="52254" s="1"/>
  <c r="R152" i="52254"/>
  <c r="U150" i="3"/>
  <c r="S150" i="52254"/>
  <c r="H151" i="3"/>
  <c r="S151" i="3"/>
  <c r="H33" i="52252"/>
  <c r="I33" i="52252" s="1"/>
  <c r="T151" i="3"/>
  <c r="S151" i="52254" s="1"/>
  <c r="M153" i="3"/>
  <c r="L153" i="3"/>
  <c r="N153" i="3" s="1"/>
  <c r="C153" i="3"/>
  <c r="O152" i="3"/>
  <c r="P152" i="3" s="1"/>
  <c r="Q152" i="3" s="1"/>
  <c r="V150" i="3"/>
  <c r="E152" i="3"/>
  <c r="G152" i="3" s="1"/>
  <c r="D152" i="3"/>
  <c r="F152" i="3" s="1"/>
  <c r="A155" i="3"/>
  <c r="A155" i="52254" s="1"/>
  <c r="K154" i="3"/>
  <c r="E151" i="52254"/>
  <c r="B153" i="52254"/>
  <c r="D152" i="52254"/>
  <c r="K150" i="52254" l="1"/>
  <c r="R152" i="3"/>
  <c r="S152" i="3" s="1"/>
  <c r="J151" i="3"/>
  <c r="J33" i="52252"/>
  <c r="O33" i="52252" s="1"/>
  <c r="V151" i="3"/>
  <c r="H151" i="52254"/>
  <c r="H152" i="3"/>
  <c r="I152" i="3"/>
  <c r="U151" i="3"/>
  <c r="C153" i="52254"/>
  <c r="D153" i="52254" s="1"/>
  <c r="R153" i="52254"/>
  <c r="B155" i="3"/>
  <c r="K155" i="3"/>
  <c r="A156" i="3"/>
  <c r="A156" i="52254" s="1"/>
  <c r="D154" i="3"/>
  <c r="F154" i="3" s="1"/>
  <c r="E154" i="3"/>
  <c r="G154" i="3" s="1"/>
  <c r="L154" i="3"/>
  <c r="M154" i="3"/>
  <c r="D153" i="3"/>
  <c r="F153" i="3" s="1"/>
  <c r="E153" i="3"/>
  <c r="G153" i="3" s="1"/>
  <c r="O153" i="3"/>
  <c r="P153" i="3" s="1"/>
  <c r="Q153" i="3" s="1"/>
  <c r="R153" i="3" s="1"/>
  <c r="H152" i="52254"/>
  <c r="B154" i="52254"/>
  <c r="K151" i="52254" l="1"/>
  <c r="T152" i="3"/>
  <c r="U152" i="3" s="1"/>
  <c r="J152" i="3"/>
  <c r="K33" i="52252"/>
  <c r="M33" i="52252" s="1"/>
  <c r="I154" i="3"/>
  <c r="E153" i="52254"/>
  <c r="I153" i="3"/>
  <c r="B156" i="3"/>
  <c r="G34" i="52252" s="1"/>
  <c r="C154" i="52254"/>
  <c r="E154" i="52254" s="1"/>
  <c r="R154" i="52254"/>
  <c r="H153" i="3"/>
  <c r="S153" i="3"/>
  <c r="T153" i="3"/>
  <c r="O154" i="3"/>
  <c r="K156" i="3"/>
  <c r="A157" i="3"/>
  <c r="A157" i="52254" s="1"/>
  <c r="C155" i="3"/>
  <c r="H154" i="3"/>
  <c r="N154" i="3"/>
  <c r="M155" i="3"/>
  <c r="L155" i="3"/>
  <c r="N155" i="3" s="1"/>
  <c r="B155" i="52254"/>
  <c r="S152" i="52254" l="1"/>
  <c r="V152" i="3"/>
  <c r="K152" i="52254" s="1"/>
  <c r="J153" i="3"/>
  <c r="H153" i="52254"/>
  <c r="C156" i="3"/>
  <c r="D156" i="3" s="1"/>
  <c r="F156" i="3" s="1"/>
  <c r="P154" i="3"/>
  <c r="Q154" i="3" s="1"/>
  <c r="D154" i="52254"/>
  <c r="U153" i="3"/>
  <c r="C155" i="52254"/>
  <c r="D155" i="52254" s="1"/>
  <c r="R155" i="52254"/>
  <c r="V153" i="3"/>
  <c r="S153" i="52254"/>
  <c r="E156" i="3"/>
  <c r="G156" i="3" s="1"/>
  <c r="K157" i="3"/>
  <c r="A158" i="3"/>
  <c r="A158" i="52254" s="1"/>
  <c r="B157" i="3"/>
  <c r="O155" i="3"/>
  <c r="P155" i="3" s="1"/>
  <c r="Q155" i="3" s="1"/>
  <c r="R155" i="3" s="1"/>
  <c r="J154" i="3"/>
  <c r="D155" i="3"/>
  <c r="F155" i="3" s="1"/>
  <c r="E155" i="3"/>
  <c r="G155" i="3" s="1"/>
  <c r="I155" i="3" s="1"/>
  <c r="L156" i="3"/>
  <c r="N156" i="3" s="1"/>
  <c r="M156" i="3"/>
  <c r="B156" i="52254"/>
  <c r="R156" i="52254" s="1"/>
  <c r="K153" i="52254" l="1"/>
  <c r="R154" i="3"/>
  <c r="S154" i="3" s="1"/>
  <c r="E155" i="52254"/>
  <c r="H156" i="3"/>
  <c r="H154" i="52254"/>
  <c r="I156" i="3"/>
  <c r="B158" i="3"/>
  <c r="C158" i="3" s="1"/>
  <c r="S155" i="3"/>
  <c r="O156" i="3"/>
  <c r="P156" i="3" s="1"/>
  <c r="Q156" i="3" s="1"/>
  <c r="R156" i="3" s="1"/>
  <c r="A159" i="3"/>
  <c r="A159" i="52254" s="1"/>
  <c r="K158" i="3"/>
  <c r="H155" i="3"/>
  <c r="C157" i="3"/>
  <c r="M157" i="3"/>
  <c r="L157" i="3"/>
  <c r="N157" i="3" s="1"/>
  <c r="C156" i="52254"/>
  <c r="E156" i="52254" s="1"/>
  <c r="G34" i="52256"/>
  <c r="B157" i="52254"/>
  <c r="T155" i="3" l="1"/>
  <c r="U155" i="3" s="1"/>
  <c r="T154" i="3"/>
  <c r="V154" i="3" s="1"/>
  <c r="J34" i="52252"/>
  <c r="O34" i="52252" s="1"/>
  <c r="J156" i="3"/>
  <c r="H155" i="52254"/>
  <c r="C157" i="52254"/>
  <c r="E157" i="52254" s="1"/>
  <c r="R157" i="52254"/>
  <c r="H34" i="52252"/>
  <c r="I34" i="52252" s="1"/>
  <c r="S156" i="3"/>
  <c r="T156" i="3"/>
  <c r="S156" i="52254" s="1"/>
  <c r="E158" i="3"/>
  <c r="G158" i="3" s="1"/>
  <c r="I158" i="3" s="1"/>
  <c r="D158" i="3"/>
  <c r="F158" i="3" s="1"/>
  <c r="D157" i="3"/>
  <c r="F157" i="3" s="1"/>
  <c r="E157" i="3"/>
  <c r="G157" i="3" s="1"/>
  <c r="J155" i="3"/>
  <c r="M158" i="3"/>
  <c r="L158" i="3"/>
  <c r="N158" i="3" s="1"/>
  <c r="A160" i="3"/>
  <c r="A160" i="52254" s="1"/>
  <c r="K159" i="3"/>
  <c r="O157" i="3"/>
  <c r="P157" i="3" s="1"/>
  <c r="Q157" i="3" s="1"/>
  <c r="R157" i="3" s="1"/>
  <c r="B159" i="3"/>
  <c r="D156" i="52254"/>
  <c r="H156" i="52254"/>
  <c r="B158" i="52254"/>
  <c r="U154" i="3" l="1"/>
  <c r="K154" i="52254" s="1"/>
  <c r="V155" i="3"/>
  <c r="K155" i="52254" s="1"/>
  <c r="S155" i="52254"/>
  <c r="S154" i="52254"/>
  <c r="S157" i="3"/>
  <c r="H158" i="3"/>
  <c r="J158" i="3" s="1"/>
  <c r="D157" i="52254"/>
  <c r="I157" i="3"/>
  <c r="C158" i="52254"/>
  <c r="E158" i="52254" s="1"/>
  <c r="R158" i="52254"/>
  <c r="C159" i="3"/>
  <c r="M159" i="3"/>
  <c r="L159" i="3"/>
  <c r="V156" i="3"/>
  <c r="U156" i="3"/>
  <c r="K34" i="52252"/>
  <c r="M34" i="52252" s="1"/>
  <c r="T157" i="3"/>
  <c r="S157" i="52254" s="1"/>
  <c r="H157" i="3"/>
  <c r="B160" i="3"/>
  <c r="K160" i="3"/>
  <c r="A161" i="3"/>
  <c r="A161" i="52254" s="1"/>
  <c r="O158" i="3"/>
  <c r="P158" i="3" s="1"/>
  <c r="Q158" i="3" s="1"/>
  <c r="R158" i="3" s="1"/>
  <c r="H157" i="52254"/>
  <c r="B159" i="52254"/>
  <c r="K156" i="52254" l="1"/>
  <c r="D158" i="52254"/>
  <c r="C159" i="52254"/>
  <c r="E159" i="52254" s="1"/>
  <c r="R159" i="52254"/>
  <c r="V157" i="3"/>
  <c r="S158" i="3"/>
  <c r="T158" i="3"/>
  <c r="S158" i="52254" s="1"/>
  <c r="M160" i="3"/>
  <c r="L160" i="3"/>
  <c r="N160" i="3" s="1"/>
  <c r="J157" i="3"/>
  <c r="U157" i="3"/>
  <c r="O159" i="3"/>
  <c r="B161" i="3"/>
  <c r="A162" i="3"/>
  <c r="A162" i="52254" s="1"/>
  <c r="K161" i="3"/>
  <c r="B160" i="52254"/>
  <c r="C160" i="3"/>
  <c r="N159" i="3"/>
  <c r="E159" i="3"/>
  <c r="G159" i="3" s="1"/>
  <c r="D159" i="3"/>
  <c r="F159" i="3" s="1"/>
  <c r="H158" i="52254"/>
  <c r="D159" i="52254"/>
  <c r="K157" i="52254" l="1"/>
  <c r="I159" i="3"/>
  <c r="B162" i="3"/>
  <c r="C162" i="3" s="1"/>
  <c r="P159" i="3"/>
  <c r="Q159" i="3" s="1"/>
  <c r="R159" i="3" s="1"/>
  <c r="C160" i="52254"/>
  <c r="E160" i="52254" s="1"/>
  <c r="R160" i="52254"/>
  <c r="M161" i="3"/>
  <c r="L161" i="3"/>
  <c r="C161" i="3"/>
  <c r="G35" i="52252"/>
  <c r="O160" i="3"/>
  <c r="P160" i="3" s="1"/>
  <c r="Q160" i="3" s="1"/>
  <c r="R160" i="3" s="1"/>
  <c r="E160" i="3"/>
  <c r="G160" i="3" s="1"/>
  <c r="D160" i="3"/>
  <c r="F160" i="3" s="1"/>
  <c r="K162" i="3"/>
  <c r="A163" i="3"/>
  <c r="A163" i="52254" s="1"/>
  <c r="U158" i="3"/>
  <c r="V158" i="3"/>
  <c r="H159" i="3"/>
  <c r="H159" i="52254"/>
  <c r="B161" i="52254"/>
  <c r="R161" i="52254" s="1"/>
  <c r="K158" i="52254" l="1"/>
  <c r="S160" i="3"/>
  <c r="D160" i="52254"/>
  <c r="H160" i="3"/>
  <c r="I160" i="3"/>
  <c r="S159" i="3"/>
  <c r="T159" i="3"/>
  <c r="U159" i="3" s="1"/>
  <c r="B163" i="3"/>
  <c r="A164" i="3"/>
  <c r="A164" i="52254" s="1"/>
  <c r="K163" i="3"/>
  <c r="E161" i="3"/>
  <c r="G161" i="3" s="1"/>
  <c r="I161" i="3" s="1"/>
  <c r="D161" i="3"/>
  <c r="F161" i="3" s="1"/>
  <c r="N161" i="3"/>
  <c r="J159" i="3"/>
  <c r="M162" i="3"/>
  <c r="L162" i="3"/>
  <c r="N162" i="3" s="1"/>
  <c r="D162" i="3"/>
  <c r="F162" i="3" s="1"/>
  <c r="E162" i="3"/>
  <c r="G162" i="3" s="1"/>
  <c r="O161" i="3"/>
  <c r="T160" i="3"/>
  <c r="C161" i="52254"/>
  <c r="D161" i="52254" s="1"/>
  <c r="G35" i="52256"/>
  <c r="B162" i="52254"/>
  <c r="H160" i="52254"/>
  <c r="J160" i="3" l="1"/>
  <c r="I162" i="3"/>
  <c r="H161" i="3"/>
  <c r="J161" i="3" s="1"/>
  <c r="B164" i="3"/>
  <c r="C164" i="3" s="1"/>
  <c r="C162" i="52254"/>
  <c r="D162" i="52254" s="1"/>
  <c r="R162" i="52254"/>
  <c r="V160" i="3"/>
  <c r="S160" i="52254"/>
  <c r="V159" i="3"/>
  <c r="K159" i="52254" s="1"/>
  <c r="S159" i="52254"/>
  <c r="L163" i="3"/>
  <c r="N163" i="3" s="1"/>
  <c r="M163" i="3"/>
  <c r="C163" i="3"/>
  <c r="O162" i="3"/>
  <c r="P162" i="3" s="1"/>
  <c r="Q162" i="3" s="1"/>
  <c r="R162" i="3" s="1"/>
  <c r="A165" i="3"/>
  <c r="A165" i="52254" s="1"/>
  <c r="K164" i="3"/>
  <c r="H162" i="3"/>
  <c r="P161" i="3"/>
  <c r="Q161" i="3" s="1"/>
  <c r="R161" i="3" s="1"/>
  <c r="U160" i="3"/>
  <c r="E161" i="52254"/>
  <c r="B163" i="52254"/>
  <c r="K160" i="52254" l="1"/>
  <c r="S162" i="3"/>
  <c r="J35" i="52252"/>
  <c r="O35" i="52252" s="1"/>
  <c r="E162" i="52254"/>
  <c r="C163" i="52254"/>
  <c r="D163" i="52254" s="1"/>
  <c r="R163" i="52254"/>
  <c r="J162" i="3"/>
  <c r="B165" i="3"/>
  <c r="K165" i="3"/>
  <c r="A166" i="3"/>
  <c r="A166" i="52254" s="1"/>
  <c r="E164" i="3"/>
  <c r="G164" i="3" s="1"/>
  <c r="D164" i="3"/>
  <c r="F164" i="3" s="1"/>
  <c r="O163" i="3"/>
  <c r="P163" i="3" s="1"/>
  <c r="Q163" i="3" s="1"/>
  <c r="R163" i="3" s="1"/>
  <c r="H35" i="52252"/>
  <c r="I35" i="52252" s="1"/>
  <c r="S161" i="3"/>
  <c r="T161" i="3"/>
  <c r="S161" i="52254" s="1"/>
  <c r="L164" i="3"/>
  <c r="N164" i="3" s="1"/>
  <c r="M164" i="3"/>
  <c r="E163" i="3"/>
  <c r="G163" i="3" s="1"/>
  <c r="I163" i="3" s="1"/>
  <c r="D163" i="3"/>
  <c r="F163" i="3" s="1"/>
  <c r="T162" i="3"/>
  <c r="H161" i="52254"/>
  <c r="B164" i="52254"/>
  <c r="S163" i="3" l="1"/>
  <c r="K35" i="52252"/>
  <c r="M35" i="52252" s="1"/>
  <c r="H162" i="52254"/>
  <c r="H164" i="3"/>
  <c r="E163" i="52254"/>
  <c r="I164" i="3"/>
  <c r="H163" i="3"/>
  <c r="J163" i="3" s="1"/>
  <c r="C164" i="52254"/>
  <c r="D164" i="52254" s="1"/>
  <c r="R164" i="52254"/>
  <c r="V162" i="3"/>
  <c r="S162" i="52254"/>
  <c r="O164" i="3"/>
  <c r="P164" i="3" s="1"/>
  <c r="Q164" i="3" s="1"/>
  <c r="R164" i="3" s="1"/>
  <c r="V161" i="3"/>
  <c r="U161" i="3"/>
  <c r="B166" i="3"/>
  <c r="K166" i="3"/>
  <c r="A167" i="3"/>
  <c r="A167" i="52254" s="1"/>
  <c r="C165" i="3"/>
  <c r="B165" i="52254"/>
  <c r="L165" i="3"/>
  <c r="N165" i="3" s="1"/>
  <c r="M165" i="3"/>
  <c r="T163" i="3"/>
  <c r="U162" i="3"/>
  <c r="K161" i="52254" l="1"/>
  <c r="K162" i="52254"/>
  <c r="J164" i="3"/>
  <c r="S164" i="3"/>
  <c r="H163" i="52254"/>
  <c r="E164" i="52254"/>
  <c r="B167" i="3"/>
  <c r="C167" i="3" s="1"/>
  <c r="C165" i="52254"/>
  <c r="D165" i="52254" s="1"/>
  <c r="R165" i="52254"/>
  <c r="V163" i="3"/>
  <c r="S163" i="52254"/>
  <c r="U163" i="3"/>
  <c r="D165" i="3"/>
  <c r="F165" i="3" s="1"/>
  <c r="E165" i="3"/>
  <c r="G165" i="3" s="1"/>
  <c r="I165" i="3" s="1"/>
  <c r="K167" i="3"/>
  <c r="A168" i="3"/>
  <c r="A168" i="52254" s="1"/>
  <c r="B166" i="52254"/>
  <c r="R166" i="52254" s="1"/>
  <c r="C166" i="3"/>
  <c r="G36" i="52252"/>
  <c r="O165" i="3"/>
  <c r="P165" i="3" s="1"/>
  <c r="Q165" i="3" s="1"/>
  <c r="R165" i="3" s="1"/>
  <c r="M166" i="3"/>
  <c r="L166" i="3"/>
  <c r="N166" i="3" s="1"/>
  <c r="T164" i="3"/>
  <c r="S164" i="52254" s="1"/>
  <c r="K163" i="52254" l="1"/>
  <c r="H164" i="52254"/>
  <c r="E165" i="52254"/>
  <c r="H165" i="3"/>
  <c r="S165" i="3"/>
  <c r="T165" i="3"/>
  <c r="S165" i="52254" s="1"/>
  <c r="V164" i="3"/>
  <c r="U164" i="3"/>
  <c r="O166" i="3"/>
  <c r="P166" i="3" s="1"/>
  <c r="Q166" i="3" s="1"/>
  <c r="R166" i="3" s="1"/>
  <c r="A169" i="3"/>
  <c r="A169" i="52254" s="1"/>
  <c r="K168" i="3"/>
  <c r="D167" i="3"/>
  <c r="F167" i="3" s="1"/>
  <c r="E167" i="3"/>
  <c r="G167" i="3" s="1"/>
  <c r="E166" i="3"/>
  <c r="G166" i="3" s="1"/>
  <c r="D166" i="3"/>
  <c r="F166" i="3" s="1"/>
  <c r="M167" i="3"/>
  <c r="L167" i="3"/>
  <c r="N167" i="3" s="1"/>
  <c r="B168" i="3"/>
  <c r="C166" i="52254"/>
  <c r="E166" i="52254" s="1"/>
  <c r="G36" i="52256"/>
  <c r="B167" i="52254"/>
  <c r="K164" i="52254" l="1"/>
  <c r="V165" i="3"/>
  <c r="H165" i="52254"/>
  <c r="B169" i="3"/>
  <c r="C169" i="3" s="1"/>
  <c r="U165" i="3"/>
  <c r="I167" i="3"/>
  <c r="I166" i="3"/>
  <c r="J165" i="3"/>
  <c r="D166" i="52254"/>
  <c r="C167" i="52254"/>
  <c r="D167" i="52254" s="1"/>
  <c r="R167" i="52254"/>
  <c r="H166" i="3"/>
  <c r="C168" i="3"/>
  <c r="K169" i="3"/>
  <c r="A170" i="3"/>
  <c r="A170" i="52254" s="1"/>
  <c r="H36" i="52252"/>
  <c r="I36" i="52252" s="1"/>
  <c r="S166" i="3"/>
  <c r="O167" i="3"/>
  <c r="P167" i="3" s="1"/>
  <c r="Q167" i="3" s="1"/>
  <c r="R167" i="3" s="1"/>
  <c r="M168" i="3"/>
  <c r="L168" i="3"/>
  <c r="N168" i="3" s="1"/>
  <c r="H167" i="3"/>
  <c r="T166" i="3"/>
  <c r="H166" i="52254"/>
  <c r="B168" i="52254"/>
  <c r="K165" i="52254" l="1"/>
  <c r="J166" i="3"/>
  <c r="E167" i="52254"/>
  <c r="J36" i="52252"/>
  <c r="K36" i="52252" s="1"/>
  <c r="M36" i="52252" s="1"/>
  <c r="B170" i="3"/>
  <c r="C170" i="3" s="1"/>
  <c r="C168" i="52254"/>
  <c r="E168" i="52254" s="1"/>
  <c r="R168" i="52254"/>
  <c r="V166" i="3"/>
  <c r="S166" i="52254"/>
  <c r="S167" i="3"/>
  <c r="T167" i="3"/>
  <c r="A171" i="3"/>
  <c r="A171" i="52254" s="1"/>
  <c r="K170" i="3"/>
  <c r="D168" i="3"/>
  <c r="F168" i="3" s="1"/>
  <c r="E168" i="3"/>
  <c r="G168" i="3" s="1"/>
  <c r="I168" i="3" s="1"/>
  <c r="U166" i="3"/>
  <c r="K166" i="52254" s="1"/>
  <c r="J167" i="3"/>
  <c r="O168" i="3"/>
  <c r="P168" i="3" s="1"/>
  <c r="Q168" i="3" s="1"/>
  <c r="R168" i="3" s="1"/>
  <c r="M169" i="3"/>
  <c r="L169" i="3"/>
  <c r="N169" i="3" s="1"/>
  <c r="E169" i="3"/>
  <c r="G169" i="3" s="1"/>
  <c r="I169" i="3" s="1"/>
  <c r="D169" i="3"/>
  <c r="F169" i="3" s="1"/>
  <c r="B169" i="52254"/>
  <c r="D168" i="52254" l="1"/>
  <c r="H167" i="52254"/>
  <c r="H169" i="3"/>
  <c r="J169" i="3" s="1"/>
  <c r="O36" i="52252"/>
  <c r="C169" i="52254"/>
  <c r="D169" i="52254" s="1"/>
  <c r="R169" i="52254"/>
  <c r="V167" i="3"/>
  <c r="S167" i="52254"/>
  <c r="U167" i="3"/>
  <c r="S168" i="3"/>
  <c r="T168" i="3"/>
  <c r="S168" i="52254" s="1"/>
  <c r="D170" i="3"/>
  <c r="F170" i="3" s="1"/>
  <c r="E170" i="3"/>
  <c r="G170" i="3" s="1"/>
  <c r="B171" i="3"/>
  <c r="A172" i="3"/>
  <c r="A172" i="52254" s="1"/>
  <c r="K171" i="3"/>
  <c r="H168" i="3"/>
  <c r="O169" i="3"/>
  <c r="P169" i="3" s="1"/>
  <c r="Q169" i="3" s="1"/>
  <c r="R169" i="3" s="1"/>
  <c r="M170" i="3"/>
  <c r="L170" i="3"/>
  <c r="N170" i="3" s="1"/>
  <c r="H168" i="52254"/>
  <c r="B170" i="52254"/>
  <c r="K167" i="52254" l="1"/>
  <c r="E169" i="52254"/>
  <c r="I170" i="3"/>
  <c r="V168" i="3"/>
  <c r="C170" i="52254"/>
  <c r="D170" i="52254" s="1"/>
  <c r="R170" i="52254"/>
  <c r="H170" i="3"/>
  <c r="J170" i="3" s="1"/>
  <c r="S169" i="3"/>
  <c r="T169" i="3"/>
  <c r="S169" i="52254" s="1"/>
  <c r="O170" i="3"/>
  <c r="P170" i="3" s="1"/>
  <c r="Q170" i="3" s="1"/>
  <c r="R170" i="3" s="1"/>
  <c r="B172" i="3"/>
  <c r="A173" i="3"/>
  <c r="A173" i="52254" s="1"/>
  <c r="K172" i="3"/>
  <c r="J168" i="3"/>
  <c r="U168" i="3"/>
  <c r="L171" i="3"/>
  <c r="N171" i="3" s="1"/>
  <c r="M171" i="3"/>
  <c r="C171" i="3"/>
  <c r="G37" i="52252"/>
  <c r="B171" i="52254"/>
  <c r="R171" i="52254" s="1"/>
  <c r="K168" i="52254" l="1"/>
  <c r="S170" i="3"/>
  <c r="H169" i="52254"/>
  <c r="E170" i="52254"/>
  <c r="E171" i="3"/>
  <c r="G171" i="3" s="1"/>
  <c r="D171" i="3"/>
  <c r="F171" i="3" s="1"/>
  <c r="O171" i="3"/>
  <c r="P171" i="3" s="1"/>
  <c r="Q171" i="3" s="1"/>
  <c r="R171" i="3" s="1"/>
  <c r="L172" i="3"/>
  <c r="N172" i="3" s="1"/>
  <c r="M172" i="3"/>
  <c r="C172" i="3"/>
  <c r="B173" i="3"/>
  <c r="K173" i="3"/>
  <c r="A174" i="3"/>
  <c r="U169" i="3"/>
  <c r="V169" i="3"/>
  <c r="T170" i="3"/>
  <c r="S170" i="52254" s="1"/>
  <c r="C171" i="52254"/>
  <c r="D171" i="52254" s="1"/>
  <c r="G37" i="52256"/>
  <c r="B172" i="52254"/>
  <c r="K169" i="52254" l="1"/>
  <c r="T171" i="3"/>
  <c r="S171" i="52254" s="1"/>
  <c r="H171" i="3"/>
  <c r="H170" i="52254"/>
  <c r="I171" i="3"/>
  <c r="C172" i="52254"/>
  <c r="E172" i="52254" s="1"/>
  <c r="R172" i="52254"/>
  <c r="B174" i="3"/>
  <c r="C174" i="3" s="1"/>
  <c r="A174" i="52254"/>
  <c r="E171" i="52254"/>
  <c r="V170" i="3"/>
  <c r="U170" i="3"/>
  <c r="L173" i="3"/>
  <c r="N173" i="3" s="1"/>
  <c r="M173" i="3"/>
  <c r="O173" i="3" s="1"/>
  <c r="O172" i="3"/>
  <c r="P172" i="3" s="1"/>
  <c r="Q172" i="3" s="1"/>
  <c r="H37" i="52252"/>
  <c r="I37" i="52252" s="1"/>
  <c r="S171" i="3"/>
  <c r="K174" i="3"/>
  <c r="A175" i="3"/>
  <c r="A175" i="52254" s="1"/>
  <c r="C173" i="3"/>
  <c r="B173" i="52254"/>
  <c r="D172" i="3"/>
  <c r="F172" i="3" s="1"/>
  <c r="E172" i="3"/>
  <c r="G172" i="3" s="1"/>
  <c r="K170" i="52254" l="1"/>
  <c r="P173" i="3"/>
  <c r="Q173" i="3" s="1"/>
  <c r="R173" i="3" s="1"/>
  <c r="V171" i="3"/>
  <c r="R172" i="3"/>
  <c r="S172" i="3" s="1"/>
  <c r="U171" i="3"/>
  <c r="J37" i="52252"/>
  <c r="K37" i="52252" s="1"/>
  <c r="M37" i="52252" s="1"/>
  <c r="J171" i="3"/>
  <c r="H171" i="52254"/>
  <c r="D172" i="52254"/>
  <c r="I172" i="3"/>
  <c r="B175" i="3"/>
  <c r="C175" i="3" s="1"/>
  <c r="C173" i="52254"/>
  <c r="E173" i="52254" s="1"/>
  <c r="R173" i="52254"/>
  <c r="D173" i="3"/>
  <c r="F173" i="3" s="1"/>
  <c r="E173" i="3"/>
  <c r="G173" i="3" s="1"/>
  <c r="K175" i="3"/>
  <c r="A176" i="3"/>
  <c r="A176" i="52254" s="1"/>
  <c r="E174" i="3"/>
  <c r="G174" i="3" s="1"/>
  <c r="I174" i="3" s="1"/>
  <c r="D174" i="3"/>
  <c r="F174" i="3" s="1"/>
  <c r="H172" i="3"/>
  <c r="M174" i="3"/>
  <c r="L174" i="3"/>
  <c r="N174" i="3" s="1"/>
  <c r="B174" i="52254"/>
  <c r="K171" i="52254" l="1"/>
  <c r="T172" i="3"/>
  <c r="S172" i="52254" s="1"/>
  <c r="O37" i="52252"/>
  <c r="H174" i="3"/>
  <c r="J174" i="3" s="1"/>
  <c r="D173" i="52254"/>
  <c r="H172" i="52254"/>
  <c r="I173" i="3"/>
  <c r="C174" i="52254"/>
  <c r="D174" i="52254" s="1"/>
  <c r="R174" i="52254"/>
  <c r="H173" i="52254"/>
  <c r="S173" i="3"/>
  <c r="T173" i="3"/>
  <c r="S173" i="52254" s="1"/>
  <c r="O174" i="3"/>
  <c r="P174" i="3" s="1"/>
  <c r="Q174" i="3" s="1"/>
  <c r="R174" i="3" s="1"/>
  <c r="J172" i="3"/>
  <c r="B176" i="3"/>
  <c r="K176" i="3"/>
  <c r="A177" i="3"/>
  <c r="A177" i="52254" s="1"/>
  <c r="H173" i="3"/>
  <c r="D175" i="3"/>
  <c r="F175" i="3" s="1"/>
  <c r="E175" i="3"/>
  <c r="G175" i="3" s="1"/>
  <c r="L175" i="3"/>
  <c r="N175" i="3" s="1"/>
  <c r="M175" i="3"/>
  <c r="B175" i="52254"/>
  <c r="U172" i="3" l="1"/>
  <c r="V172" i="3"/>
  <c r="S174" i="3"/>
  <c r="V173" i="3"/>
  <c r="I175" i="3"/>
  <c r="H175" i="3"/>
  <c r="E174" i="52254"/>
  <c r="B177" i="3"/>
  <c r="C177" i="3" s="1"/>
  <c r="C175" i="52254"/>
  <c r="D175" i="52254" s="1"/>
  <c r="R175" i="52254"/>
  <c r="J173" i="3"/>
  <c r="U173" i="3"/>
  <c r="K173" i="52254" s="1"/>
  <c r="A178" i="3"/>
  <c r="A178" i="52254" s="1"/>
  <c r="K177" i="3"/>
  <c r="C176" i="3"/>
  <c r="G38" i="52252"/>
  <c r="O175" i="3"/>
  <c r="P175" i="3" s="1"/>
  <c r="Q175" i="3" s="1"/>
  <c r="R175" i="3" s="1"/>
  <c r="L176" i="3"/>
  <c r="N176" i="3" s="1"/>
  <c r="M176" i="3"/>
  <c r="T174" i="3"/>
  <c r="S174" i="52254" s="1"/>
  <c r="B176" i="52254"/>
  <c r="R176" i="52254" s="1"/>
  <c r="K172" i="52254" l="1"/>
  <c r="J175" i="3"/>
  <c r="H174" i="52254"/>
  <c r="E175" i="52254"/>
  <c r="B178" i="3"/>
  <c r="C178" i="3" s="1"/>
  <c r="S175" i="3"/>
  <c r="T175" i="3"/>
  <c r="S175" i="52254" s="1"/>
  <c r="U174" i="3"/>
  <c r="V174" i="3"/>
  <c r="D176" i="3"/>
  <c r="F176" i="3" s="1"/>
  <c r="E176" i="3"/>
  <c r="G176" i="3" s="1"/>
  <c r="I176" i="3" s="1"/>
  <c r="A179" i="3"/>
  <c r="A179" i="52254" s="1"/>
  <c r="K178" i="3"/>
  <c r="O176" i="3"/>
  <c r="P176" i="3" s="1"/>
  <c r="Q176" i="3" s="1"/>
  <c r="R176" i="3" s="1"/>
  <c r="E177" i="3"/>
  <c r="G177" i="3" s="1"/>
  <c r="I177" i="3" s="1"/>
  <c r="D177" i="3"/>
  <c r="F177" i="3" s="1"/>
  <c r="L177" i="3"/>
  <c r="M177" i="3"/>
  <c r="C176" i="52254"/>
  <c r="D176" i="52254" s="1"/>
  <c r="G38" i="52256"/>
  <c r="B177" i="52254"/>
  <c r="K174" i="52254" l="1"/>
  <c r="H175" i="52254"/>
  <c r="E176" i="52254"/>
  <c r="C177" i="52254"/>
  <c r="D177" i="52254" s="1"/>
  <c r="R177" i="52254"/>
  <c r="H176" i="3"/>
  <c r="J176" i="3" s="1"/>
  <c r="H38" i="52252"/>
  <c r="I38" i="52252" s="1"/>
  <c r="S176" i="3"/>
  <c r="T176" i="3"/>
  <c r="V176" i="3" s="1"/>
  <c r="L178" i="3"/>
  <c r="M178" i="3"/>
  <c r="N177" i="3"/>
  <c r="O177" i="3"/>
  <c r="B179" i="3"/>
  <c r="A180" i="3"/>
  <c r="A180" i="52254" s="1"/>
  <c r="K179" i="3"/>
  <c r="E178" i="3"/>
  <c r="G178" i="3" s="1"/>
  <c r="D178" i="3"/>
  <c r="F178" i="3" s="1"/>
  <c r="V175" i="3"/>
  <c r="U175" i="3"/>
  <c r="H177" i="3"/>
  <c r="B178" i="52254"/>
  <c r="K175" i="52254" l="1"/>
  <c r="E177" i="52254"/>
  <c r="H176" i="52254"/>
  <c r="B180" i="3"/>
  <c r="C180" i="3" s="1"/>
  <c r="I178" i="3"/>
  <c r="J38" i="52252"/>
  <c r="K38" i="52252" s="1"/>
  <c r="M38" i="52252" s="1"/>
  <c r="H178" i="3"/>
  <c r="C178" i="52254"/>
  <c r="E178" i="52254" s="1"/>
  <c r="R178" i="52254"/>
  <c r="U176" i="3"/>
  <c r="K176" i="52254" s="1"/>
  <c r="S176" i="52254"/>
  <c r="J177" i="3"/>
  <c r="K180" i="3"/>
  <c r="L180" i="3" s="1"/>
  <c r="A181" i="3"/>
  <c r="A181" i="52254" s="1"/>
  <c r="N178" i="3"/>
  <c r="M179" i="3"/>
  <c r="L179" i="3"/>
  <c r="N179" i="3" s="1"/>
  <c r="C179" i="3"/>
  <c r="B179" i="52254"/>
  <c r="O178" i="3"/>
  <c r="P177" i="3"/>
  <c r="Q177" i="3" s="1"/>
  <c r="R177" i="3" s="1"/>
  <c r="J178" i="3" l="1"/>
  <c r="H177" i="52254"/>
  <c r="D178" i="52254"/>
  <c r="O38" i="52252"/>
  <c r="C179" i="52254"/>
  <c r="E179" i="52254" s="1"/>
  <c r="R179" i="52254"/>
  <c r="B181" i="3"/>
  <c r="C181" i="3" s="1"/>
  <c r="S177" i="3"/>
  <c r="T177" i="3"/>
  <c r="S177" i="52254" s="1"/>
  <c r="K181" i="3"/>
  <c r="M181" i="3" s="1"/>
  <c r="A182" i="3"/>
  <c r="P178" i="3"/>
  <c r="Q178" i="3" s="1"/>
  <c r="D179" i="3"/>
  <c r="F179" i="3" s="1"/>
  <c r="E179" i="3"/>
  <c r="G179" i="3" s="1"/>
  <c r="I179" i="3" s="1"/>
  <c r="O179" i="3"/>
  <c r="P179" i="3" s="1"/>
  <c r="Q179" i="3" s="1"/>
  <c r="R179" i="3" s="1"/>
  <c r="M180" i="3"/>
  <c r="N180" i="3"/>
  <c r="E180" i="3"/>
  <c r="G180" i="3" s="1"/>
  <c r="I180" i="3" s="1"/>
  <c r="D180" i="3"/>
  <c r="F180" i="3" s="1"/>
  <c r="B180" i="52254"/>
  <c r="O181" i="3" l="1"/>
  <c r="O180" i="3"/>
  <c r="P180" i="3" s="1"/>
  <c r="Q180" i="3" s="1"/>
  <c r="R180" i="3" s="1"/>
  <c r="S179" i="3"/>
  <c r="R178" i="3"/>
  <c r="S178" i="3" s="1"/>
  <c r="D179" i="52254"/>
  <c r="H178" i="52254"/>
  <c r="G39" i="52252"/>
  <c r="H180" i="3"/>
  <c r="J180" i="3" s="1"/>
  <c r="C180" i="52254"/>
  <c r="D180" i="52254" s="1"/>
  <c r="R180" i="52254"/>
  <c r="B182" i="3"/>
  <c r="C182" i="3" s="1"/>
  <c r="A182" i="52254"/>
  <c r="D181" i="3"/>
  <c r="F181" i="3" s="1"/>
  <c r="E181" i="3"/>
  <c r="G181" i="3" s="1"/>
  <c r="A183" i="3"/>
  <c r="A183" i="52254" s="1"/>
  <c r="K182" i="3"/>
  <c r="H179" i="3"/>
  <c r="L181" i="3"/>
  <c r="N181" i="3" s="1"/>
  <c r="V177" i="3"/>
  <c r="U177" i="3"/>
  <c r="H179" i="52254"/>
  <c r="B181" i="52254"/>
  <c r="R181" i="52254" s="1"/>
  <c r="K177" i="52254" l="1"/>
  <c r="T178" i="3"/>
  <c r="S178" i="52254" s="1"/>
  <c r="T179" i="3"/>
  <c r="S179" i="52254" s="1"/>
  <c r="P181" i="3"/>
  <c r="Q181" i="3" s="1"/>
  <c r="R181" i="3" s="1"/>
  <c r="T181" i="3" s="1"/>
  <c r="E180" i="52254"/>
  <c r="I181" i="3"/>
  <c r="H181" i="3"/>
  <c r="S180" i="3"/>
  <c r="T180" i="3"/>
  <c r="S180" i="52254" s="1"/>
  <c r="M182" i="3"/>
  <c r="L182" i="3"/>
  <c r="N182" i="3" s="1"/>
  <c r="E182" i="3"/>
  <c r="G182" i="3" s="1"/>
  <c r="I182" i="3" s="1"/>
  <c r="D182" i="3"/>
  <c r="F182" i="3" s="1"/>
  <c r="J179" i="3"/>
  <c r="B183" i="3"/>
  <c r="K183" i="3"/>
  <c r="A184" i="3"/>
  <c r="C181" i="52254"/>
  <c r="D181" i="52254" s="1"/>
  <c r="G39" i="52256"/>
  <c r="B182" i="52254"/>
  <c r="V178" i="3" l="1"/>
  <c r="U178" i="3"/>
  <c r="V179" i="3"/>
  <c r="U179" i="3"/>
  <c r="H39" i="52252"/>
  <c r="S181" i="3"/>
  <c r="J181" i="3"/>
  <c r="H180" i="52254"/>
  <c r="J39" i="52252"/>
  <c r="O39" i="52252" s="1"/>
  <c r="H182" i="3"/>
  <c r="J182" i="3" s="1"/>
  <c r="C182" i="52254"/>
  <c r="E182" i="52254" s="1"/>
  <c r="R182" i="52254"/>
  <c r="A185" i="3"/>
  <c r="B185" i="3" s="1"/>
  <c r="A184" i="52254"/>
  <c r="E181" i="52254"/>
  <c r="B184" i="3"/>
  <c r="C184" i="3" s="1"/>
  <c r="S181" i="52254"/>
  <c r="M183" i="3"/>
  <c r="L183" i="3"/>
  <c r="N183" i="3" s="1"/>
  <c r="K184" i="3"/>
  <c r="C183" i="3"/>
  <c r="O182" i="3"/>
  <c r="P182" i="3" s="1"/>
  <c r="Q182" i="3" s="1"/>
  <c r="R182" i="3" s="1"/>
  <c r="U180" i="3"/>
  <c r="V180" i="3"/>
  <c r="B183" i="52254"/>
  <c r="K180" i="52254" l="1"/>
  <c r="K178" i="52254"/>
  <c r="K179" i="52254"/>
  <c r="O183" i="3"/>
  <c r="P183" i="3" s="1"/>
  <c r="Q183" i="3" s="1"/>
  <c r="D182" i="52254"/>
  <c r="H181" i="52254"/>
  <c r="C183" i="52254"/>
  <c r="D183" i="52254" s="1"/>
  <c r="R183" i="52254"/>
  <c r="B186" i="3"/>
  <c r="A185" i="52254"/>
  <c r="S182" i="3"/>
  <c r="T182" i="3"/>
  <c r="S182" i="52254" s="1"/>
  <c r="V181" i="3"/>
  <c r="U181" i="3"/>
  <c r="I39" i="52252"/>
  <c r="I40" i="52252"/>
  <c r="E184" i="3"/>
  <c r="G184" i="3" s="1"/>
  <c r="I184" i="3" s="1"/>
  <c r="D184" i="3"/>
  <c r="F184" i="3" s="1"/>
  <c r="E183" i="3"/>
  <c r="G183" i="3" s="1"/>
  <c r="D183" i="3"/>
  <c r="F183" i="3" s="1"/>
  <c r="M184" i="3"/>
  <c r="L184" i="3"/>
  <c r="N184" i="3" s="1"/>
  <c r="C185" i="3"/>
  <c r="K185" i="3"/>
  <c r="H182" i="52254"/>
  <c r="B184" i="52254"/>
  <c r="K181" i="52254" l="1"/>
  <c r="R183" i="3"/>
  <c r="S183" i="3" s="1"/>
  <c r="E183" i="52254"/>
  <c r="I183" i="3"/>
  <c r="H184" i="3"/>
  <c r="J184" i="3" s="1"/>
  <c r="C184" i="52254"/>
  <c r="E184" i="52254" s="1"/>
  <c r="R184" i="52254"/>
  <c r="H183" i="3"/>
  <c r="B186" i="52254"/>
  <c r="R186" i="52254" s="1"/>
  <c r="G40" i="52252"/>
  <c r="C186" i="3"/>
  <c r="O184" i="3"/>
  <c r="P184" i="3" s="1"/>
  <c r="Q184" i="3" s="1"/>
  <c r="R184" i="3" s="1"/>
  <c r="K39" i="52252"/>
  <c r="M39" i="52252" s="1"/>
  <c r="L185" i="3"/>
  <c r="N185" i="3" s="1"/>
  <c r="M185" i="3"/>
  <c r="E185" i="3"/>
  <c r="G185" i="3" s="1"/>
  <c r="I185" i="3" s="1"/>
  <c r="D185" i="3"/>
  <c r="F185" i="3" s="1"/>
  <c r="U182" i="3"/>
  <c r="V182" i="3"/>
  <c r="B185" i="52254"/>
  <c r="K182" i="52254" l="1"/>
  <c r="T183" i="3"/>
  <c r="S183" i="52254" s="1"/>
  <c r="S184" i="3"/>
  <c r="O185" i="3"/>
  <c r="P185" i="3" s="1"/>
  <c r="Q185" i="3" s="1"/>
  <c r="R185" i="3" s="1"/>
  <c r="T185" i="3" s="1"/>
  <c r="J183" i="3"/>
  <c r="H183" i="52254"/>
  <c r="D184" i="52254"/>
  <c r="C185" i="52254"/>
  <c r="D185" i="52254" s="1"/>
  <c r="R185" i="52254"/>
  <c r="H185" i="3"/>
  <c r="J185" i="3" s="1"/>
  <c r="G40" i="52256"/>
  <c r="C186" i="52254"/>
  <c r="D186" i="3"/>
  <c r="F186" i="3" s="1"/>
  <c r="E186" i="3"/>
  <c r="G186" i="3" s="1"/>
  <c r="T184" i="3"/>
  <c r="S184" i="52254" s="1"/>
  <c r="H184" i="52254"/>
  <c r="U183" i="3" l="1"/>
  <c r="V183" i="3"/>
  <c r="I186" i="3"/>
  <c r="E185" i="52254"/>
  <c r="H186" i="3"/>
  <c r="S185" i="3"/>
  <c r="S186" i="52254"/>
  <c r="S185" i="52254"/>
  <c r="U184" i="3"/>
  <c r="V184" i="3"/>
  <c r="D186" i="52254"/>
  <c r="E186" i="52254"/>
  <c r="K184" i="52254" l="1"/>
  <c r="K183" i="52254"/>
  <c r="J186" i="3"/>
  <c r="S187" i="52254"/>
  <c r="J40" i="52252"/>
  <c r="K40" i="52252" s="1"/>
  <c r="H185" i="52254"/>
  <c r="V186" i="3"/>
  <c r="T187" i="3"/>
  <c r="U187" i="3" s="1"/>
  <c r="H186" i="52254"/>
  <c r="V185" i="3"/>
  <c r="U185" i="3"/>
  <c r="U186" i="3"/>
  <c r="M40" i="52252" l="1"/>
  <c r="N18" i="52252" s="1"/>
  <c r="N19" i="52252" s="1"/>
  <c r="N20" i="52252" s="1"/>
  <c r="N21" i="52252" s="1"/>
  <c r="N22" i="52252" s="1"/>
  <c r="N23" i="52252" s="1"/>
  <c r="N24" i="52252" s="1"/>
  <c r="N25" i="52252" s="1"/>
  <c r="N26" i="52252" s="1"/>
  <c r="N27" i="52252" s="1"/>
  <c r="N28" i="52252" s="1"/>
  <c r="N29" i="52252" s="1"/>
  <c r="N30" i="52252" s="1"/>
  <c r="N31" i="52252" s="1"/>
  <c r="N32" i="52252" s="1"/>
  <c r="N33" i="52252" s="1"/>
  <c r="N34" i="52252" s="1"/>
  <c r="N35" i="52252" s="1"/>
  <c r="N36" i="52252" s="1"/>
  <c r="N37" i="52252" s="1"/>
  <c r="N38" i="52252" s="1"/>
  <c r="N39" i="52252" s="1"/>
  <c r="N40" i="52252" s="1"/>
  <c r="L18" i="52252"/>
  <c r="L19" i="52252" s="1"/>
  <c r="L20" i="52252" s="1"/>
  <c r="L21" i="52252" s="1"/>
  <c r="L22" i="52252" s="1"/>
  <c r="L23" i="52252" s="1"/>
  <c r="L24" i="52252" s="1"/>
  <c r="L25" i="52252" s="1"/>
  <c r="L26" i="52252" s="1"/>
  <c r="L27" i="52252" s="1"/>
  <c r="L28" i="52252" s="1"/>
  <c r="L29" i="52252" s="1"/>
  <c r="L30" i="52252" s="1"/>
  <c r="L31" i="52252" s="1"/>
  <c r="L32" i="52252" s="1"/>
  <c r="L33" i="52252" s="1"/>
  <c r="L34" i="52252" s="1"/>
  <c r="L35" i="52252" s="1"/>
  <c r="L36" i="52252" s="1"/>
  <c r="L37" i="52252" s="1"/>
  <c r="L38" i="52252" s="1"/>
  <c r="L39" i="52252" s="1"/>
  <c r="L40" i="52252" s="1"/>
  <c r="K186" i="52254"/>
  <c r="K185" i="52254"/>
  <c r="T78" i="52254"/>
  <c r="T77" i="52254"/>
  <c r="T76" i="52254"/>
  <c r="U76" i="52254" s="1"/>
  <c r="T79" i="52254"/>
  <c r="T83" i="52254"/>
  <c r="T87" i="52254"/>
  <c r="T91" i="52254"/>
  <c r="T95" i="52254"/>
  <c r="T99" i="52254"/>
  <c r="T103" i="52254"/>
  <c r="T107" i="52254"/>
  <c r="T111" i="52254"/>
  <c r="T115" i="52254"/>
  <c r="T119" i="52254"/>
  <c r="T123" i="52254"/>
  <c r="T127" i="52254"/>
  <c r="T131" i="52254"/>
  <c r="T135" i="52254"/>
  <c r="T139" i="52254"/>
  <c r="T143" i="52254"/>
  <c r="T147" i="52254"/>
  <c r="T151" i="52254"/>
  <c r="T155" i="52254"/>
  <c r="T159" i="52254"/>
  <c r="T167" i="52254"/>
  <c r="T179" i="52254"/>
  <c r="T86" i="52254"/>
  <c r="T94" i="52254"/>
  <c r="T102" i="52254"/>
  <c r="T110" i="52254"/>
  <c r="T118" i="52254"/>
  <c r="T126" i="52254"/>
  <c r="T134" i="52254"/>
  <c r="T142" i="52254"/>
  <c r="T150" i="52254"/>
  <c r="T162" i="52254"/>
  <c r="T170" i="52254"/>
  <c r="T178" i="52254"/>
  <c r="T186" i="52254"/>
  <c r="T85" i="52254"/>
  <c r="T93" i="52254"/>
  <c r="T101" i="52254"/>
  <c r="T109" i="52254"/>
  <c r="T117" i="52254"/>
  <c r="T125" i="52254"/>
  <c r="T133" i="52254"/>
  <c r="T141" i="52254"/>
  <c r="T149" i="52254"/>
  <c r="T157" i="52254"/>
  <c r="T169" i="52254"/>
  <c r="T177" i="52254"/>
  <c r="T185" i="52254"/>
  <c r="T80" i="52254"/>
  <c r="T84" i="52254"/>
  <c r="T88" i="52254"/>
  <c r="T92" i="52254"/>
  <c r="T96" i="52254"/>
  <c r="T100" i="52254"/>
  <c r="T104" i="52254"/>
  <c r="T108" i="52254"/>
  <c r="T112" i="52254"/>
  <c r="T116" i="52254"/>
  <c r="T120" i="52254"/>
  <c r="T124" i="52254"/>
  <c r="T128" i="52254"/>
  <c r="T132" i="52254"/>
  <c r="T136" i="52254"/>
  <c r="T140" i="52254"/>
  <c r="T144" i="52254"/>
  <c r="T148" i="52254"/>
  <c r="T152" i="52254"/>
  <c r="T156" i="52254"/>
  <c r="T160" i="52254"/>
  <c r="T164" i="52254"/>
  <c r="T168" i="52254"/>
  <c r="T172" i="52254"/>
  <c r="T176" i="52254"/>
  <c r="T180" i="52254"/>
  <c r="T184" i="52254"/>
  <c r="T163" i="52254"/>
  <c r="T171" i="52254"/>
  <c r="T175" i="52254"/>
  <c r="T183" i="52254"/>
  <c r="T82" i="52254"/>
  <c r="T90" i="52254"/>
  <c r="T98" i="52254"/>
  <c r="T106" i="52254"/>
  <c r="T114" i="52254"/>
  <c r="T122" i="52254"/>
  <c r="T130" i="52254"/>
  <c r="T138" i="52254"/>
  <c r="T146" i="52254"/>
  <c r="T154" i="52254"/>
  <c r="T158" i="52254"/>
  <c r="T166" i="52254"/>
  <c r="T174" i="52254"/>
  <c r="T182" i="52254"/>
  <c r="T81" i="52254"/>
  <c r="T89" i="52254"/>
  <c r="T97" i="52254"/>
  <c r="T105" i="52254"/>
  <c r="T113" i="52254"/>
  <c r="T121" i="52254"/>
  <c r="T129" i="52254"/>
  <c r="T137" i="52254"/>
  <c r="T145" i="52254"/>
  <c r="T153" i="52254"/>
  <c r="T161" i="52254"/>
  <c r="T165" i="52254"/>
  <c r="T173" i="52254"/>
  <c r="T181" i="52254"/>
  <c r="O40" i="52252"/>
  <c r="V187" i="3"/>
  <c r="V189" i="3" s="1"/>
  <c r="U189" i="3"/>
  <c r="U192" i="3" l="1"/>
  <c r="W189" i="3"/>
  <c r="W191" i="3" s="1"/>
  <c r="U77" i="52254"/>
  <c r="U78" i="52254" s="1"/>
  <c r="U79" i="52254" s="1"/>
  <c r="U80" i="52254" s="1"/>
  <c r="U81" i="52254" s="1"/>
  <c r="U82" i="52254" s="1"/>
  <c r="U83" i="52254" s="1"/>
  <c r="U84" i="52254" s="1"/>
  <c r="U85" i="52254" s="1"/>
  <c r="U86" i="52254" s="1"/>
  <c r="U87" i="52254" s="1"/>
  <c r="U88" i="52254" s="1"/>
  <c r="U89" i="52254" s="1"/>
  <c r="U90" i="52254" s="1"/>
  <c r="U91" i="52254" s="1"/>
  <c r="U92" i="52254" s="1"/>
  <c r="U93" i="52254" s="1"/>
  <c r="U94" i="52254" s="1"/>
  <c r="U95" i="52254" s="1"/>
  <c r="U96" i="52254" s="1"/>
  <c r="U97" i="52254" s="1"/>
  <c r="U98" i="52254" s="1"/>
  <c r="U99" i="52254" s="1"/>
  <c r="U100" i="52254" s="1"/>
  <c r="U101" i="52254" s="1"/>
  <c r="U102" i="52254" s="1"/>
  <c r="U103" i="52254" s="1"/>
  <c r="U104" i="52254" s="1"/>
  <c r="U105" i="52254" s="1"/>
  <c r="U106" i="52254" s="1"/>
  <c r="U107" i="52254" s="1"/>
  <c r="U108" i="52254" s="1"/>
  <c r="U109" i="52254" s="1"/>
  <c r="U110" i="52254" s="1"/>
  <c r="U111" i="52254" s="1"/>
  <c r="U112" i="52254" s="1"/>
  <c r="U113" i="52254" s="1"/>
  <c r="U114" i="52254" s="1"/>
  <c r="U115" i="52254" s="1"/>
  <c r="U116" i="52254" s="1"/>
  <c r="U117" i="52254" s="1"/>
  <c r="U118" i="52254" s="1"/>
  <c r="U119" i="52254" s="1"/>
  <c r="U120" i="52254" s="1"/>
  <c r="U121" i="52254" s="1"/>
  <c r="U122" i="52254" s="1"/>
  <c r="U123" i="52254" s="1"/>
  <c r="U124" i="52254" s="1"/>
  <c r="U125" i="52254" s="1"/>
  <c r="U126" i="52254" s="1"/>
  <c r="U127" i="52254" s="1"/>
  <c r="U128" i="52254" s="1"/>
  <c r="U129" i="52254" s="1"/>
  <c r="U130" i="52254" s="1"/>
  <c r="U131" i="52254" s="1"/>
  <c r="U132" i="52254" s="1"/>
  <c r="U133" i="52254" s="1"/>
  <c r="U134" i="52254" s="1"/>
  <c r="U135" i="52254" s="1"/>
  <c r="U136" i="52254" s="1"/>
  <c r="U137" i="52254" s="1"/>
  <c r="U138" i="52254" s="1"/>
  <c r="U139" i="52254" s="1"/>
  <c r="U140" i="52254" s="1"/>
  <c r="U141" i="52254" s="1"/>
  <c r="U142" i="52254" s="1"/>
  <c r="U143" i="52254" s="1"/>
  <c r="U144" i="52254" s="1"/>
  <c r="U145" i="52254" s="1"/>
  <c r="U146" i="52254" s="1"/>
  <c r="U147" i="52254" s="1"/>
  <c r="U148" i="52254" s="1"/>
  <c r="U149" i="52254" s="1"/>
  <c r="U150" i="52254" s="1"/>
  <c r="U151" i="52254" s="1"/>
  <c r="U152" i="52254" s="1"/>
  <c r="U153" i="52254" s="1"/>
  <c r="U154" i="52254" s="1"/>
  <c r="U155" i="52254" s="1"/>
  <c r="U156" i="52254" s="1"/>
  <c r="U157" i="52254" s="1"/>
  <c r="U158" i="52254" s="1"/>
  <c r="U159" i="52254" s="1"/>
  <c r="U160" i="52254" s="1"/>
  <c r="U161" i="52254" s="1"/>
  <c r="U162" i="52254" s="1"/>
  <c r="U163" i="52254" s="1"/>
  <c r="U164" i="52254" s="1"/>
  <c r="U165" i="52254" s="1"/>
  <c r="U166" i="52254" s="1"/>
  <c r="U167" i="52254" s="1"/>
  <c r="U168" i="52254" s="1"/>
  <c r="U169" i="52254" s="1"/>
  <c r="U170" i="52254" s="1"/>
  <c r="U171" i="52254" s="1"/>
  <c r="U172" i="52254" s="1"/>
  <c r="U173" i="52254" s="1"/>
  <c r="U174" i="52254" s="1"/>
  <c r="U175" i="52254" s="1"/>
  <c r="U176" i="52254" s="1"/>
  <c r="U177" i="52254" s="1"/>
  <c r="U178" i="52254" s="1"/>
  <c r="U179" i="52254" s="1"/>
  <c r="U180" i="52254" s="1"/>
  <c r="U181" i="52254" s="1"/>
  <c r="U182" i="52254" s="1"/>
  <c r="U183" i="52254" s="1"/>
  <c r="U184" i="52254" s="1"/>
  <c r="U185" i="52254" s="1"/>
  <c r="U186" i="52254" s="1"/>
  <c r="K187" i="52254"/>
  <c r="L77" i="52254" s="1"/>
  <c r="N77" i="52254" s="1"/>
  <c r="T187" i="52254"/>
  <c r="V191" i="3"/>
  <c r="K41" i="52252"/>
  <c r="V190" i="3"/>
  <c r="V192" i="3"/>
  <c r="V42" i="52256"/>
  <c r="U191" i="3"/>
  <c r="U42" i="52252"/>
  <c r="V42" i="52252"/>
  <c r="U190" i="3"/>
  <c r="W190" i="3" l="1"/>
  <c r="C27" i="2" s="1"/>
  <c r="W192" i="3"/>
  <c r="C31" i="2" s="1"/>
  <c r="W20" i="2" s="1"/>
  <c r="L76" i="52254"/>
  <c r="M76" i="52254" s="1"/>
  <c r="L79" i="52254"/>
  <c r="L80" i="52254"/>
  <c r="V80" i="52254" s="1"/>
  <c r="D17" i="52252"/>
  <c r="D13" i="52256" s="1"/>
  <c r="D25" i="52255" s="1"/>
  <c r="L176" i="52254"/>
  <c r="L100" i="52254"/>
  <c r="L132" i="52254"/>
  <c r="L110" i="52254"/>
  <c r="L163" i="52254"/>
  <c r="L144" i="52254"/>
  <c r="L172" i="52254"/>
  <c r="L140" i="52254"/>
  <c r="L108" i="52254"/>
  <c r="L183" i="52254"/>
  <c r="L151" i="52254"/>
  <c r="L119" i="52254"/>
  <c r="L88" i="52254"/>
  <c r="L180" i="52254"/>
  <c r="L148" i="52254"/>
  <c r="N148" i="52254" s="1"/>
  <c r="L116" i="52254"/>
  <c r="L86" i="52254"/>
  <c r="L160" i="52254"/>
  <c r="L128" i="52254"/>
  <c r="L95" i="52254"/>
  <c r="L156" i="52254"/>
  <c r="L124" i="52254"/>
  <c r="L92" i="52254"/>
  <c r="L167" i="52254"/>
  <c r="L136" i="52254"/>
  <c r="L103" i="52254"/>
  <c r="L186" i="52254"/>
  <c r="L182" i="52254"/>
  <c r="L166" i="52254"/>
  <c r="L150" i="52254"/>
  <c r="L134" i="52254"/>
  <c r="L118" i="52254"/>
  <c r="L93" i="52254"/>
  <c r="L78" i="52254"/>
  <c r="L170" i="52254"/>
  <c r="L153" i="52254"/>
  <c r="L137" i="52254"/>
  <c r="L121" i="52254"/>
  <c r="L105" i="52254"/>
  <c r="L89" i="52254"/>
  <c r="L175" i="52254"/>
  <c r="L168" i="52254"/>
  <c r="L159" i="52254"/>
  <c r="L152" i="52254"/>
  <c r="L143" i="52254"/>
  <c r="L135" i="52254"/>
  <c r="L127" i="52254"/>
  <c r="L120" i="52254"/>
  <c r="L112" i="52254"/>
  <c r="L104" i="52254"/>
  <c r="L96" i="52254"/>
  <c r="L87" i="52254"/>
  <c r="L179" i="52254"/>
  <c r="L169" i="52254"/>
  <c r="L164" i="52254"/>
  <c r="L155" i="52254"/>
  <c r="L147" i="52254"/>
  <c r="L139" i="52254"/>
  <c r="L131" i="52254"/>
  <c r="L123" i="52254"/>
  <c r="L115" i="52254"/>
  <c r="L107" i="52254"/>
  <c r="L99" i="52254"/>
  <c r="L90" i="52254"/>
  <c r="L83" i="52254"/>
  <c r="L184" i="52254"/>
  <c r="L174" i="52254"/>
  <c r="L157" i="52254"/>
  <c r="L142" i="52254"/>
  <c r="L126" i="52254"/>
  <c r="L111" i="52254"/>
  <c r="L102" i="52254"/>
  <c r="L85" i="52254"/>
  <c r="L178" i="52254"/>
  <c r="L161" i="52254"/>
  <c r="L145" i="52254"/>
  <c r="L129" i="52254"/>
  <c r="L113" i="52254"/>
  <c r="L98" i="52254"/>
  <c r="L81" i="52254"/>
  <c r="L185" i="52254"/>
  <c r="L177" i="52254"/>
  <c r="L171" i="52254"/>
  <c r="L162" i="52254"/>
  <c r="L154" i="52254"/>
  <c r="L146" i="52254"/>
  <c r="L138" i="52254"/>
  <c r="L130" i="52254"/>
  <c r="L122" i="52254"/>
  <c r="L114" i="52254"/>
  <c r="L106" i="52254"/>
  <c r="L97" i="52254"/>
  <c r="L91" i="52254"/>
  <c r="L82" i="52254"/>
  <c r="L181" i="52254"/>
  <c r="L173" i="52254"/>
  <c r="L165" i="52254"/>
  <c r="L158" i="52254"/>
  <c r="L149" i="52254"/>
  <c r="L141" i="52254"/>
  <c r="L133" i="52254"/>
  <c r="L125" i="52254"/>
  <c r="L117" i="52254"/>
  <c r="L109" i="52254"/>
  <c r="L101" i="52254"/>
  <c r="L94" i="52254"/>
  <c r="L84" i="52254"/>
  <c r="V77" i="52254"/>
  <c r="D18" i="52252" l="1"/>
  <c r="F13" i="52256" s="1"/>
  <c r="F25" i="52255" s="1"/>
  <c r="V76" i="52254"/>
  <c r="N76" i="52254"/>
  <c r="I18" i="52256"/>
  <c r="N101" i="52254"/>
  <c r="V101" i="52254"/>
  <c r="N133" i="52254"/>
  <c r="V133" i="52254"/>
  <c r="N165" i="52254"/>
  <c r="V165" i="52254"/>
  <c r="V91" i="52254"/>
  <c r="N122" i="52254"/>
  <c r="V122" i="52254"/>
  <c r="N154" i="52254"/>
  <c r="V154" i="52254"/>
  <c r="N185" i="52254"/>
  <c r="V185" i="52254"/>
  <c r="N129" i="52254"/>
  <c r="V129" i="52254"/>
  <c r="V85" i="52254"/>
  <c r="V142" i="52254"/>
  <c r="V83" i="52254"/>
  <c r="V115" i="52254"/>
  <c r="N147" i="52254"/>
  <c r="V147" i="52254"/>
  <c r="N179" i="52254"/>
  <c r="V179" i="52254"/>
  <c r="N104" i="52254"/>
  <c r="V104" i="52254"/>
  <c r="N135" i="52254"/>
  <c r="V135" i="52254"/>
  <c r="N168" i="52254"/>
  <c r="V168" i="52254"/>
  <c r="N121" i="52254"/>
  <c r="V121" i="52254"/>
  <c r="V78" i="52254"/>
  <c r="N150" i="52254"/>
  <c r="V150" i="52254"/>
  <c r="V103" i="52254"/>
  <c r="N124" i="52254"/>
  <c r="V124" i="52254"/>
  <c r="N160" i="52254"/>
  <c r="V160" i="52254"/>
  <c r="N180" i="52254"/>
  <c r="V180" i="52254"/>
  <c r="N183" i="52254"/>
  <c r="V183" i="52254"/>
  <c r="N144" i="52254"/>
  <c r="V144" i="52254"/>
  <c r="N100" i="52254"/>
  <c r="V100" i="52254"/>
  <c r="V94" i="52254"/>
  <c r="N125" i="52254"/>
  <c r="V125" i="52254"/>
  <c r="N158" i="52254"/>
  <c r="V158" i="52254"/>
  <c r="V82" i="52254"/>
  <c r="V114" i="52254"/>
  <c r="V146" i="52254"/>
  <c r="V177" i="52254"/>
  <c r="V113" i="52254"/>
  <c r="N178" i="52254"/>
  <c r="V178" i="52254"/>
  <c r="V126" i="52254"/>
  <c r="N184" i="52254"/>
  <c r="V184" i="52254"/>
  <c r="N107" i="52254"/>
  <c r="V107" i="52254"/>
  <c r="N139" i="52254"/>
  <c r="V139" i="52254"/>
  <c r="N169" i="52254"/>
  <c r="V169" i="52254"/>
  <c r="V96" i="52254"/>
  <c r="V127" i="52254"/>
  <c r="V159" i="52254"/>
  <c r="V105" i="52254"/>
  <c r="N170" i="52254"/>
  <c r="V170" i="52254"/>
  <c r="V134" i="52254"/>
  <c r="N186" i="52254"/>
  <c r="V186" i="52254"/>
  <c r="N92" i="52254"/>
  <c r="V92" i="52254"/>
  <c r="V128" i="52254"/>
  <c r="V148" i="52254"/>
  <c r="V151" i="52254"/>
  <c r="V172" i="52254"/>
  <c r="V132" i="52254"/>
  <c r="N84" i="52254"/>
  <c r="V84" i="52254"/>
  <c r="N117" i="52254"/>
  <c r="V117" i="52254"/>
  <c r="N149" i="52254"/>
  <c r="V149" i="52254"/>
  <c r="N181" i="52254"/>
  <c r="V181" i="52254"/>
  <c r="V106" i="52254"/>
  <c r="V138" i="52254"/>
  <c r="N171" i="52254"/>
  <c r="V171" i="52254"/>
  <c r="V98" i="52254"/>
  <c r="N161" i="52254"/>
  <c r="V161" i="52254"/>
  <c r="V111" i="52254"/>
  <c r="V174" i="52254"/>
  <c r="V99" i="52254"/>
  <c r="N131" i="52254"/>
  <c r="V131" i="52254"/>
  <c r="N164" i="52254"/>
  <c r="V164" i="52254"/>
  <c r="N87" i="52254"/>
  <c r="V87" i="52254"/>
  <c r="N120" i="52254"/>
  <c r="V120" i="52254"/>
  <c r="V152" i="52254"/>
  <c r="N89" i="52254"/>
  <c r="V89" i="52254"/>
  <c r="V153" i="52254"/>
  <c r="N118" i="52254"/>
  <c r="V118" i="52254"/>
  <c r="N182" i="52254"/>
  <c r="V182" i="52254"/>
  <c r="N167" i="52254"/>
  <c r="V167" i="52254"/>
  <c r="V95" i="52254"/>
  <c r="N116" i="52254"/>
  <c r="V116" i="52254"/>
  <c r="V119" i="52254"/>
  <c r="V140" i="52254"/>
  <c r="V110" i="52254"/>
  <c r="N79" i="52254"/>
  <c r="V79" i="52254"/>
  <c r="M77" i="52254"/>
  <c r="M78" i="52254" s="1"/>
  <c r="V109" i="52254"/>
  <c r="V141" i="52254"/>
  <c r="N173" i="52254"/>
  <c r="V173" i="52254"/>
  <c r="N97" i="52254"/>
  <c r="V97" i="52254"/>
  <c r="V130" i="52254"/>
  <c r="V162" i="52254"/>
  <c r="V81" i="52254"/>
  <c r="N145" i="52254"/>
  <c r="V145" i="52254"/>
  <c r="N102" i="52254"/>
  <c r="V102" i="52254"/>
  <c r="N157" i="52254"/>
  <c r="V157" i="52254"/>
  <c r="N90" i="52254"/>
  <c r="V90" i="52254"/>
  <c r="N123" i="52254"/>
  <c r="V123" i="52254"/>
  <c r="V155" i="52254"/>
  <c r="N80" i="52254"/>
  <c r="N112" i="52254"/>
  <c r="V112" i="52254"/>
  <c r="N143" i="52254"/>
  <c r="V143" i="52254"/>
  <c r="N175" i="52254"/>
  <c r="V175" i="52254"/>
  <c r="V137" i="52254"/>
  <c r="N93" i="52254"/>
  <c r="V93" i="52254"/>
  <c r="V166" i="52254"/>
  <c r="N136" i="52254"/>
  <c r="V136" i="52254"/>
  <c r="N156" i="52254"/>
  <c r="V156" i="52254"/>
  <c r="N86" i="52254"/>
  <c r="V86" i="52254"/>
  <c r="N88" i="52254"/>
  <c r="V88" i="52254"/>
  <c r="N108" i="52254"/>
  <c r="V108" i="52254"/>
  <c r="V163" i="52254"/>
  <c r="V176" i="52254"/>
  <c r="D31" i="52255"/>
  <c r="N110" i="52254"/>
  <c r="D16" i="52252"/>
  <c r="D30" i="52255" s="1"/>
  <c r="C30" i="2"/>
  <c r="V20" i="2" s="1"/>
  <c r="B58" i="52254" s="1"/>
  <c r="N128" i="52254"/>
  <c r="N142" i="52254"/>
  <c r="N83" i="52254"/>
  <c r="N105" i="52254"/>
  <c r="N151" i="52254"/>
  <c r="N163" i="52254"/>
  <c r="N115" i="52254"/>
  <c r="N176" i="52254"/>
  <c r="N91" i="52254"/>
  <c r="N155" i="52254"/>
  <c r="N85" i="52254"/>
  <c r="N103" i="52254"/>
  <c r="N166" i="52254"/>
  <c r="N78" i="52254"/>
  <c r="N132" i="52254"/>
  <c r="N172" i="52254"/>
  <c r="N96" i="52254"/>
  <c r="N126" i="52254"/>
  <c r="N127" i="52254"/>
  <c r="N159" i="52254"/>
  <c r="N113" i="52254"/>
  <c r="N109" i="52254"/>
  <c r="N137" i="52254"/>
  <c r="N162" i="52254"/>
  <c r="N99" i="52254"/>
  <c r="N119" i="52254"/>
  <c r="N152" i="52254"/>
  <c r="N140" i="52254"/>
  <c r="N95" i="52254"/>
  <c r="N130" i="52254"/>
  <c r="N111" i="52254"/>
  <c r="N81" i="52254"/>
  <c r="N98" i="52254"/>
  <c r="N141" i="52254"/>
  <c r="N153" i="52254"/>
  <c r="N138" i="52254"/>
  <c r="N174" i="52254"/>
  <c r="N94" i="52254"/>
  <c r="N82" i="52254"/>
  <c r="N106" i="52254"/>
  <c r="N114" i="52254"/>
  <c r="N134" i="52254"/>
  <c r="N146" i="52254"/>
  <c r="N177" i="52254"/>
  <c r="Q177" i="52254" s="1"/>
  <c r="L187" i="52254"/>
  <c r="H18" i="52256"/>
  <c r="B60" i="52254" l="1"/>
  <c r="B63" i="52254"/>
  <c r="Q172" i="52254"/>
  <c r="D32" i="52255"/>
  <c r="Q176" i="52254"/>
  <c r="Q174" i="52254"/>
  <c r="Q182" i="52254"/>
  <c r="Q171" i="52254"/>
  <c r="Q169" i="52254"/>
  <c r="Q183" i="52254"/>
  <c r="Q185" i="52254"/>
  <c r="Q168" i="52254"/>
  <c r="Q175" i="52254"/>
  <c r="Q173" i="52254"/>
  <c r="Q167" i="52254"/>
  <c r="Q181" i="52254"/>
  <c r="Q170" i="52254"/>
  <c r="Q184" i="52254"/>
  <c r="Q178" i="52254"/>
  <c r="Q180" i="52254"/>
  <c r="Q179" i="52254"/>
  <c r="Q166" i="52254"/>
  <c r="B61" i="52254"/>
  <c r="B62" i="52254"/>
  <c r="B59" i="52254"/>
  <c r="N187" i="52254"/>
  <c r="N189" i="52254" s="1"/>
  <c r="N192" i="52254" s="1"/>
  <c r="O187" i="52254"/>
  <c r="M79" i="52254"/>
  <c r="M80" i="52254" s="1"/>
  <c r="M81" i="52254" s="1"/>
  <c r="H19" i="52256" s="1"/>
  <c r="I19" i="52256" s="1"/>
  <c r="B64" i="52254" l="1"/>
  <c r="F76" i="52254"/>
  <c r="I76" i="52254" s="1"/>
  <c r="G76" i="52254"/>
  <c r="G77" i="52254"/>
  <c r="F77" i="52254"/>
  <c r="I77" i="52254" s="1"/>
  <c r="F78" i="52254"/>
  <c r="I78" i="52254" s="1"/>
  <c r="F79" i="52254"/>
  <c r="I79" i="52254" s="1"/>
  <c r="G78" i="52254"/>
  <c r="G80" i="52254"/>
  <c r="G79" i="52254"/>
  <c r="F81" i="52254"/>
  <c r="I81" i="52254" s="1"/>
  <c r="F80" i="52254"/>
  <c r="I80" i="52254" s="1"/>
  <c r="G81" i="52254"/>
  <c r="G82" i="52254"/>
  <c r="F83" i="52254"/>
  <c r="I83" i="52254" s="1"/>
  <c r="F82" i="52254"/>
  <c r="I82" i="52254" s="1"/>
  <c r="G84" i="52254"/>
  <c r="G83" i="52254"/>
  <c r="G85" i="52254"/>
  <c r="F84" i="52254"/>
  <c r="I84" i="52254" s="1"/>
  <c r="G86" i="52254"/>
  <c r="F85" i="52254"/>
  <c r="I85" i="52254" s="1"/>
  <c r="F86" i="52254"/>
  <c r="I86" i="52254" s="1"/>
  <c r="F87" i="52254"/>
  <c r="I87" i="52254" s="1"/>
  <c r="F88" i="52254"/>
  <c r="I88" i="52254" s="1"/>
  <c r="G87" i="52254"/>
  <c r="G88" i="52254"/>
  <c r="F89" i="52254"/>
  <c r="I89" i="52254" s="1"/>
  <c r="G89" i="52254"/>
  <c r="G90" i="52254"/>
  <c r="G91" i="52254"/>
  <c r="F90" i="52254"/>
  <c r="I90" i="52254" s="1"/>
  <c r="F92" i="52254"/>
  <c r="I92" i="52254" s="1"/>
  <c r="F91" i="52254"/>
  <c r="I91" i="52254" s="1"/>
  <c r="F93" i="52254"/>
  <c r="I93" i="52254" s="1"/>
  <c r="G92" i="52254"/>
  <c r="G94" i="52254"/>
  <c r="G93" i="52254"/>
  <c r="F94" i="52254"/>
  <c r="I94" i="52254" s="1"/>
  <c r="F95" i="52254"/>
  <c r="I95" i="52254" s="1"/>
  <c r="F96" i="52254"/>
  <c r="I96" i="52254" s="1"/>
  <c r="G95" i="52254"/>
  <c r="F97" i="52254"/>
  <c r="I97" i="52254" s="1"/>
  <c r="G96" i="52254"/>
  <c r="F98" i="52254"/>
  <c r="I98" i="52254" s="1"/>
  <c r="G97" i="52254"/>
  <c r="G99" i="52254"/>
  <c r="G98" i="52254"/>
  <c r="G100" i="52254"/>
  <c r="F99" i="52254"/>
  <c r="I99" i="52254" s="1"/>
  <c r="F100" i="52254"/>
  <c r="I100" i="52254" s="1"/>
  <c r="F101" i="52254"/>
  <c r="I101" i="52254" s="1"/>
  <c r="G101" i="52254"/>
  <c r="G102" i="52254"/>
  <c r="F103" i="52254"/>
  <c r="I103" i="52254" s="1"/>
  <c r="F102" i="52254"/>
  <c r="I102" i="52254" s="1"/>
  <c r="G103" i="52254"/>
  <c r="G104" i="52254"/>
  <c r="F104" i="52254"/>
  <c r="I104" i="52254" s="1"/>
  <c r="G105" i="52254"/>
  <c r="F106" i="52254"/>
  <c r="I106" i="52254" s="1"/>
  <c r="F105" i="52254"/>
  <c r="I105" i="52254" s="1"/>
  <c r="F107" i="52254"/>
  <c r="I107" i="52254" s="1"/>
  <c r="G106" i="52254"/>
  <c r="F108" i="52254"/>
  <c r="I108" i="52254" s="1"/>
  <c r="G107" i="52254"/>
  <c r="G108" i="52254"/>
  <c r="F109" i="52254"/>
  <c r="I109" i="52254" s="1"/>
  <c r="G110" i="52254"/>
  <c r="G109" i="52254"/>
  <c r="F110" i="52254"/>
  <c r="I110" i="52254" s="1"/>
  <c r="F111" i="52254"/>
  <c r="G112" i="52254"/>
  <c r="G111" i="52254"/>
  <c r="G113" i="52254"/>
  <c r="F112" i="52254"/>
  <c r="I112" i="52254" s="1"/>
  <c r="F113" i="52254"/>
  <c r="I113" i="52254" s="1"/>
  <c r="G114" i="52254"/>
  <c r="F115" i="52254"/>
  <c r="F114" i="52254"/>
  <c r="I114" i="52254" s="1"/>
  <c r="G115" i="52254"/>
  <c r="G116" i="52254"/>
  <c r="F117" i="52254"/>
  <c r="F116" i="52254"/>
  <c r="I116" i="52254" s="1"/>
  <c r="G117" i="52254"/>
  <c r="F118" i="52254"/>
  <c r="G118" i="52254"/>
  <c r="G119" i="52254"/>
  <c r="G120" i="52254"/>
  <c r="F119" i="52254"/>
  <c r="I119" i="52254" s="1"/>
  <c r="F120" i="52254"/>
  <c r="I120" i="52254" s="1"/>
  <c r="G121" i="52254"/>
  <c r="F121" i="52254"/>
  <c r="I121" i="52254" s="1"/>
  <c r="G122" i="52254"/>
  <c r="F122" i="52254"/>
  <c r="I122" i="52254" s="1"/>
  <c r="G123" i="52254"/>
  <c r="G124" i="52254"/>
  <c r="F123" i="52254"/>
  <c r="I123" i="52254" s="1"/>
  <c r="F125" i="52254"/>
  <c r="F124" i="52254"/>
  <c r="I124" i="52254" s="1"/>
  <c r="F126" i="52254"/>
  <c r="G125" i="52254"/>
  <c r="I125" i="52254" s="1"/>
  <c r="G127" i="52254"/>
  <c r="G126" i="52254"/>
  <c r="I126" i="52254" s="1"/>
  <c r="G128" i="52254"/>
  <c r="F127" i="52254"/>
  <c r="I127" i="52254" s="1"/>
  <c r="G129" i="52254"/>
  <c r="F128" i="52254"/>
  <c r="I128" i="52254" s="1"/>
  <c r="G130" i="52254"/>
  <c r="F129" i="52254"/>
  <c r="I129" i="52254" s="1"/>
  <c r="F131" i="52254"/>
  <c r="F130" i="52254"/>
  <c r="I130" i="52254" s="1"/>
  <c r="G132" i="52254"/>
  <c r="G131" i="52254"/>
  <c r="I131" i="52254" s="1"/>
  <c r="F132" i="52254"/>
  <c r="I132" i="52254" s="1"/>
  <c r="G133" i="52254"/>
  <c r="F133" i="52254"/>
  <c r="G134" i="52254"/>
  <c r="F135" i="52254"/>
  <c r="F134" i="52254"/>
  <c r="F136" i="52254"/>
  <c r="G135" i="52254"/>
  <c r="I135" i="52254" s="1"/>
  <c r="G137" i="52254"/>
  <c r="G136" i="52254"/>
  <c r="I136" i="52254" s="1"/>
  <c r="G138" i="52254"/>
  <c r="I138" i="52254" s="1"/>
  <c r="F137" i="52254"/>
  <c r="I137" i="52254" s="1"/>
  <c r="F138" i="52254"/>
  <c r="G139" i="52254"/>
  <c r="F139" i="52254"/>
  <c r="G140" i="52254"/>
  <c r="I140" i="52254" s="1"/>
  <c r="F140" i="52254"/>
  <c r="G141" i="52254"/>
  <c r="I141" i="52254" s="1"/>
  <c r="F141" i="52254"/>
  <c r="G142" i="52254"/>
  <c r="I142" i="52254" s="1"/>
  <c r="F143" i="52254"/>
  <c r="F142" i="52254"/>
  <c r="G143" i="52254"/>
  <c r="I143" i="52254" s="1"/>
  <c r="F144" i="52254"/>
  <c r="F145" i="52254"/>
  <c r="G144" i="52254"/>
  <c r="I144" i="52254" s="1"/>
  <c r="F146" i="52254"/>
  <c r="G145" i="52254"/>
  <c r="I145" i="52254" s="1"/>
  <c r="G147" i="52254"/>
  <c r="I147" i="52254" s="1"/>
  <c r="G146" i="52254"/>
  <c r="I146" i="52254" s="1"/>
  <c r="F148" i="52254"/>
  <c r="F147" i="52254"/>
  <c r="G148" i="52254"/>
  <c r="I148" i="52254" s="1"/>
  <c r="F149" i="52254"/>
  <c r="G149" i="52254"/>
  <c r="I149" i="52254" s="1"/>
  <c r="G150" i="52254"/>
  <c r="I150" i="52254" s="1"/>
  <c r="F151" i="52254"/>
  <c r="F150" i="52254"/>
  <c r="F152" i="52254"/>
  <c r="G151" i="52254"/>
  <c r="I151" i="52254" s="1"/>
  <c r="G152" i="52254"/>
  <c r="I152" i="52254" s="1"/>
  <c r="F153" i="52254"/>
  <c r="G153" i="52254"/>
  <c r="I153" i="52254" s="1"/>
  <c r="G154" i="52254"/>
  <c r="F154" i="52254"/>
  <c r="F155" i="52254"/>
  <c r="G156" i="52254"/>
  <c r="G155" i="52254"/>
  <c r="I155" i="52254" s="1"/>
  <c r="G157" i="52254"/>
  <c r="I157" i="52254" s="1"/>
  <c r="F156" i="52254"/>
  <c r="I156" i="52254" s="1"/>
  <c r="G158" i="52254"/>
  <c r="I158" i="52254" s="1"/>
  <c r="F157" i="52254"/>
  <c r="G159" i="52254"/>
  <c r="I159" i="52254" s="1"/>
  <c r="F158" i="52254"/>
  <c r="F159" i="52254"/>
  <c r="G160" i="52254"/>
  <c r="I160" i="52254" s="1"/>
  <c r="F160" i="52254"/>
  <c r="F161" i="52254"/>
  <c r="F162" i="52254"/>
  <c r="G161" i="52254"/>
  <c r="I161" i="52254" s="1"/>
  <c r="G162" i="52254"/>
  <c r="I162" i="52254" s="1"/>
  <c r="F163" i="52254"/>
  <c r="F164" i="52254"/>
  <c r="G163" i="52254"/>
  <c r="I163" i="52254" s="1"/>
  <c r="F165" i="52254"/>
  <c r="G164" i="52254"/>
  <c r="I164" i="52254" s="1"/>
  <c r="G165" i="52254"/>
  <c r="I165" i="52254" s="1"/>
  <c r="G166" i="52254"/>
  <c r="F166" i="52254"/>
  <c r="F167" i="52254"/>
  <c r="G167" i="52254"/>
  <c r="I167" i="52254" s="1"/>
  <c r="G168" i="52254"/>
  <c r="I168" i="52254" s="1"/>
  <c r="F168" i="52254"/>
  <c r="F169" i="52254"/>
  <c r="F170" i="52254"/>
  <c r="G169" i="52254"/>
  <c r="I169" i="52254" s="1"/>
  <c r="F171" i="52254"/>
  <c r="G170" i="52254"/>
  <c r="I170" i="52254" s="1"/>
  <c r="G172" i="52254"/>
  <c r="I172" i="52254" s="1"/>
  <c r="G171" i="52254"/>
  <c r="I171" i="52254" s="1"/>
  <c r="G173" i="52254"/>
  <c r="I173" i="52254" s="1"/>
  <c r="F172" i="52254"/>
  <c r="F174" i="52254"/>
  <c r="F173" i="52254"/>
  <c r="G174" i="52254"/>
  <c r="I174" i="52254" s="1"/>
  <c r="F175" i="52254"/>
  <c r="G175" i="52254"/>
  <c r="I175" i="52254" s="1"/>
  <c r="F176" i="52254"/>
  <c r="F177" i="52254"/>
  <c r="G176" i="52254"/>
  <c r="I176" i="52254" s="1"/>
  <c r="G178" i="52254"/>
  <c r="I178" i="52254" s="1"/>
  <c r="G177" i="52254"/>
  <c r="I177" i="52254" s="1"/>
  <c r="F178" i="52254"/>
  <c r="G179" i="52254"/>
  <c r="I179" i="52254" s="1"/>
  <c r="F180" i="52254"/>
  <c r="F179" i="52254"/>
  <c r="G180" i="52254"/>
  <c r="I180" i="52254" s="1"/>
  <c r="F181" i="52254"/>
  <c r="G182" i="52254"/>
  <c r="I182" i="52254" s="1"/>
  <c r="G181" i="52254"/>
  <c r="I181" i="52254" s="1"/>
  <c r="F182" i="52254"/>
  <c r="F183" i="52254"/>
  <c r="G184" i="52254"/>
  <c r="I184" i="52254" s="1"/>
  <c r="G183" i="52254"/>
  <c r="I183" i="52254" s="1"/>
  <c r="F184" i="52254"/>
  <c r="F185" i="52254"/>
  <c r="F186" i="52254"/>
  <c r="G186" i="52254"/>
  <c r="I186" i="52254" s="1"/>
  <c r="G185" i="52254"/>
  <c r="I185" i="52254" s="1"/>
  <c r="N191" i="52254"/>
  <c r="U42" i="52256"/>
  <c r="N190" i="52254"/>
  <c r="M82" i="52254"/>
  <c r="M83" i="52254" s="1"/>
  <c r="M84" i="52254" s="1"/>
  <c r="M85" i="52254" s="1"/>
  <c r="M86" i="52254" s="1"/>
  <c r="H20" i="52256" s="1"/>
  <c r="I20" i="52256" s="1"/>
  <c r="I111" i="52254" l="1"/>
  <c r="J183" i="52254"/>
  <c r="O183" i="52254"/>
  <c r="X183" i="52254" s="1"/>
  <c r="J168" i="52254"/>
  <c r="O168" i="52254"/>
  <c r="X168" i="52254" s="1"/>
  <c r="J160" i="52254"/>
  <c r="O160" i="52254"/>
  <c r="X160" i="52254" s="1"/>
  <c r="Q160" i="52254" s="1"/>
  <c r="J33" i="52256"/>
  <c r="O33" i="52256" s="1"/>
  <c r="J151" i="52254"/>
  <c r="O151" i="52254"/>
  <c r="X151" i="52254" s="1"/>
  <c r="Q151" i="52254" s="1"/>
  <c r="J140" i="52254"/>
  <c r="O140" i="52254"/>
  <c r="X140" i="52254" s="1"/>
  <c r="Q140" i="52254" s="1"/>
  <c r="J29" i="52256"/>
  <c r="O29" i="52256" s="1"/>
  <c r="J131" i="52254"/>
  <c r="O131" i="52254"/>
  <c r="X131" i="52254" s="1"/>
  <c r="Q131" i="52254" s="1"/>
  <c r="J123" i="52254"/>
  <c r="O123" i="52254"/>
  <c r="X123" i="52254" s="1"/>
  <c r="Q123" i="52254" s="1"/>
  <c r="J76" i="52254"/>
  <c r="J18" i="52256"/>
  <c r="O76" i="52254"/>
  <c r="J38" i="52256"/>
  <c r="O38" i="52256" s="1"/>
  <c r="J176" i="52254"/>
  <c r="O176" i="52254"/>
  <c r="X176" i="52254" s="1"/>
  <c r="J184" i="52254"/>
  <c r="O184" i="52254"/>
  <c r="X184" i="52254" s="1"/>
  <c r="J182" i="52254"/>
  <c r="O182" i="52254"/>
  <c r="X182" i="52254" s="1"/>
  <c r="J178" i="52254"/>
  <c r="O178" i="52254"/>
  <c r="X178" i="52254" s="1"/>
  <c r="J175" i="52254"/>
  <c r="O175" i="52254"/>
  <c r="X175" i="52254" s="1"/>
  <c r="J172" i="52254"/>
  <c r="O172" i="52254"/>
  <c r="X172" i="52254" s="1"/>
  <c r="J167" i="52254"/>
  <c r="O167" i="52254"/>
  <c r="X167" i="52254" s="1"/>
  <c r="J165" i="52254"/>
  <c r="O165" i="52254"/>
  <c r="X165" i="52254" s="1"/>
  <c r="Q165" i="52254" s="1"/>
  <c r="J158" i="52254"/>
  <c r="O158" i="52254"/>
  <c r="X158" i="52254" s="1"/>
  <c r="Q158" i="52254" s="1"/>
  <c r="J153" i="52254"/>
  <c r="O153" i="52254"/>
  <c r="X153" i="52254" s="1"/>
  <c r="Q153" i="52254" s="1"/>
  <c r="J149" i="52254"/>
  <c r="O149" i="52254"/>
  <c r="X149" i="52254" s="1"/>
  <c r="Q149" i="52254" s="1"/>
  <c r="J143" i="52254"/>
  <c r="O143" i="52254"/>
  <c r="X143" i="52254" s="1"/>
  <c r="Q143" i="52254" s="1"/>
  <c r="J138" i="52254"/>
  <c r="O138" i="52254"/>
  <c r="X138" i="52254" s="1"/>
  <c r="Q138" i="52254" s="1"/>
  <c r="J27" i="52256"/>
  <c r="O27" i="52256" s="1"/>
  <c r="J121" i="52254"/>
  <c r="O121" i="52254"/>
  <c r="X121" i="52254" s="1"/>
  <c r="Q121" i="52254" s="1"/>
  <c r="J113" i="52254"/>
  <c r="O113" i="52254"/>
  <c r="X113" i="52254" s="1"/>
  <c r="Q113" i="52254" s="1"/>
  <c r="J108" i="52254"/>
  <c r="O108" i="52254"/>
  <c r="X108" i="52254" s="1"/>
  <c r="Q108" i="52254" s="1"/>
  <c r="J24" i="52256"/>
  <c r="O24" i="52256" s="1"/>
  <c r="J106" i="52254"/>
  <c r="O106" i="52254"/>
  <c r="X106" i="52254" s="1"/>
  <c r="Q106" i="52254" s="1"/>
  <c r="J98" i="52254"/>
  <c r="O98" i="52254"/>
  <c r="X98" i="52254" s="1"/>
  <c r="Q98" i="52254" s="1"/>
  <c r="J22" i="52256"/>
  <c r="O22" i="52256" s="1"/>
  <c r="J96" i="52254"/>
  <c r="O96" i="52254"/>
  <c r="X96" i="52254" s="1"/>
  <c r="Q96" i="52254" s="1"/>
  <c r="J92" i="52254"/>
  <c r="O92" i="52254"/>
  <c r="X92" i="52254" s="1"/>
  <c r="Q92" i="52254" s="1"/>
  <c r="J88" i="52254"/>
  <c r="O88" i="52254"/>
  <c r="J77" i="52254"/>
  <c r="O77" i="52254"/>
  <c r="X77" i="52254" s="1"/>
  <c r="Q77" i="52254" s="1"/>
  <c r="C64" i="52254"/>
  <c r="J51" i="52254"/>
  <c r="J55" i="52254"/>
  <c r="J54" i="52254"/>
  <c r="I52" i="52254"/>
  <c r="K52" i="52254" s="1"/>
  <c r="D23" i="52256" s="1"/>
  <c r="H37" i="52255" s="1"/>
  <c r="I51" i="52254"/>
  <c r="K51" i="52254" s="1"/>
  <c r="D22" i="52256" s="1"/>
  <c r="H36" i="52255" s="1"/>
  <c r="I56" i="52254"/>
  <c r="I53" i="52254"/>
  <c r="K53" i="52254" s="1"/>
  <c r="D24" i="52256" s="1"/>
  <c r="H38" i="52255" s="1"/>
  <c r="J56" i="52254"/>
  <c r="J53" i="52254"/>
  <c r="I55" i="52254"/>
  <c r="K55" i="52254" s="1"/>
  <c r="D26" i="52256" s="1"/>
  <c r="H40" i="52255" s="1"/>
  <c r="J52" i="52254"/>
  <c r="I54" i="52254"/>
  <c r="K54" i="52254" s="1"/>
  <c r="D25" i="52256" s="1"/>
  <c r="H39" i="52255" s="1"/>
  <c r="I139" i="52254"/>
  <c r="I133" i="52254"/>
  <c r="I117" i="52254"/>
  <c r="I115" i="52254"/>
  <c r="J40" i="52256"/>
  <c r="O40" i="52256" s="1"/>
  <c r="J186" i="52254"/>
  <c r="O186" i="52254"/>
  <c r="X186" i="52254" s="1"/>
  <c r="Q186" i="52254" s="1"/>
  <c r="J169" i="52254"/>
  <c r="O169" i="52254"/>
  <c r="X169" i="52254" s="1"/>
  <c r="J163" i="52254"/>
  <c r="O163" i="52254"/>
  <c r="X163" i="52254" s="1"/>
  <c r="Q163" i="52254" s="1"/>
  <c r="J145" i="52254"/>
  <c r="O145" i="52254"/>
  <c r="X145" i="52254" s="1"/>
  <c r="Q145" i="52254" s="1"/>
  <c r="J137" i="52254"/>
  <c r="O137" i="52254"/>
  <c r="X137" i="52254" s="1"/>
  <c r="Q137" i="52254" s="1"/>
  <c r="J129" i="52254"/>
  <c r="O129" i="52254"/>
  <c r="X129" i="52254" s="1"/>
  <c r="Q129" i="52254" s="1"/>
  <c r="J119" i="52254"/>
  <c r="O119" i="52254"/>
  <c r="X119" i="52254" s="1"/>
  <c r="Q119" i="52254" s="1"/>
  <c r="J105" i="52254"/>
  <c r="O105" i="52254"/>
  <c r="X105" i="52254" s="1"/>
  <c r="Q105" i="52254" s="1"/>
  <c r="J78" i="52254"/>
  <c r="O78" i="52254"/>
  <c r="X78" i="52254" s="1"/>
  <c r="Q78" i="52254" s="1"/>
  <c r="J185" i="52254"/>
  <c r="O185" i="52254"/>
  <c r="X185" i="52254" s="1"/>
  <c r="J180" i="52254"/>
  <c r="O180" i="52254"/>
  <c r="X180" i="52254" s="1"/>
  <c r="J174" i="52254"/>
  <c r="O174" i="52254"/>
  <c r="X174" i="52254" s="1"/>
  <c r="J173" i="52254"/>
  <c r="O173" i="52254"/>
  <c r="X173" i="52254" s="1"/>
  <c r="J162" i="52254"/>
  <c r="O162" i="52254"/>
  <c r="X162" i="52254" s="1"/>
  <c r="Q162" i="52254" s="1"/>
  <c r="J159" i="52254"/>
  <c r="O159" i="52254"/>
  <c r="X159" i="52254" s="1"/>
  <c r="Q159" i="52254" s="1"/>
  <c r="J157" i="52254"/>
  <c r="O157" i="52254"/>
  <c r="X157" i="52254" s="1"/>
  <c r="Q157" i="52254" s="1"/>
  <c r="J152" i="52254"/>
  <c r="O152" i="52254"/>
  <c r="X152" i="52254" s="1"/>
  <c r="Q152" i="52254" s="1"/>
  <c r="J148" i="52254"/>
  <c r="O148" i="52254"/>
  <c r="X148" i="52254" s="1"/>
  <c r="Q148" i="52254" s="1"/>
  <c r="J147" i="52254"/>
  <c r="O147" i="52254"/>
  <c r="X147" i="52254" s="1"/>
  <c r="Q147" i="52254" s="1"/>
  <c r="J132" i="52254"/>
  <c r="O132" i="52254"/>
  <c r="X132" i="52254" s="1"/>
  <c r="Q132" i="52254" s="1"/>
  <c r="J122" i="52254"/>
  <c r="O122" i="52254"/>
  <c r="X122" i="52254" s="1"/>
  <c r="Q122" i="52254" s="1"/>
  <c r="J120" i="52254"/>
  <c r="O120" i="52254"/>
  <c r="X120" i="52254" s="1"/>
  <c r="Q120" i="52254" s="1"/>
  <c r="J110" i="52254"/>
  <c r="O110" i="52254"/>
  <c r="X110" i="52254" s="1"/>
  <c r="Q110" i="52254" s="1"/>
  <c r="J107" i="52254"/>
  <c r="O107" i="52254"/>
  <c r="X107" i="52254" s="1"/>
  <c r="Q107" i="52254" s="1"/>
  <c r="J104" i="52254"/>
  <c r="O104" i="52254"/>
  <c r="X104" i="52254" s="1"/>
  <c r="Q104" i="52254" s="1"/>
  <c r="J103" i="52254"/>
  <c r="O103" i="52254"/>
  <c r="X103" i="52254" s="1"/>
  <c r="Q103" i="52254" s="1"/>
  <c r="J100" i="52254"/>
  <c r="O100" i="52254"/>
  <c r="X100" i="52254" s="1"/>
  <c r="Q100" i="52254" s="1"/>
  <c r="J97" i="52254"/>
  <c r="O97" i="52254"/>
  <c r="X97" i="52254" s="1"/>
  <c r="Q97" i="52254" s="1"/>
  <c r="J94" i="52254"/>
  <c r="O94" i="52254"/>
  <c r="X94" i="52254" s="1"/>
  <c r="Q94" i="52254" s="1"/>
  <c r="J93" i="52254"/>
  <c r="O93" i="52254"/>
  <c r="X93" i="52254" s="1"/>
  <c r="Q93" i="52254" s="1"/>
  <c r="J86" i="52254"/>
  <c r="J20" i="52256"/>
  <c r="O20" i="52256" s="1"/>
  <c r="O86" i="52254"/>
  <c r="X86" i="52254" s="1"/>
  <c r="Q86" i="52254" s="1"/>
  <c r="J83" i="52254"/>
  <c r="O83" i="52254"/>
  <c r="X83" i="52254" s="1"/>
  <c r="Q83" i="52254" s="1"/>
  <c r="J19" i="52256"/>
  <c r="J81" i="52254"/>
  <c r="O81" i="52254"/>
  <c r="X81" i="52254" s="1"/>
  <c r="Q81" i="52254" s="1"/>
  <c r="J79" i="52254"/>
  <c r="O79" i="52254"/>
  <c r="X79" i="52254" s="1"/>
  <c r="Q79" i="52254" s="1"/>
  <c r="I166" i="52254"/>
  <c r="I154" i="52254"/>
  <c r="I118" i="52254"/>
  <c r="J39" i="52256"/>
  <c r="O39" i="52256" s="1"/>
  <c r="J181" i="52254"/>
  <c r="O181" i="52254"/>
  <c r="X181" i="52254" s="1"/>
  <c r="J177" i="52254"/>
  <c r="O177" i="52254"/>
  <c r="X177" i="52254" s="1"/>
  <c r="J171" i="52254"/>
  <c r="J37" i="52256"/>
  <c r="O37" i="52256" s="1"/>
  <c r="O171" i="52254"/>
  <c r="X171" i="52254" s="1"/>
  <c r="J35" i="52256"/>
  <c r="O35" i="52256" s="1"/>
  <c r="J161" i="52254"/>
  <c r="O161" i="52254"/>
  <c r="X161" i="52254" s="1"/>
  <c r="Q161" i="52254" s="1"/>
  <c r="J155" i="52254"/>
  <c r="O155" i="52254"/>
  <c r="X155" i="52254" s="1"/>
  <c r="Q155" i="52254" s="1"/>
  <c r="J150" i="52254"/>
  <c r="O150" i="52254"/>
  <c r="X150" i="52254" s="1"/>
  <c r="Q150" i="52254" s="1"/>
  <c r="J142" i="52254"/>
  <c r="O142" i="52254"/>
  <c r="X142" i="52254" s="1"/>
  <c r="Q142" i="52254" s="1"/>
  <c r="J135" i="52254"/>
  <c r="O135" i="52254"/>
  <c r="X135" i="52254" s="1"/>
  <c r="Q135" i="52254" s="1"/>
  <c r="J127" i="52254"/>
  <c r="O127" i="52254"/>
  <c r="X127" i="52254" s="1"/>
  <c r="Q127" i="52254" s="1"/>
  <c r="J125" i="52254"/>
  <c r="O125" i="52254"/>
  <c r="X125" i="52254" s="1"/>
  <c r="Q125" i="52254" s="1"/>
  <c r="J25" i="52256"/>
  <c r="O25" i="52256" s="1"/>
  <c r="J111" i="52254"/>
  <c r="O111" i="52254"/>
  <c r="X111" i="52254" s="1"/>
  <c r="Q111" i="52254" s="1"/>
  <c r="J99" i="52254"/>
  <c r="O99" i="52254"/>
  <c r="X99" i="52254" s="1"/>
  <c r="Q99" i="52254" s="1"/>
  <c r="J21" i="52256"/>
  <c r="O21" i="52256" s="1"/>
  <c r="J91" i="52254"/>
  <c r="O91" i="52254"/>
  <c r="X91" i="52254" s="1"/>
  <c r="Q91" i="52254" s="1"/>
  <c r="J85" i="52254"/>
  <c r="O85" i="52254"/>
  <c r="X85" i="52254" s="1"/>
  <c r="Q85" i="52254" s="1"/>
  <c r="J179" i="52254"/>
  <c r="O179" i="52254"/>
  <c r="X179" i="52254" s="1"/>
  <c r="J170" i="52254"/>
  <c r="O170" i="52254"/>
  <c r="X170" i="52254" s="1"/>
  <c r="J164" i="52254"/>
  <c r="O164" i="52254"/>
  <c r="X164" i="52254" s="1"/>
  <c r="Q164" i="52254" s="1"/>
  <c r="J34" i="52256"/>
  <c r="O34" i="52256" s="1"/>
  <c r="J156" i="52254"/>
  <c r="O156" i="52254"/>
  <c r="X156" i="52254" s="1"/>
  <c r="Q156" i="52254" s="1"/>
  <c r="J32" i="52256"/>
  <c r="O32" i="52256" s="1"/>
  <c r="J146" i="52254"/>
  <c r="O146" i="52254"/>
  <c r="X146" i="52254" s="1"/>
  <c r="Q146" i="52254" s="1"/>
  <c r="J144" i="52254"/>
  <c r="O144" i="52254"/>
  <c r="X144" i="52254" s="1"/>
  <c r="Q144" i="52254" s="1"/>
  <c r="J141" i="52254"/>
  <c r="J31" i="52256"/>
  <c r="O31" i="52256" s="1"/>
  <c r="O141" i="52254"/>
  <c r="X141" i="52254" s="1"/>
  <c r="Q141" i="52254" s="1"/>
  <c r="J30" i="52256"/>
  <c r="O30" i="52256" s="1"/>
  <c r="J136" i="52254"/>
  <c r="O136" i="52254"/>
  <c r="X136" i="52254" s="1"/>
  <c r="Q136" i="52254" s="1"/>
  <c r="J130" i="52254"/>
  <c r="O130" i="52254"/>
  <c r="X130" i="52254" s="1"/>
  <c r="Q130" i="52254" s="1"/>
  <c r="J128" i="52254"/>
  <c r="O128" i="52254"/>
  <c r="X128" i="52254" s="1"/>
  <c r="Q128" i="52254" s="1"/>
  <c r="J126" i="52254"/>
  <c r="J28" i="52256"/>
  <c r="O28" i="52256" s="1"/>
  <c r="O126" i="52254"/>
  <c r="X126" i="52254" s="1"/>
  <c r="Q126" i="52254" s="1"/>
  <c r="J124" i="52254"/>
  <c r="O124" i="52254"/>
  <c r="X124" i="52254" s="1"/>
  <c r="Q124" i="52254" s="1"/>
  <c r="J26" i="52256"/>
  <c r="O26" i="52256" s="1"/>
  <c r="J116" i="52254"/>
  <c r="O116" i="52254"/>
  <c r="X116" i="52254" s="1"/>
  <c r="Q116" i="52254" s="1"/>
  <c r="J114" i="52254"/>
  <c r="O114" i="52254"/>
  <c r="X114" i="52254" s="1"/>
  <c r="Q114" i="52254" s="1"/>
  <c r="J112" i="52254"/>
  <c r="O112" i="52254"/>
  <c r="X112" i="52254" s="1"/>
  <c r="Q112" i="52254" s="1"/>
  <c r="J109" i="52254"/>
  <c r="O109" i="52254"/>
  <c r="X109" i="52254" s="1"/>
  <c r="Q109" i="52254" s="1"/>
  <c r="J102" i="52254"/>
  <c r="O102" i="52254"/>
  <c r="X102" i="52254" s="1"/>
  <c r="Q102" i="52254" s="1"/>
  <c r="J23" i="52256"/>
  <c r="O23" i="52256" s="1"/>
  <c r="J101" i="52254"/>
  <c r="O101" i="52254"/>
  <c r="X101" i="52254" s="1"/>
  <c r="Q101" i="52254" s="1"/>
  <c r="J95" i="52254"/>
  <c r="O95" i="52254"/>
  <c r="X95" i="52254" s="1"/>
  <c r="Q95" i="52254" s="1"/>
  <c r="J90" i="52254"/>
  <c r="O90" i="52254"/>
  <c r="X90" i="52254" s="1"/>
  <c r="Q90" i="52254" s="1"/>
  <c r="J89" i="52254"/>
  <c r="O89" i="52254"/>
  <c r="X89" i="52254" s="1"/>
  <c r="Q89" i="52254" s="1"/>
  <c r="J87" i="52254"/>
  <c r="O87" i="52254"/>
  <c r="J84" i="52254"/>
  <c r="O84" i="52254"/>
  <c r="J82" i="52254"/>
  <c r="O82" i="52254"/>
  <c r="X82" i="52254" s="1"/>
  <c r="Q82" i="52254" s="1"/>
  <c r="J80" i="52254"/>
  <c r="O80" i="52254"/>
  <c r="X80" i="52254" s="1"/>
  <c r="Q80" i="52254" s="1"/>
  <c r="I134" i="52254"/>
  <c r="W76" i="52254"/>
  <c r="V187" i="52254"/>
  <c r="M87" i="52254"/>
  <c r="M88" i="52254" s="1"/>
  <c r="M89" i="52254" s="1"/>
  <c r="M90" i="52254" s="1"/>
  <c r="M91" i="52254" s="1"/>
  <c r="M92" i="52254" s="1"/>
  <c r="M93" i="52254" s="1"/>
  <c r="M94" i="52254" s="1"/>
  <c r="M95" i="52254" s="1"/>
  <c r="M96" i="52254" s="1"/>
  <c r="K56" i="52254" l="1"/>
  <c r="J134" i="52254"/>
  <c r="O134" i="52254"/>
  <c r="X134" i="52254" s="1"/>
  <c r="Q134" i="52254" s="1"/>
  <c r="D44" i="52255"/>
  <c r="D43" i="52256"/>
  <c r="H58" i="52254"/>
  <c r="J36" i="52256"/>
  <c r="O36" i="52256" s="1"/>
  <c r="J166" i="52254"/>
  <c r="O166" i="52254"/>
  <c r="X166" i="52254" s="1"/>
  <c r="J139" i="52254"/>
  <c r="O139" i="52254"/>
  <c r="X139" i="52254" s="1"/>
  <c r="Q139" i="52254" s="1"/>
  <c r="P52" i="52254"/>
  <c r="L37" i="52255" s="1"/>
  <c r="J118" i="52254"/>
  <c r="O118" i="52254"/>
  <c r="X118" i="52254" s="1"/>
  <c r="Q118" i="52254" s="1"/>
  <c r="O19" i="52256"/>
  <c r="K19" i="52256"/>
  <c r="M19" i="52256" s="1"/>
  <c r="J117" i="52254"/>
  <c r="O117" i="52254"/>
  <c r="X117" i="52254" s="1"/>
  <c r="Q117" i="52254" s="1"/>
  <c r="P55" i="52254" s="1"/>
  <c r="L40" i="52255" s="1"/>
  <c r="X76" i="52254"/>
  <c r="Q76" i="52254" s="1"/>
  <c r="P51" i="52254" s="1"/>
  <c r="L36" i="52255" s="1"/>
  <c r="J154" i="52254"/>
  <c r="O154" i="52254"/>
  <c r="X154" i="52254" s="1"/>
  <c r="Q154" i="52254" s="1"/>
  <c r="J133" i="52254"/>
  <c r="O133" i="52254"/>
  <c r="X133" i="52254" s="1"/>
  <c r="Q133" i="52254" s="1"/>
  <c r="O18" i="52256"/>
  <c r="K18" i="52256"/>
  <c r="J115" i="52254"/>
  <c r="O115" i="52254"/>
  <c r="X115" i="52254" s="1"/>
  <c r="Q115" i="52254" s="1"/>
  <c r="K20" i="52256"/>
  <c r="M20" i="52256" s="1"/>
  <c r="W77" i="52254"/>
  <c r="W78" i="52254" s="1"/>
  <c r="W79" i="52254" s="1"/>
  <c r="H21" i="52256"/>
  <c r="I21" i="52256" s="1"/>
  <c r="K21" i="52256" s="1"/>
  <c r="M21" i="52256" s="1"/>
  <c r="M97" i="52254"/>
  <c r="M98" i="52254" s="1"/>
  <c r="M99" i="52254" s="1"/>
  <c r="M100" i="52254" s="1"/>
  <c r="M101" i="52254" s="1"/>
  <c r="H22" i="52256"/>
  <c r="P54" i="52254" l="1"/>
  <c r="L39" i="52255" s="1"/>
  <c r="M18" i="52256"/>
  <c r="O189" i="52254"/>
  <c r="W80" i="52254"/>
  <c r="W81" i="52254" s="1"/>
  <c r="W82" i="52254" s="1"/>
  <c r="W83" i="52254" s="1"/>
  <c r="W84" i="52254" s="1"/>
  <c r="W85" i="52254" s="1"/>
  <c r="W86" i="52254" s="1"/>
  <c r="W87" i="52254" s="1"/>
  <c r="W88" i="52254" s="1"/>
  <c r="W89" i="52254" s="1"/>
  <c r="W90" i="52254" s="1"/>
  <c r="W91" i="52254" s="1"/>
  <c r="W92" i="52254" s="1"/>
  <c r="W93" i="52254" s="1"/>
  <c r="W94" i="52254" s="1"/>
  <c r="W95" i="52254" s="1"/>
  <c r="W96" i="52254" s="1"/>
  <c r="W97" i="52254" s="1"/>
  <c r="W98" i="52254" s="1"/>
  <c r="W99" i="52254" s="1"/>
  <c r="W100" i="52254" s="1"/>
  <c r="W101" i="52254" s="1"/>
  <c r="W102" i="52254" s="1"/>
  <c r="W103" i="52254" s="1"/>
  <c r="W104" i="52254" s="1"/>
  <c r="W105" i="52254" s="1"/>
  <c r="W106" i="52254" s="1"/>
  <c r="W107" i="52254" s="1"/>
  <c r="W108" i="52254" s="1"/>
  <c r="W109" i="52254" s="1"/>
  <c r="W110" i="52254" s="1"/>
  <c r="W111" i="52254" s="1"/>
  <c r="W112" i="52254" s="1"/>
  <c r="W113" i="52254" s="1"/>
  <c r="W114" i="52254" s="1"/>
  <c r="W115" i="52254" s="1"/>
  <c r="W116" i="52254" s="1"/>
  <c r="W117" i="52254" s="1"/>
  <c r="W118" i="52254" s="1"/>
  <c r="W119" i="52254" s="1"/>
  <c r="W120" i="52254" s="1"/>
  <c r="W121" i="52254" s="1"/>
  <c r="W122" i="52254" s="1"/>
  <c r="W123" i="52254" s="1"/>
  <c r="W124" i="52254" s="1"/>
  <c r="W125" i="52254" s="1"/>
  <c r="W126" i="52254" s="1"/>
  <c r="W127" i="52254" s="1"/>
  <c r="W128" i="52254" s="1"/>
  <c r="W129" i="52254" s="1"/>
  <c r="W130" i="52254" s="1"/>
  <c r="W131" i="52254" s="1"/>
  <c r="W132" i="52254" s="1"/>
  <c r="W133" i="52254" s="1"/>
  <c r="W134" i="52254" s="1"/>
  <c r="W135" i="52254" s="1"/>
  <c r="W136" i="52254" s="1"/>
  <c r="W137" i="52254" s="1"/>
  <c r="W138" i="52254" s="1"/>
  <c r="W139" i="52254" s="1"/>
  <c r="W140" i="52254" s="1"/>
  <c r="W141" i="52254" s="1"/>
  <c r="W142" i="52254" s="1"/>
  <c r="W143" i="52254" s="1"/>
  <c r="W144" i="52254" s="1"/>
  <c r="W145" i="52254" s="1"/>
  <c r="W146" i="52254" s="1"/>
  <c r="W147" i="52254" s="1"/>
  <c r="W148" i="52254" s="1"/>
  <c r="W149" i="52254" s="1"/>
  <c r="W150" i="52254" s="1"/>
  <c r="W151" i="52254" s="1"/>
  <c r="W152" i="52254" s="1"/>
  <c r="W153" i="52254" s="1"/>
  <c r="W154" i="52254" s="1"/>
  <c r="W155" i="52254" s="1"/>
  <c r="W156" i="52254" s="1"/>
  <c r="W157" i="52254" s="1"/>
  <c r="W158" i="52254" s="1"/>
  <c r="W159" i="52254" s="1"/>
  <c r="W160" i="52254" s="1"/>
  <c r="W161" i="52254" s="1"/>
  <c r="W162" i="52254" s="1"/>
  <c r="W163" i="52254" s="1"/>
  <c r="W164" i="52254" s="1"/>
  <c r="W165" i="52254" s="1"/>
  <c r="W166" i="52254" s="1"/>
  <c r="W167" i="52254" s="1"/>
  <c r="W168" i="52254" s="1"/>
  <c r="W169" i="52254" s="1"/>
  <c r="W170" i="52254" s="1"/>
  <c r="W171" i="52254" s="1"/>
  <c r="W172" i="52254" s="1"/>
  <c r="W173" i="52254" s="1"/>
  <c r="W174" i="52254" s="1"/>
  <c r="W175" i="52254" s="1"/>
  <c r="W176" i="52254" s="1"/>
  <c r="W177" i="52254" s="1"/>
  <c r="W178" i="52254" s="1"/>
  <c r="W179" i="52254" s="1"/>
  <c r="W180" i="52254" s="1"/>
  <c r="W181" i="52254" s="1"/>
  <c r="W182" i="52254" s="1"/>
  <c r="W183" i="52254" s="1"/>
  <c r="W184" i="52254" s="1"/>
  <c r="W185" i="52254" s="1"/>
  <c r="W186" i="52254" s="1"/>
  <c r="I22" i="52256"/>
  <c r="K22" i="52256" s="1"/>
  <c r="M22" i="52256" s="1"/>
  <c r="M102" i="52254"/>
  <c r="M103" i="52254" s="1"/>
  <c r="M104" i="52254" s="1"/>
  <c r="M105" i="52254" s="1"/>
  <c r="M106" i="52254" s="1"/>
  <c r="H23" i="52256"/>
  <c r="I23" i="52256" s="1"/>
  <c r="K23" i="52256" s="1"/>
  <c r="M23" i="52256" s="1"/>
  <c r="O190" i="52254" l="1"/>
  <c r="P190" i="52254" s="1"/>
  <c r="K41" i="52256"/>
  <c r="P189" i="52254"/>
  <c r="P191" i="52254" s="1"/>
  <c r="O192" i="52254"/>
  <c r="P192" i="52254" s="1"/>
  <c r="O191" i="52254"/>
  <c r="M107" i="52254"/>
  <c r="M108" i="52254" s="1"/>
  <c r="M109" i="52254" s="1"/>
  <c r="M110" i="52254" s="1"/>
  <c r="M111" i="52254" s="1"/>
  <c r="H24" i="52256"/>
  <c r="D17" i="52256" l="1"/>
  <c r="H31" i="52255" s="1"/>
  <c r="L31" i="52255" s="1"/>
  <c r="E30" i="2"/>
  <c r="E27" i="2"/>
  <c r="X84" i="52254" s="1"/>
  <c r="D16" i="52256"/>
  <c r="H30" i="52255" s="1"/>
  <c r="L30" i="52255" s="1"/>
  <c r="D18" i="52256"/>
  <c r="H32" i="52255" s="1"/>
  <c r="L32" i="52255" s="1"/>
  <c r="E31" i="2"/>
  <c r="H25" i="52256"/>
  <c r="I25" i="52256" s="1"/>
  <c r="K25" i="52256" s="1"/>
  <c r="M25" i="52256" s="1"/>
  <c r="M112" i="52254"/>
  <c r="M113" i="52254" s="1"/>
  <c r="M114" i="52254" s="1"/>
  <c r="M115" i="52254" s="1"/>
  <c r="M116" i="52254" s="1"/>
  <c r="I24" i="52256"/>
  <c r="K24" i="52256" s="1"/>
  <c r="X88" i="52254" l="1"/>
  <c r="Q88" i="52254" s="1"/>
  <c r="P53" i="52254" s="1"/>
  <c r="L38" i="52255" s="1"/>
  <c r="G31" i="2"/>
  <c r="G27" i="2" s="1"/>
  <c r="G30" i="2"/>
  <c r="X87" i="52254"/>
  <c r="X187" i="52254" s="1"/>
  <c r="Q84" i="52254"/>
  <c r="M24" i="52256"/>
  <c r="M117" i="52254"/>
  <c r="M118" i="52254" s="1"/>
  <c r="M119" i="52254" s="1"/>
  <c r="M120" i="52254" s="1"/>
  <c r="M121" i="52254" s="1"/>
  <c r="H26" i="52256"/>
  <c r="I26" i="52256" s="1"/>
  <c r="K26" i="52256" s="1"/>
  <c r="M26" i="52256" s="1"/>
  <c r="Y88" i="52254" l="1"/>
  <c r="Y114" i="52254"/>
  <c r="Y180" i="52254"/>
  <c r="Y166" i="52254"/>
  <c r="Y99" i="52254"/>
  <c r="Y144" i="52254"/>
  <c r="Y93" i="52254"/>
  <c r="Y95" i="52254"/>
  <c r="Y138" i="52254"/>
  <c r="Y82" i="52254"/>
  <c r="Y139" i="52254"/>
  <c r="Y134" i="52254"/>
  <c r="Y160" i="52254"/>
  <c r="Y178" i="52254"/>
  <c r="Y107" i="52254"/>
  <c r="Y84" i="52254"/>
  <c r="Y163" i="52254"/>
  <c r="Y120" i="52254"/>
  <c r="Y98" i="52254"/>
  <c r="Y146" i="52254"/>
  <c r="Y108" i="52254"/>
  <c r="Y106" i="52254"/>
  <c r="Y109" i="52254"/>
  <c r="Y154" i="52254"/>
  <c r="Y167" i="52254"/>
  <c r="Y158" i="52254"/>
  <c r="Y89" i="52254"/>
  <c r="Y147" i="52254"/>
  <c r="Y142" i="52254"/>
  <c r="Y179" i="52254"/>
  <c r="Y113" i="52254"/>
  <c r="Y112" i="52254"/>
  <c r="Y149" i="52254"/>
  <c r="Y150" i="52254"/>
  <c r="Y174" i="52254"/>
  <c r="Y151" i="52254"/>
  <c r="Y156" i="52254"/>
  <c r="Y169" i="52254"/>
  <c r="Y80" i="52254"/>
  <c r="Y79" i="52254"/>
  <c r="Y170" i="52254"/>
  <c r="Y83" i="52254"/>
  <c r="Y152" i="52254"/>
  <c r="Y176" i="52254"/>
  <c r="Y81" i="52254"/>
  <c r="Y164" i="52254"/>
  <c r="Y161" i="52254"/>
  <c r="Y92" i="52254"/>
  <c r="Y173" i="52254"/>
  <c r="Y86" i="52254"/>
  <c r="Y172" i="52254"/>
  <c r="Y104" i="52254"/>
  <c r="Y105" i="52254"/>
  <c r="Y102" i="52254"/>
  <c r="Y128" i="52254"/>
  <c r="Y77" i="52254"/>
  <c r="Y117" i="52254"/>
  <c r="Y85" i="52254"/>
  <c r="Y184" i="52254"/>
  <c r="Y78" i="52254"/>
  <c r="Y118" i="52254"/>
  <c r="Y145" i="52254"/>
  <c r="Y119" i="52254"/>
  <c r="Y103" i="52254"/>
  <c r="Y171" i="52254"/>
  <c r="Y115" i="52254"/>
  <c r="Y121" i="52254"/>
  <c r="Y133" i="52254"/>
  <c r="Y175" i="52254"/>
  <c r="Y141" i="52254"/>
  <c r="Y126" i="52254"/>
  <c r="Y135" i="52254"/>
  <c r="Y100" i="52254"/>
  <c r="Y122" i="52254"/>
  <c r="Y183" i="52254"/>
  <c r="Y153" i="52254"/>
  <c r="Y157" i="52254"/>
  <c r="Y129" i="52254"/>
  <c r="Y90" i="52254"/>
  <c r="Y140" i="52254"/>
  <c r="Y96" i="52254"/>
  <c r="Y123" i="52254"/>
  <c r="Y127" i="52254"/>
  <c r="Y124" i="52254"/>
  <c r="Y125" i="52254"/>
  <c r="Y148" i="52254"/>
  <c r="Y131" i="52254"/>
  <c r="Y159" i="52254"/>
  <c r="Y94" i="52254"/>
  <c r="Y111" i="52254"/>
  <c r="Y185" i="52254"/>
  <c r="Y137" i="52254"/>
  <c r="Y186" i="52254"/>
  <c r="Y110" i="52254"/>
  <c r="Y136" i="52254"/>
  <c r="Y76" i="52254"/>
  <c r="Y165" i="52254"/>
  <c r="Y101" i="52254"/>
  <c r="Y91" i="52254"/>
  <c r="Y132" i="52254"/>
  <c r="Y177" i="52254"/>
  <c r="Y155" i="52254"/>
  <c r="Y168" i="52254"/>
  <c r="Y116" i="52254"/>
  <c r="Y181" i="52254"/>
  <c r="Y162" i="52254"/>
  <c r="Y130" i="52254"/>
  <c r="Y143" i="52254"/>
  <c r="Y182" i="52254"/>
  <c r="Y97" i="52254"/>
  <c r="Q87" i="52254"/>
  <c r="Y87" i="52254"/>
  <c r="H27" i="52256"/>
  <c r="I27" i="52256" s="1"/>
  <c r="K27" i="52256" s="1"/>
  <c r="M27" i="52256" s="1"/>
  <c r="M122" i="52254"/>
  <c r="M123" i="52254" s="1"/>
  <c r="M124" i="52254" s="1"/>
  <c r="M125" i="52254" s="1"/>
  <c r="M126" i="52254" s="1"/>
  <c r="Y187" i="52254" l="1"/>
  <c r="Z76" i="52254"/>
  <c r="Z77" i="52254" s="1"/>
  <c r="Z78" i="52254" s="1"/>
  <c r="Z79" i="52254" s="1"/>
  <c r="Z80" i="52254" s="1"/>
  <c r="Z81" i="52254" s="1"/>
  <c r="Z82" i="52254" s="1"/>
  <c r="Z83" i="52254" s="1"/>
  <c r="Z84" i="52254" s="1"/>
  <c r="Z85" i="52254" s="1"/>
  <c r="Z86" i="52254" s="1"/>
  <c r="Z87" i="52254" s="1"/>
  <c r="Z88" i="52254" s="1"/>
  <c r="Z89" i="52254" s="1"/>
  <c r="Z90" i="52254" s="1"/>
  <c r="Z91" i="52254" s="1"/>
  <c r="Z92" i="52254" s="1"/>
  <c r="Z93" i="52254" s="1"/>
  <c r="Z94" i="52254" s="1"/>
  <c r="Z95" i="52254" s="1"/>
  <c r="Z96" i="52254" s="1"/>
  <c r="Z97" i="52254" s="1"/>
  <c r="Z98" i="52254" s="1"/>
  <c r="Z99" i="52254" s="1"/>
  <c r="Z100" i="52254" s="1"/>
  <c r="Z101" i="52254" s="1"/>
  <c r="Z102" i="52254" s="1"/>
  <c r="Z103" i="52254" s="1"/>
  <c r="Z104" i="52254" s="1"/>
  <c r="Z105" i="52254" s="1"/>
  <c r="Z106" i="52254" s="1"/>
  <c r="Z107" i="52254" s="1"/>
  <c r="Z108" i="52254" s="1"/>
  <c r="Z109" i="52254" s="1"/>
  <c r="Z110" i="52254" s="1"/>
  <c r="Z111" i="52254" s="1"/>
  <c r="Z112" i="52254" s="1"/>
  <c r="Z113" i="52254" s="1"/>
  <c r="Z114" i="52254" s="1"/>
  <c r="Z115" i="52254" s="1"/>
  <c r="Z116" i="52254" s="1"/>
  <c r="Z117" i="52254" s="1"/>
  <c r="Z118" i="52254" s="1"/>
  <c r="Z119" i="52254" s="1"/>
  <c r="Z120" i="52254" s="1"/>
  <c r="Z121" i="52254" s="1"/>
  <c r="Z122" i="52254" s="1"/>
  <c r="Z123" i="52254" s="1"/>
  <c r="Z124" i="52254" s="1"/>
  <c r="Z125" i="52254" s="1"/>
  <c r="Z126" i="52254" s="1"/>
  <c r="Z127" i="52254" s="1"/>
  <c r="Z128" i="52254" s="1"/>
  <c r="Z129" i="52254" s="1"/>
  <c r="Z130" i="52254" s="1"/>
  <c r="Z131" i="52254" s="1"/>
  <c r="Z132" i="52254" s="1"/>
  <c r="Z133" i="52254" s="1"/>
  <c r="Z134" i="52254" s="1"/>
  <c r="Z135" i="52254" s="1"/>
  <c r="Z136" i="52254" s="1"/>
  <c r="Z137" i="52254" s="1"/>
  <c r="Z138" i="52254" s="1"/>
  <c r="Z139" i="52254" s="1"/>
  <c r="Z140" i="52254" s="1"/>
  <c r="Z141" i="52254" s="1"/>
  <c r="Z142" i="52254" s="1"/>
  <c r="Z143" i="52254" s="1"/>
  <c r="Z144" i="52254" s="1"/>
  <c r="Z145" i="52254" s="1"/>
  <c r="Z146" i="52254" s="1"/>
  <c r="Z147" i="52254" s="1"/>
  <c r="Z148" i="52254" s="1"/>
  <c r="Z149" i="52254" s="1"/>
  <c r="Z150" i="52254" s="1"/>
  <c r="Z151" i="52254" s="1"/>
  <c r="Z152" i="52254" s="1"/>
  <c r="Z153" i="52254" s="1"/>
  <c r="Z154" i="52254" s="1"/>
  <c r="Z155" i="52254" s="1"/>
  <c r="Z156" i="52254" s="1"/>
  <c r="Z157" i="52254" s="1"/>
  <c r="Z158" i="52254" s="1"/>
  <c r="Z159" i="52254" s="1"/>
  <c r="Z160" i="52254" s="1"/>
  <c r="Z161" i="52254" s="1"/>
  <c r="Z162" i="52254" s="1"/>
  <c r="Z163" i="52254" s="1"/>
  <c r="Z164" i="52254" s="1"/>
  <c r="Z165" i="52254" s="1"/>
  <c r="Z166" i="52254" s="1"/>
  <c r="Z167" i="52254" s="1"/>
  <c r="Z168" i="52254" s="1"/>
  <c r="Z169" i="52254" s="1"/>
  <c r="Z170" i="52254" s="1"/>
  <c r="Z171" i="52254" s="1"/>
  <c r="Z172" i="52254" s="1"/>
  <c r="Z173" i="52254" s="1"/>
  <c r="Z174" i="52254" s="1"/>
  <c r="Z175" i="52254" s="1"/>
  <c r="Z176" i="52254" s="1"/>
  <c r="Z177" i="52254" s="1"/>
  <c r="Z178" i="52254" s="1"/>
  <c r="Z179" i="52254" s="1"/>
  <c r="Z180" i="52254" s="1"/>
  <c r="Z181" i="52254" s="1"/>
  <c r="Z182" i="52254" s="1"/>
  <c r="Z183" i="52254" s="1"/>
  <c r="Z184" i="52254" s="1"/>
  <c r="Z185" i="52254" s="1"/>
  <c r="Z186" i="52254" s="1"/>
  <c r="M127" i="52254"/>
  <c r="M128" i="52254" s="1"/>
  <c r="M129" i="52254" s="1"/>
  <c r="M130" i="52254" s="1"/>
  <c r="M131" i="52254" s="1"/>
  <c r="H28" i="52256"/>
  <c r="I28" i="52256" s="1"/>
  <c r="K28" i="52256" s="1"/>
  <c r="M28" i="52256" s="1"/>
  <c r="H29" i="52256" l="1"/>
  <c r="I29" i="52256" s="1"/>
  <c r="K29" i="52256" s="1"/>
  <c r="M29" i="52256" s="1"/>
  <c r="M132" i="52254"/>
  <c r="M133" i="52254" s="1"/>
  <c r="M134" i="52254" s="1"/>
  <c r="M135" i="52254" s="1"/>
  <c r="M136" i="52254" s="1"/>
  <c r="M137" i="52254" l="1"/>
  <c r="M138" i="52254" s="1"/>
  <c r="M139" i="52254" s="1"/>
  <c r="M140" i="52254" s="1"/>
  <c r="M141" i="52254" s="1"/>
  <c r="H30" i="52256"/>
  <c r="I30" i="52256" s="1"/>
  <c r="K30" i="52256" s="1"/>
  <c r="M30" i="52256" s="1"/>
  <c r="M142" i="52254" l="1"/>
  <c r="M143" i="52254" s="1"/>
  <c r="M144" i="52254" s="1"/>
  <c r="M145" i="52254" s="1"/>
  <c r="M146" i="52254" s="1"/>
  <c r="H31" i="52256"/>
  <c r="I31" i="52256" s="1"/>
  <c r="K31" i="52256" s="1"/>
  <c r="M31" i="52256" s="1"/>
  <c r="M147" i="52254" l="1"/>
  <c r="M148" i="52254" s="1"/>
  <c r="M149" i="52254" s="1"/>
  <c r="M150" i="52254" s="1"/>
  <c r="M151" i="52254" s="1"/>
  <c r="H32" i="52256"/>
  <c r="I32" i="52256" s="1"/>
  <c r="K32" i="52256" s="1"/>
  <c r="M32" i="52256" s="1"/>
  <c r="M152" i="52254" l="1"/>
  <c r="M153" i="52254" s="1"/>
  <c r="M154" i="52254" s="1"/>
  <c r="M155" i="52254" s="1"/>
  <c r="M156" i="52254" s="1"/>
  <c r="H33" i="52256"/>
  <c r="I33" i="52256" s="1"/>
  <c r="K33" i="52256" s="1"/>
  <c r="M33" i="52256" s="1"/>
  <c r="M157" i="52254" l="1"/>
  <c r="M158" i="52254" s="1"/>
  <c r="M159" i="52254" s="1"/>
  <c r="M160" i="52254" s="1"/>
  <c r="M161" i="52254" s="1"/>
  <c r="H34" i="52256"/>
  <c r="I34" i="52256" s="1"/>
  <c r="K34" i="52256" s="1"/>
  <c r="M34" i="52256" s="1"/>
  <c r="M162" i="52254" l="1"/>
  <c r="M163" i="52254" s="1"/>
  <c r="M164" i="52254" s="1"/>
  <c r="M165" i="52254" s="1"/>
  <c r="M166" i="52254" s="1"/>
  <c r="H35" i="52256"/>
  <c r="I35" i="52256" s="1"/>
  <c r="K35" i="52256" s="1"/>
  <c r="M35" i="52256" s="1"/>
  <c r="M167" i="52254" l="1"/>
  <c r="M168" i="52254" s="1"/>
  <c r="M169" i="52254" s="1"/>
  <c r="M170" i="52254" s="1"/>
  <c r="M171" i="52254" s="1"/>
  <c r="H36" i="52256"/>
  <c r="I36" i="52256" s="1"/>
  <c r="K36" i="52256" s="1"/>
  <c r="M36" i="52256" s="1"/>
  <c r="M172" i="52254" l="1"/>
  <c r="M173" i="52254" s="1"/>
  <c r="M174" i="52254" s="1"/>
  <c r="M175" i="52254" s="1"/>
  <c r="M176" i="52254" s="1"/>
  <c r="H37" i="52256"/>
  <c r="I37" i="52256" s="1"/>
  <c r="K37" i="52256" s="1"/>
  <c r="M37" i="52256" s="1"/>
  <c r="H38" i="52256" l="1"/>
  <c r="M177" i="52254"/>
  <c r="M178" i="52254" s="1"/>
  <c r="M179" i="52254" s="1"/>
  <c r="M180" i="52254" s="1"/>
  <c r="M181" i="52254" s="1"/>
  <c r="I38" i="52256" l="1"/>
  <c r="K38" i="52256" s="1"/>
  <c r="M182" i="52254"/>
  <c r="M183" i="52254" s="1"/>
  <c r="M184" i="52254" s="1"/>
  <c r="M185" i="52254" s="1"/>
  <c r="M186" i="52254" s="1"/>
  <c r="H40" i="52256" s="1"/>
  <c r="H39" i="52256"/>
  <c r="I40" i="52256" l="1"/>
  <c r="K40" i="52256" s="1"/>
  <c r="M38" i="52256"/>
  <c r="I39" i="52256"/>
  <c r="K39" i="52256" s="1"/>
  <c r="M39" i="52256" s="1"/>
  <c r="M40" i="52256" l="1"/>
  <c r="N18" i="52256" s="1"/>
  <c r="N19" i="52256" s="1"/>
  <c r="N20" i="52256" s="1"/>
  <c r="N21" i="52256" s="1"/>
  <c r="N22" i="52256" s="1"/>
  <c r="N23" i="52256" s="1"/>
  <c r="N24" i="52256" s="1"/>
  <c r="N25" i="52256" s="1"/>
  <c r="N26" i="52256" s="1"/>
  <c r="N27" i="52256" s="1"/>
  <c r="N28" i="52256" s="1"/>
  <c r="N29" i="52256" s="1"/>
  <c r="N30" i="52256" s="1"/>
  <c r="N31" i="52256" s="1"/>
  <c r="N32" i="52256" s="1"/>
  <c r="N33" i="52256" s="1"/>
  <c r="N34" i="52256" s="1"/>
  <c r="N35" i="52256" s="1"/>
  <c r="N36" i="52256" s="1"/>
  <c r="N37" i="52256" s="1"/>
  <c r="N38" i="52256" s="1"/>
  <c r="N39" i="52256" s="1"/>
  <c r="N40" i="52256" s="1"/>
  <c r="L18" i="52256"/>
  <c r="L19" i="52256" s="1"/>
  <c r="L20" i="52256" s="1"/>
  <c r="L21" i="52256" s="1"/>
  <c r="L22" i="52256" s="1"/>
  <c r="L23" i="52256" s="1"/>
  <c r="L24" i="52256" s="1"/>
  <c r="L25" i="52256" s="1"/>
  <c r="L26" i="52256" s="1"/>
  <c r="L27" i="52256" s="1"/>
  <c r="L28" i="52256" s="1"/>
  <c r="L29" i="52256" s="1"/>
  <c r="L30" i="52256" s="1"/>
  <c r="L31" i="52256" s="1"/>
  <c r="L32" i="52256" s="1"/>
  <c r="L33" i="52256" s="1"/>
  <c r="L34" i="52256" s="1"/>
  <c r="L35" i="52256" s="1"/>
  <c r="L36" i="52256" s="1"/>
  <c r="L37" i="52256" s="1"/>
  <c r="L38" i="52256" s="1"/>
  <c r="L39" i="52256" s="1"/>
  <c r="L40" i="52256" s="1"/>
  <c r="M41" i="52256" l="1"/>
</calcChain>
</file>

<file path=xl/sharedStrings.xml><?xml version="1.0" encoding="utf-8"?>
<sst xmlns="http://schemas.openxmlformats.org/spreadsheetml/2006/main" count="787" uniqueCount="302">
  <si>
    <t>mm</t>
  </si>
  <si>
    <t>Capaciteit</t>
  </si>
  <si>
    <t>°C</t>
  </si>
  <si>
    <t>m/s</t>
  </si>
  <si>
    <t>druk</t>
  </si>
  <si>
    <t>[%]</t>
  </si>
  <si>
    <t>Druk</t>
  </si>
  <si>
    <t>Temperatuur</t>
  </si>
  <si>
    <t>Nm³/s</t>
  </si>
  <si>
    <t>Nm³/h</t>
  </si>
  <si>
    <t>INVOER</t>
  </si>
  <si>
    <t>bar(abs)</t>
  </si>
  <si>
    <t>mbar(g)</t>
  </si>
  <si>
    <t>Performance berekening Van Tongeren Cycloon.</t>
  </si>
  <si>
    <t>soortelijke massa</t>
  </si>
  <si>
    <t>kg/Nm³</t>
  </si>
  <si>
    <t>kg/am³</t>
  </si>
  <si>
    <t>kg/m³</t>
  </si>
  <si>
    <t>Stofaanbod</t>
  </si>
  <si>
    <t>stofaanbod</t>
  </si>
  <si>
    <t>g/am³</t>
  </si>
  <si>
    <t>g/Nm³</t>
  </si>
  <si>
    <t>Cycloontype</t>
  </si>
  <si>
    <t>AC</t>
  </si>
  <si>
    <t>Datum:</t>
  </si>
  <si>
    <t>VTK ref.:</t>
  </si>
  <si>
    <t>Klant ref.:</t>
  </si>
  <si>
    <t>Klant:</t>
  </si>
  <si>
    <t xml:space="preserve">Aantal cyclonen </t>
  </si>
  <si>
    <t>(parallel)</t>
  </si>
  <si>
    <t>V(in) ontwerp</t>
  </si>
  <si>
    <t>Aanbevolen diameter:</t>
  </si>
  <si>
    <t>KIES DIAMETER</t>
  </si>
  <si>
    <t>Eventuele correctie</t>
  </si>
  <si>
    <t>Hoge belading</t>
  </si>
  <si>
    <t>Neen</t>
  </si>
  <si>
    <t>Ja</t>
  </si>
  <si>
    <r>
      <t>Dia[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</si>
  <si>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% &gt; of&lt; D</t>
  </si>
  <si>
    <t>V(in)</t>
  </si>
  <si>
    <t>V(uit)</t>
  </si>
  <si>
    <t>Rendement</t>
  </si>
  <si>
    <t>Drukval</t>
  </si>
  <si>
    <t>Emissie</t>
  </si>
  <si>
    <t>[g/Nm³]</t>
  </si>
  <si>
    <t>Pa (abs)</t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</si>
  <si>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/s</t>
    </r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</si>
  <si>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/h</t>
    </r>
  </si>
  <si>
    <t>am³/s</t>
  </si>
  <si>
    <r>
      <t>r</t>
    </r>
    <r>
      <rPr>
        <sz val="10"/>
        <rFont val="Arial"/>
        <family val="2"/>
      </rPr>
      <t>(actual)/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(norm)</t>
    </r>
  </si>
  <si>
    <t>% dalend of stijgend</t>
  </si>
  <si>
    <t>Cycloondiameter</t>
  </si>
  <si>
    <t>corr</t>
  </si>
  <si>
    <t>F(mod)</t>
  </si>
  <si>
    <t>[vernauwing insteekpijp]</t>
  </si>
  <si>
    <t>Berekeningsblad</t>
  </si>
  <si>
    <t xml:space="preserve">  </t>
  </si>
  <si>
    <t>kg/h</t>
  </si>
  <si>
    <t>am³/s:</t>
  </si>
  <si>
    <t>1850 onderafz</t>
  </si>
  <si>
    <t>Pa  (g)</t>
  </si>
  <si>
    <t>mm wk(g)</t>
  </si>
  <si>
    <t>A</t>
  </si>
  <si>
    <t>B</t>
  </si>
  <si>
    <t>E</t>
  </si>
  <si>
    <t>F</t>
  </si>
  <si>
    <t>F1</t>
  </si>
  <si>
    <t>L</t>
  </si>
  <si>
    <t>AC/100</t>
  </si>
  <si>
    <t>a</t>
  </si>
  <si>
    <t>a'</t>
  </si>
  <si>
    <t>d(%), µm</t>
  </si>
  <si>
    <t>m</t>
  </si>
  <si>
    <t>d(95)</t>
  </si>
  <si>
    <t>m'</t>
  </si>
  <si>
    <t>d(90)</t>
  </si>
  <si>
    <t>kappa</t>
  </si>
  <si>
    <t>d(50)</t>
  </si>
  <si>
    <t>kappa'</t>
  </si>
  <si>
    <t>d(10)</t>
  </si>
  <si>
    <t>d(5)</t>
  </si>
  <si>
    <t>Dmax</t>
  </si>
  <si>
    <t>drukcoef</t>
  </si>
  <si>
    <t>[Pa],gaszijde</t>
  </si>
  <si>
    <t>[Pa], stofzijde</t>
  </si>
  <si>
    <t>per cycloon</t>
  </si>
  <si>
    <t>Dmin</t>
  </si>
  <si>
    <t>stap</t>
  </si>
  <si>
    <t>d</t>
  </si>
  <si>
    <t>k</t>
  </si>
  <si>
    <t>psdcum</t>
  </si>
  <si>
    <t>% &gt;d</t>
  </si>
  <si>
    <t>d(1)</t>
  </si>
  <si>
    <t>d(2)</t>
  </si>
  <si>
    <t>p(1)</t>
  </si>
  <si>
    <t>p(2)</t>
  </si>
  <si>
    <t>teller</t>
  </si>
  <si>
    <t xml:space="preserve">teller </t>
  </si>
  <si>
    <t>interpolatie</t>
  </si>
  <si>
    <t>psd dif</t>
  </si>
  <si>
    <t>[kg/am3]</t>
  </si>
  <si>
    <t>load</t>
  </si>
  <si>
    <t>correctie</t>
  </si>
  <si>
    <t>Gasdebiet/batterij</t>
  </si>
  <si>
    <t>Temperature</t>
  </si>
  <si>
    <t>Pressure</t>
  </si>
  <si>
    <t>[°C]</t>
  </si>
  <si>
    <t>[Nm³/s] =</t>
  </si>
  <si>
    <t>[Nm³/h]</t>
  </si>
  <si>
    <t>[am³/h]</t>
  </si>
  <si>
    <t>[am³/s] =</t>
  </si>
  <si>
    <t>Gas density</t>
  </si>
  <si>
    <t>[kg/am³]=</t>
  </si>
  <si>
    <t>[mPas]</t>
  </si>
  <si>
    <t>Solids density</t>
  </si>
  <si>
    <t>Solids loading</t>
  </si>
  <si>
    <t>[g/am³]=</t>
  </si>
  <si>
    <t>[kg/m³]</t>
  </si>
  <si>
    <t xml:space="preserve">Cyclone type </t>
  </si>
  <si>
    <t>V(out)</t>
  </si>
  <si>
    <t>[mm]</t>
  </si>
  <si>
    <t>[m/s]</t>
  </si>
  <si>
    <t>Vortexfinder modification</t>
  </si>
  <si>
    <t>DIMENSIONS [mm]</t>
  </si>
  <si>
    <t>M</t>
  </si>
  <si>
    <t>O</t>
  </si>
  <si>
    <t>P</t>
  </si>
  <si>
    <t>Q</t>
  </si>
  <si>
    <t>PERFORMANCE</t>
  </si>
  <si>
    <t>Efficiency</t>
  </si>
  <si>
    <t>Emission</t>
  </si>
  <si>
    <t>[Pa]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</si>
  <si>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</si>
  <si>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diameter</t>
  </si>
  <si>
    <t xml:space="preserve">class </t>
  </si>
  <si>
    <t>psd cum</t>
  </si>
  <si>
    <t>psd diff</t>
  </si>
  <si>
    <t>% of feed</t>
  </si>
  <si>
    <t>loss abs</t>
  </si>
  <si>
    <t>abs</t>
  </si>
  <si>
    <t>sum:</t>
  </si>
  <si>
    <t>[kg/Nm³]</t>
  </si>
  <si>
    <t>No. of cyclones parallel</t>
  </si>
  <si>
    <t>[g/am³]</t>
  </si>
  <si>
    <t>inlet-dust</t>
  </si>
  <si>
    <t>z</t>
  </si>
  <si>
    <t>???</t>
  </si>
  <si>
    <r>
      <t>standaard:</t>
    </r>
    <r>
      <rPr>
        <i/>
        <sz val="10"/>
        <rFont val="Arial"/>
        <family val="2"/>
      </rPr>
      <t xml:space="preserve"> Neen</t>
    </r>
  </si>
  <si>
    <t>Volume flow rate (tot).</t>
  </si>
  <si>
    <t>CYCLONE PERFORMANCE</t>
  </si>
  <si>
    <t>tot:</t>
  </si>
  <si>
    <t>Dyn. viscositeit gas</t>
  </si>
  <si>
    <t>Dynamic viscosity</t>
  </si>
  <si>
    <t>Pressure drop</t>
  </si>
  <si>
    <t>Insteekpijpmodificatie</t>
  </si>
  <si>
    <t>JA/NEE</t>
  </si>
  <si>
    <t>kg/s.cycl</t>
  </si>
  <si>
    <t>RELEASE: 3 september 2002/hcg</t>
  </si>
  <si>
    <t xml:space="preserve"> Client</t>
  </si>
  <si>
    <t xml:space="preserve"> Client ref.</t>
  </si>
  <si>
    <t xml:space="preserve"> Date</t>
  </si>
  <si>
    <t xml:space="preserve"> VTK ref.</t>
  </si>
  <si>
    <t>L =</t>
  </si>
  <si>
    <t>M =</t>
  </si>
  <si>
    <t>O =</t>
  </si>
  <si>
    <t>P =</t>
  </si>
  <si>
    <t>Q =</t>
  </si>
  <si>
    <t>0.625P =</t>
  </si>
  <si>
    <t>F   =</t>
  </si>
  <si>
    <t>E   =</t>
  </si>
  <si>
    <t>B   =</t>
  </si>
  <si>
    <t>A   =</t>
  </si>
  <si>
    <t>D   =</t>
  </si>
  <si>
    <t>G   =</t>
  </si>
  <si>
    <r>
      <t>F1</t>
    </r>
    <r>
      <rPr>
        <sz val="4"/>
        <rFont val="Arial"/>
        <family val="2"/>
      </rPr>
      <t xml:space="preserve">      </t>
    </r>
    <r>
      <rPr>
        <sz val="10"/>
        <rFont val="Arial"/>
        <family val="2"/>
      </rPr>
      <t>=</t>
    </r>
  </si>
  <si>
    <t xml:space="preserve"> By</t>
  </si>
  <si>
    <t xml:space="preserve"> Release</t>
  </si>
  <si>
    <t>Cyclone cylinder dia.</t>
  </si>
  <si>
    <t>- inlet to gas outlet</t>
  </si>
  <si>
    <t>- inlet to dust outlet</t>
  </si>
  <si>
    <t>Door :</t>
  </si>
  <si>
    <t>feed</t>
  </si>
  <si>
    <t>loss</t>
  </si>
  <si>
    <t>catch</t>
  </si>
  <si>
    <t>grade</t>
  </si>
  <si>
    <t>efficiency</t>
  </si>
  <si>
    <t>Load effect</t>
  </si>
  <si>
    <t>INVOER IN STANDAARD EENHEDEN</t>
  </si>
  <si>
    <t>BEREKENING DRUKVAL</t>
  </si>
  <si>
    <t>Pa</t>
  </si>
  <si>
    <t>PERFORMANCE CYCLOON</t>
  </si>
  <si>
    <t>d [μm]</t>
  </si>
  <si>
    <t>ROSIN RAMMLER CURVE DOOR TWEE DICHTSTBIJGELEGEN PUNTEN</t>
  </si>
  <si>
    <t>Loss totaal</t>
  </si>
  <si>
    <t>GEFRACTIONEERDE VERLIESCURVE</t>
  </si>
  <si>
    <t>GEFRACTIONEERDE DEELTJESGROOTTEVERDELING DOOR INTERPOLATIE</t>
  </si>
  <si>
    <t>weerst.coeff dust</t>
  </si>
  <si>
    <t>gecorrigeerd voor vernauwing insteekpijp</t>
  </si>
  <si>
    <r>
      <t>loss=1 --&gt; d=m</t>
    </r>
    <r>
      <rPr>
        <sz val="9"/>
        <rFont val="Arial"/>
        <family val="2"/>
      </rPr>
      <t>·K</t>
    </r>
  </si>
  <si>
    <t>BEPALING K-WAARDE &amp; CORRECTIEFACTOREN</t>
  </si>
  <si>
    <t>fmod</t>
  </si>
  <si>
    <t>correctie insteekpijp:</t>
  </si>
  <si>
    <t>fractie &gt;d</t>
  </si>
  <si>
    <t>if d&lt;dcrit</t>
  </si>
  <si>
    <t>if d&gt;dcrit</t>
  </si>
  <si>
    <t>d gem / K</t>
  </si>
  <si>
    <t>loss_corr</t>
  </si>
  <si>
    <t>ZONDER EN MET CORRECTIE VOOR STOFBELADING</t>
  </si>
  <si>
    <t>d gem [μm]</t>
  </si>
  <si>
    <t>VAN TONGEREN STANDAARD CYCLOONAFMETINGEN  EN BASIS-VERLIESCURVEN</t>
  </si>
  <si>
    <t>inlet-gas</t>
  </si>
  <si>
    <t>850*</t>
  </si>
  <si>
    <t>1850*</t>
  </si>
  <si>
    <t>* met onderafzuiging</t>
  </si>
  <si>
    <t>f</t>
  </si>
  <si>
    <t>f1</t>
  </si>
  <si>
    <t>f2</t>
  </si>
  <si>
    <t>f3</t>
  </si>
  <si>
    <t>f4</t>
  </si>
  <si>
    <t>CORRECTIONS: 11 october 2010/gvg</t>
  </si>
  <si>
    <t>K (Stokes)</t>
  </si>
  <si>
    <t>K</t>
  </si>
  <si>
    <t>als d&lt;dcrit</t>
  </si>
  <si>
    <t>als d&gt;dcrit</t>
  </si>
  <si>
    <t>d/K(crit)</t>
  </si>
  <si>
    <t>correctie stofbelading vlgs VT-UK:</t>
  </si>
  <si>
    <t>%</t>
  </si>
  <si>
    <t>abs [%]</t>
  </si>
  <si>
    <t>*</t>
  </si>
  <si>
    <t>HULPTABEL KORRELGROOTTEVERDELING</t>
  </si>
  <si>
    <t>Deze wordt gebruikt voor het opstellen van de gefractioneerde</t>
  </si>
  <si>
    <t>Controleer of de Rosin Rammler verdeling een niet te extreme interpolatie / extrapolatie</t>
  </si>
  <si>
    <t>overall</t>
  </si>
  <si>
    <t>tbv grafiek</t>
  </si>
  <si>
    <t>som psd dif:</t>
  </si>
  <si>
    <t>stapgrootte bij 110-staps logaritmische verdeling van het</t>
  </si>
  <si>
    <t>deeltjesdiameter-bereik van loss=100% tot 0,00000001%</t>
  </si>
  <si>
    <t>De restfractie &gt; Dmax op basis van de Rosin-Rammler verdeling heeft een verlies gelijk aan nul.</t>
  </si>
  <si>
    <t>verliescurve.</t>
  </si>
  <si>
    <t>Het theoretisch laagst mogelijke verlies van deze berekeningsmethode bedraagt hierdoor 100% x 0,0000001=0,00001%</t>
  </si>
  <si>
    <t>De fout (overschatting) in de berekening is veel kleiner dan de fout die doorwerkt vanuit de basisverliescurven.</t>
  </si>
  <si>
    <t>μm are not relevant for calculation of cyclone efficiency. Grade efficiency for these particles is 100 %</t>
  </si>
  <si>
    <t>Check</t>
  </si>
  <si>
    <t>(verlies van fractie &gt; Dmax) / (totale verlies) =</t>
  </si>
  <si>
    <t>Per deeltjesgroottefractie wordt het gemiddelde verlies bepaald a.h.v. de verliescurve</t>
  </si>
  <si>
    <t>en de ongewogen gemiddelde deeltjesgrootte.</t>
  </si>
  <si>
    <t>van de ingevoerde deeltjesgrootteverdeling betreft --&gt; grafiek</t>
  </si>
  <si>
    <t>Correctie hoge belading</t>
  </si>
  <si>
    <t>Niet gebruikte vakjes blanco laten</t>
  </si>
  <si>
    <t>g/Nm3</t>
  </si>
  <si>
    <t>De Rosin Rammler PSD is een interpretatie van de invoergegevens.</t>
  </si>
  <si>
    <t>μm are lost. Grade efficiency for these particles is 0 %</t>
  </si>
  <si>
    <t>catch [%]</t>
  </si>
  <si>
    <t>DETAIL RESULTS*</t>
  </si>
  <si>
    <t>Notes:</t>
  </si>
  <si>
    <r>
      <t>Siz</t>
    </r>
    <r>
      <rPr>
        <sz val="10"/>
        <rFont val="Arial"/>
        <family val="2"/>
      </rPr>
      <t>e fractions &gt;</t>
    </r>
  </si>
  <si>
    <r>
      <t>Siz</t>
    </r>
    <r>
      <rPr>
        <sz val="10"/>
        <rFont val="Arial"/>
        <family val="2"/>
      </rPr>
      <t>e fractions &lt;</t>
    </r>
  </si>
  <si>
    <t>Table results are included for illustration purposes. Actual calculations underlying presented emission results are more accurate.</t>
  </si>
  <si>
    <t>% mag niet nul zijn</t>
  </si>
  <si>
    <t>Verlies van eerste trap</t>
  </si>
  <si>
    <t>Cycloontype AC</t>
  </si>
  <si>
    <t>-</t>
  </si>
  <si>
    <t>TRAP 1</t>
  </si>
  <si>
    <t>TRAP 2</t>
  </si>
  <si>
    <t>BEREKENINGSINFO</t>
  </si>
  <si>
    <r>
      <t xml:space="preserve">mPas </t>
    </r>
    <r>
      <rPr>
        <sz val="8"/>
        <rFont val="Arial"/>
        <family val="2"/>
      </rPr>
      <t>of</t>
    </r>
    <r>
      <rPr>
        <sz val="10"/>
        <rFont val="Arial"/>
        <family val="2"/>
      </rPr>
      <t xml:space="preserve"> cP</t>
    </r>
  </si>
  <si>
    <t>KORRELGROOTTEVERDELING</t>
  </si>
  <si>
    <t>Dichtheid gas</t>
  </si>
  <si>
    <t>Deeltjesdichtheid</t>
  </si>
  <si>
    <t>TOTAL</t>
  </si>
  <si>
    <t>genormaliseerd</t>
  </si>
  <si>
    <t>psdcum [%]</t>
  </si>
  <si>
    <t>PERFORMANCE STAGE 1</t>
  </si>
  <si>
    <t>PERFORMANCE STAGE 2</t>
  </si>
  <si>
    <t>PERFORMANCE TOTAL</t>
  </si>
  <si>
    <t>Minimale deeltjesgrootte voor trap 2</t>
  </si>
  <si>
    <t>Deeltjesgrootteverdeling van trap 1</t>
  </si>
  <si>
    <t>μm are lost. Grade efficiency of stage 2 for these particles is 0 %</t>
  </si>
  <si>
    <t>Check in the graph if the calculated Rosin Rammler distribution matches given particle size distribution.</t>
  </si>
  <si>
    <t>Gebaseerd op minimale deeltjesgrootte voor trap 2</t>
  </si>
  <si>
    <t>μm are not relevant for calculation of cyclone efficiency. Grade efficiency of stage 2 for these particles is 100 %</t>
  </si>
  <si>
    <t>STAGE 1</t>
  </si>
  <si>
    <t>STAGE 2</t>
  </si>
  <si>
    <t>abs [g/Nm3]</t>
  </si>
  <si>
    <t>in</t>
  </si>
  <si>
    <t>eff. stage 1&amp;2</t>
  </si>
  <si>
    <t>TOTAL PERFORMANCE TRAP 1 &amp; 2</t>
  </si>
  <si>
    <t>Note: total fraction larger than dmax is assumed</t>
  </si>
  <si>
    <r>
      <rPr>
        <sz val="10"/>
        <rFont val="Arial"/>
        <family val="2"/>
      </rPr>
      <t>F/(F</t>
    </r>
    <r>
      <rPr>
        <vertAlign val="subscript"/>
        <sz val="10"/>
        <rFont val="Arial"/>
        <family val="2"/>
      </rPr>
      <t>std</t>
    </r>
    <r>
      <rPr>
        <sz val="10"/>
        <rFont val="Arial"/>
        <family val="2"/>
      </rPr>
      <t>);gebruikelijk:1; voor AC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>435 evt.getal tussen 0.8 en 1)</t>
    </r>
  </si>
  <si>
    <t>here to have loss number equal to that of dmax</t>
  </si>
  <si>
    <t>2e trap toegevoegd: 19-3-2014/gvg</t>
  </si>
  <si>
    <t>LOSS</t>
  </si>
  <si>
    <t>TOTAL GRADE</t>
  </si>
  <si>
    <t>IN</t>
  </si>
  <si>
    <t>LOSS 1</t>
  </si>
  <si>
    <t>LOSS 2</t>
  </si>
  <si>
    <t>L+M+3P=</t>
  </si>
  <si>
    <t>K multiplication factor</t>
  </si>
  <si>
    <t>1st stage</t>
  </si>
  <si>
    <t>2nd stage</t>
  </si>
  <si>
    <t>Cargill P</t>
  </si>
  <si>
    <t>Q18.1161a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</si>
</sst>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0"/>
    <numFmt numFmtId="166" formatCode="0.000"/>
    <numFmt numFmtId="167" formatCode="0.00000"/>
    <numFmt numFmtId="168" formatCode="dd/mm/yy"/>
    <numFmt numFmtId="169" formatCode="0.0000E+00"/>
    <numFmt numFmtId="170" formatCode="0.000E+00"/>
    <numFmt numFmtId="171" formatCode="0.0E+00"/>
    <numFmt numFmtId="172" formatCode="&quot;Lucht bij T, waarde: &quot;0.000"/>
  </numFmts>
  <fonts count="27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10"/>
      <color indexed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z val="9"/>
      <name val="Arial"/>
      <family val="2"/>
    </font>
    <font>
      <sz val="9"/>
      <name val="Helv"/>
    </font>
    <font>
      <sz val="10"/>
      <name val="Helv"/>
    </font>
    <font>
      <sz val="10"/>
      <color indexed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8"/>
      <color indexed="8"/>
      <name val="Arial"/>
      <family val="2"/>
    </font>
    <font>
      <sz val="4"/>
      <name val="Arial"/>
      <family val="2"/>
    </font>
    <font>
      <sz val="14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u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48">
    <xf numFmtId="0" fontId="0" fillId="0" borderId="0" xfId="0"/>
    <xf numFmtId="0" fontId="0" fillId="0" borderId="0" xfId="0" applyFill="1" applyBorder="1" applyAlignment="1"/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Fill="1" applyAlignment="1"/>
    <xf numFmtId="0" fontId="0" fillId="0" borderId="1" xfId="0" applyBorder="1"/>
    <xf numFmtId="0" fontId="0" fillId="0" borderId="0" xfId="0" applyBorder="1"/>
    <xf numFmtId="0" fontId="2" fillId="0" borderId="0" xfId="0" applyFont="1" applyBorder="1"/>
    <xf numFmtId="166" fontId="0" fillId="0" borderId="0" xfId="0" applyNumberFormat="1" applyBorder="1"/>
    <xf numFmtId="0" fontId="5" fillId="0" borderId="0" xfId="0" applyFont="1"/>
    <xf numFmtId="0" fontId="0" fillId="0" borderId="2" xfId="0" applyFill="1" applyBorder="1" applyAlignment="1"/>
    <xf numFmtId="0" fontId="0" fillId="0" borderId="3" xfId="0" applyBorder="1"/>
    <xf numFmtId="0" fontId="0" fillId="0" borderId="4" xfId="0" applyBorder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5" xfId="0" applyFill="1" applyBorder="1" applyAlignment="1"/>
    <xf numFmtId="0" fontId="0" fillId="0" borderId="5" xfId="0" applyBorder="1"/>
    <xf numFmtId="0" fontId="5" fillId="0" borderId="0" xfId="0" applyFont="1" applyBorder="1"/>
    <xf numFmtId="0" fontId="0" fillId="2" borderId="6" xfId="0" applyFill="1" applyBorder="1"/>
    <xf numFmtId="0" fontId="0" fillId="2" borderId="1" xfId="0" applyFill="1" applyBorder="1"/>
    <xf numFmtId="0" fontId="0" fillId="2" borderId="7" xfId="0" applyFill="1" applyBorder="1"/>
    <xf numFmtId="0" fontId="5" fillId="2" borderId="8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/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11" xfId="0" applyFill="1" applyBorder="1" applyAlignment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0" xfId="0" applyBorder="1" applyAlignment="1"/>
    <xf numFmtId="0" fontId="9" fillId="0" borderId="0" xfId="0" applyFont="1" applyProtection="1"/>
    <xf numFmtId="0" fontId="9" fillId="0" borderId="6" xfId="0" applyFont="1" applyBorder="1" applyProtection="1"/>
    <xf numFmtId="0" fontId="9" fillId="0" borderId="1" xfId="0" applyFont="1" applyBorder="1" applyProtection="1"/>
    <xf numFmtId="0" fontId="9" fillId="0" borderId="0" xfId="0" applyFont="1" applyBorder="1" applyProtection="1"/>
    <xf numFmtId="0" fontId="9" fillId="0" borderId="11" xfId="0" applyFont="1" applyBorder="1" applyProtection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9" fillId="0" borderId="0" xfId="2" applyFont="1" applyProtection="1"/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Protection="1"/>
    <xf numFmtId="0" fontId="0" fillId="0" borderId="13" xfId="0" applyBorder="1"/>
    <xf numFmtId="0" fontId="9" fillId="0" borderId="14" xfId="0" applyFont="1" applyBorder="1" applyProtection="1"/>
    <xf numFmtId="0" fontId="0" fillId="0" borderId="8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166" fontId="0" fillId="0" borderId="0" xfId="0" applyNumberFormat="1"/>
    <xf numFmtId="2" fontId="0" fillId="0" borderId="0" xfId="0" applyNumberFormat="1" applyBorder="1"/>
    <xf numFmtId="1" fontId="0" fillId="0" borderId="0" xfId="0" applyNumberFormat="1" applyBorder="1"/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center"/>
    </xf>
    <xf numFmtId="165" fontId="0" fillId="0" borderId="17" xfId="0" applyNumberFormat="1" applyBorder="1"/>
    <xf numFmtId="164" fontId="0" fillId="0" borderId="0" xfId="0" applyNumberFormat="1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0" fillId="0" borderId="20" xfId="0" applyNumberFormat="1" applyBorder="1"/>
    <xf numFmtId="0" fontId="0" fillId="2" borderId="0" xfId="0" quotePrefix="1" applyFill="1" applyBorder="1" applyAlignment="1"/>
    <xf numFmtId="0" fontId="14" fillId="2" borderId="0" xfId="0" applyFont="1" applyFill="1" applyBorder="1" applyAlignment="1"/>
    <xf numFmtId="0" fontId="14" fillId="2" borderId="0" xfId="0" applyFont="1" applyFill="1" applyBorder="1"/>
    <xf numFmtId="11" fontId="0" fillId="0" borderId="0" xfId="0" applyNumberFormat="1" applyFill="1" applyBorder="1" applyAlignment="1"/>
    <xf numFmtId="11" fontId="0" fillId="0" borderId="0" xfId="0" applyNumberFormat="1" applyAlignment="1"/>
    <xf numFmtId="11" fontId="0" fillId="0" borderId="0" xfId="0" applyNumberFormat="1"/>
    <xf numFmtId="0" fontId="0" fillId="0" borderId="9" xfId="0" applyBorder="1"/>
    <xf numFmtId="0" fontId="0" fillId="0" borderId="21" xfId="0" applyBorder="1"/>
    <xf numFmtId="0" fontId="0" fillId="0" borderId="10" xfId="0" applyBorder="1"/>
    <xf numFmtId="164" fontId="0" fillId="0" borderId="14" xfId="0" applyNumberFormat="1" applyBorder="1"/>
    <xf numFmtId="0" fontId="5" fillId="0" borderId="22" xfId="0" applyFont="1" applyBorder="1" applyProtection="1">
      <protection locked="0"/>
    </xf>
    <xf numFmtId="0" fontId="0" fillId="0" borderId="23" xfId="0" applyBorder="1" applyProtection="1">
      <protection locked="0"/>
    </xf>
    <xf numFmtId="0" fontId="0" fillId="0" borderId="3" xfId="0" applyBorder="1" applyProtection="1">
      <protection locked="0"/>
    </xf>
    <xf numFmtId="0" fontId="2" fillId="0" borderId="24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6" xfId="0" applyBorder="1" applyProtection="1">
      <protection locked="0"/>
    </xf>
    <xf numFmtId="166" fontId="0" fillId="0" borderId="27" xfId="0" applyNumberFormat="1" applyFill="1" applyBorder="1" applyProtection="1">
      <protection locked="0"/>
    </xf>
    <xf numFmtId="0" fontId="0" fillId="0" borderId="22" xfId="0" applyBorder="1" applyProtection="1">
      <protection locked="0"/>
    </xf>
    <xf numFmtId="0" fontId="2" fillId="0" borderId="26" xfId="0" applyFont="1" applyBorder="1" applyProtection="1">
      <protection locked="0"/>
    </xf>
    <xf numFmtId="0" fontId="0" fillId="0" borderId="27" xfId="0" applyBorder="1" applyProtection="1">
      <protection locked="0"/>
    </xf>
    <xf numFmtId="0" fontId="2" fillId="0" borderId="0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6" fontId="0" fillId="0" borderId="0" xfId="0" applyNumberFormat="1" applyFill="1" applyBorder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66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0" fontId="12" fillId="3" borderId="26" xfId="0" applyFont="1" applyFill="1" applyBorder="1" applyProtection="1">
      <protection locked="0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1" fontId="0" fillId="0" borderId="31" xfId="0" applyNumberFormat="1" applyBorder="1"/>
    <xf numFmtId="0" fontId="0" fillId="0" borderId="32" xfId="0" applyBorder="1"/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165" fontId="0" fillId="0" borderId="34" xfId="0" applyNumberFormat="1" applyBorder="1"/>
    <xf numFmtId="0" fontId="13" fillId="0" borderId="6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 applyProtection="1">
      <alignment horizontal="left" vertical="center"/>
    </xf>
    <xf numFmtId="0" fontId="13" fillId="0" borderId="8" xfId="0" applyFont="1" applyBorder="1" applyAlignment="1" applyProtection="1">
      <alignment horizontal="left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 applyProtection="1">
      <alignment horizontal="left" vertical="center"/>
    </xf>
    <xf numFmtId="0" fontId="16" fillId="0" borderId="0" xfId="0" applyFont="1" applyBorder="1" applyAlignment="1" applyProtection="1">
      <alignment horizontal="centerContinuous" vertical="center"/>
      <protection locked="0"/>
    </xf>
    <xf numFmtId="0" fontId="16" fillId="0" borderId="0" xfId="0" quotePrefix="1" applyFont="1" applyBorder="1" applyAlignment="1" applyProtection="1">
      <alignment horizontal="centerContinuous" vertical="center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quotePrefix="1" applyFont="1" applyBorder="1" applyAlignment="1" applyProtection="1">
      <alignment horizontal="centerContinuous" vertical="center"/>
      <protection locked="0"/>
    </xf>
    <xf numFmtId="0" fontId="16" fillId="0" borderId="0" xfId="0" applyFont="1" applyBorder="1" applyAlignment="1">
      <alignment vertical="center"/>
    </xf>
    <xf numFmtId="0" fontId="16" fillId="0" borderId="0" xfId="0" quotePrefix="1" applyFont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right"/>
    </xf>
    <xf numFmtId="1" fontId="0" fillId="0" borderId="14" xfId="0" applyNumberFormat="1" applyBorder="1"/>
    <xf numFmtId="0" fontId="13" fillId="0" borderId="35" xfId="0" applyFont="1" applyBorder="1" applyAlignment="1">
      <alignment vertical="center"/>
    </xf>
    <xf numFmtId="0" fontId="13" fillId="0" borderId="36" xfId="0" applyFont="1" applyBorder="1" applyAlignment="1">
      <alignment vertical="center"/>
    </xf>
    <xf numFmtId="0" fontId="13" fillId="0" borderId="37" xfId="0" applyFont="1" applyBorder="1" applyAlignment="1">
      <alignment vertical="center"/>
    </xf>
    <xf numFmtId="167" fontId="0" fillId="0" borderId="0" xfId="0" applyNumberFormat="1" applyBorder="1"/>
    <xf numFmtId="0" fontId="0" fillId="0" borderId="21" xfId="0" applyBorder="1" applyAlignment="1">
      <alignment horizontal="right"/>
    </xf>
    <xf numFmtId="165" fontId="0" fillId="0" borderId="21" xfId="0" applyNumberFormat="1" applyBorder="1"/>
    <xf numFmtId="0" fontId="18" fillId="0" borderId="0" xfId="0" applyFont="1" applyBorder="1" applyAlignment="1" applyProtection="1">
      <alignment horizontal="center" vertical="center"/>
    </xf>
    <xf numFmtId="0" fontId="0" fillId="0" borderId="8" xfId="0" quotePrefix="1" applyBorder="1"/>
    <xf numFmtId="0" fontId="0" fillId="0" borderId="38" xfId="0" quotePrefix="1" applyBorder="1"/>
    <xf numFmtId="0" fontId="13" fillId="0" borderId="12" xfId="0" applyFont="1" applyBorder="1" applyAlignment="1" applyProtection="1">
      <alignment horizontal="left" vertical="center"/>
    </xf>
    <xf numFmtId="0" fontId="13" fillId="0" borderId="14" xfId="0" applyFont="1" applyBorder="1" applyAlignment="1" applyProtection="1">
      <alignment horizontal="left" vertical="center"/>
    </xf>
    <xf numFmtId="0" fontId="13" fillId="0" borderId="14" xfId="0" applyFont="1" applyBorder="1" applyAlignment="1">
      <alignment vertical="center"/>
    </xf>
    <xf numFmtId="0" fontId="0" fillId="0" borderId="0" xfId="0" applyBorder="1" applyAlignment="1">
      <alignment vertical="top"/>
    </xf>
    <xf numFmtId="2" fontId="0" fillId="0" borderId="14" xfId="0" applyNumberFormat="1" applyBorder="1"/>
    <xf numFmtId="165" fontId="0" fillId="0" borderId="0" xfId="0" applyNumberFormat="1" applyBorder="1"/>
    <xf numFmtId="0" fontId="9" fillId="0" borderId="39" xfId="0" applyFont="1" applyBorder="1" applyProtection="1"/>
    <xf numFmtId="0" fontId="9" fillId="0" borderId="0" xfId="0" applyFont="1" applyFill="1" applyBorder="1" applyProtection="1"/>
    <xf numFmtId="0" fontId="9" fillId="0" borderId="14" xfId="0" applyFont="1" applyFill="1" applyBorder="1" applyProtection="1"/>
    <xf numFmtId="0" fontId="19" fillId="0" borderId="14" xfId="0" applyFont="1" applyBorder="1" applyProtection="1"/>
    <xf numFmtId="0" fontId="9" fillId="5" borderId="15" xfId="0" applyFont="1" applyFill="1" applyBorder="1" applyProtection="1"/>
    <xf numFmtId="0" fontId="9" fillId="5" borderId="39" xfId="0" applyFont="1" applyFill="1" applyBorder="1" applyProtection="1"/>
    <xf numFmtId="0" fontId="9" fillId="5" borderId="40" xfId="0" applyFont="1" applyFill="1" applyBorder="1" applyProtection="1"/>
    <xf numFmtId="0" fontId="9" fillId="0" borderId="11" xfId="0" applyFont="1" applyFill="1" applyBorder="1" applyProtection="1"/>
    <xf numFmtId="0" fontId="0" fillId="0" borderId="0" xfId="0" applyFill="1" applyBorder="1"/>
    <xf numFmtId="0" fontId="0" fillId="0" borderId="11" xfId="0" applyFill="1" applyBorder="1"/>
    <xf numFmtId="0" fontId="9" fillId="0" borderId="39" xfId="0" applyFont="1" applyBorder="1" applyAlignment="1" applyProtection="1">
      <alignment horizontal="left"/>
    </xf>
    <xf numFmtId="0" fontId="0" fillId="0" borderId="39" xfId="0" applyBorder="1"/>
    <xf numFmtId="0" fontId="9" fillId="0" borderId="40" xfId="0" applyFont="1" applyBorder="1" applyAlignment="1" applyProtection="1">
      <alignment horizontal="left"/>
    </xf>
    <xf numFmtId="0" fontId="0" fillId="0" borderId="15" xfId="0" applyBorder="1"/>
    <xf numFmtId="0" fontId="9" fillId="0" borderId="21" xfId="0" applyFont="1" applyBorder="1" applyProtection="1"/>
    <xf numFmtId="164" fontId="0" fillId="0" borderId="1" xfId="0" applyNumberFormat="1" applyBorder="1"/>
    <xf numFmtId="0" fontId="0" fillId="5" borderId="2" xfId="0" applyFill="1" applyBorder="1"/>
    <xf numFmtId="0" fontId="9" fillId="0" borderId="2" xfId="0" applyFont="1" applyBorder="1" applyProtection="1"/>
    <xf numFmtId="0" fontId="9" fillId="5" borderId="2" xfId="0" applyFont="1" applyFill="1" applyBorder="1" applyProtection="1"/>
    <xf numFmtId="0" fontId="9" fillId="0" borderId="10" xfId="0" applyFont="1" applyBorder="1" applyProtection="1"/>
    <xf numFmtId="0" fontId="9" fillId="0" borderId="15" xfId="0" applyFont="1" applyFill="1" applyBorder="1" applyProtection="1"/>
    <xf numFmtId="0" fontId="13" fillId="0" borderId="0" xfId="0" applyFont="1" applyFill="1" applyBorder="1"/>
    <xf numFmtId="0" fontId="9" fillId="0" borderId="15" xfId="0" applyFont="1" applyBorder="1" applyAlignment="1" applyProtection="1">
      <alignment horizontal="left"/>
    </xf>
    <xf numFmtId="0" fontId="9" fillId="0" borderId="1" xfId="0" applyFont="1" applyFill="1" applyBorder="1" applyProtection="1"/>
    <xf numFmtId="0" fontId="9" fillId="0" borderId="2" xfId="0" applyFont="1" applyBorder="1" applyAlignment="1" applyProtection="1">
      <alignment horizontal="left"/>
    </xf>
    <xf numFmtId="0" fontId="9" fillId="0" borderId="21" xfId="0" applyFont="1" applyFill="1" applyBorder="1" applyProtection="1"/>
    <xf numFmtId="0" fontId="8" fillId="0" borderId="0" xfId="0" applyFont="1" applyBorder="1" applyAlignment="1">
      <alignment horizontal="center"/>
    </xf>
    <xf numFmtId="0" fontId="0" fillId="5" borderId="21" xfId="0" applyFill="1" applyBorder="1"/>
    <xf numFmtId="0" fontId="5" fillId="5" borderId="9" xfId="0" applyFont="1" applyFill="1" applyBorder="1"/>
    <xf numFmtId="0" fontId="5" fillId="5" borderId="10" xfId="0" applyFont="1" applyFill="1" applyBorder="1"/>
    <xf numFmtId="165" fontId="9" fillId="0" borderId="0" xfId="0" applyNumberFormat="1" applyFont="1" applyBorder="1" applyProtection="1"/>
    <xf numFmtId="0" fontId="9" fillId="0" borderId="11" xfId="0" applyFont="1" applyBorder="1" applyAlignment="1" applyProtection="1">
      <alignment horizontal="left"/>
    </xf>
    <xf numFmtId="0" fontId="0" fillId="0" borderId="0" xfId="0" applyFill="1"/>
    <xf numFmtId="0" fontId="13" fillId="0" borderId="13" xfId="0" applyFont="1" applyFill="1" applyBorder="1"/>
    <xf numFmtId="0" fontId="2" fillId="0" borderId="11" xfId="0" applyFont="1" applyFill="1" applyBorder="1"/>
    <xf numFmtId="2" fontId="0" fillId="0" borderId="12" xfId="0" applyNumberFormat="1" applyBorder="1"/>
    <xf numFmtId="167" fontId="13" fillId="0" borderId="39" xfId="0" applyNumberFormat="1" applyFont="1" applyFill="1" applyBorder="1"/>
    <xf numFmtId="167" fontId="13" fillId="0" borderId="40" xfId="0" applyNumberFormat="1" applyFont="1" applyFill="1" applyBorder="1"/>
    <xf numFmtId="0" fontId="0" fillId="0" borderId="12" xfId="0" applyFill="1" applyBorder="1"/>
    <xf numFmtId="0" fontId="9" fillId="0" borderId="13" xfId="0" applyFont="1" applyFill="1" applyBorder="1" applyProtection="1"/>
    <xf numFmtId="0" fontId="0" fillId="0" borderId="8" xfId="0" applyFill="1" applyBorder="1" applyProtection="1"/>
    <xf numFmtId="0" fontId="0" fillId="0" borderId="6" xfId="0" applyBorder="1" applyAlignment="1">
      <alignment horizontal="left"/>
    </xf>
    <xf numFmtId="0" fontId="9" fillId="0" borderId="1" xfId="0" applyFont="1" applyBorder="1" applyAlignment="1" applyProtection="1">
      <alignment horizontal="left"/>
    </xf>
    <xf numFmtId="0" fontId="2" fillId="0" borderId="12" xfId="0" applyFont="1" applyBorder="1" applyAlignment="1">
      <alignment horizontal="left"/>
    </xf>
    <xf numFmtId="0" fontId="2" fillId="0" borderId="0" xfId="0" applyFont="1" applyFill="1" applyBorder="1"/>
    <xf numFmtId="167" fontId="13" fillId="0" borderId="0" xfId="0" applyNumberFormat="1" applyFont="1" applyFill="1" applyBorder="1"/>
    <xf numFmtId="0" fontId="13" fillId="0" borderId="1" xfId="0" applyFont="1" applyFill="1" applyBorder="1"/>
    <xf numFmtId="167" fontId="13" fillId="0" borderId="15" xfId="0" applyNumberFormat="1" applyFont="1" applyFill="1" applyBorder="1"/>
    <xf numFmtId="0" fontId="2" fillId="0" borderId="13" xfId="0" applyFont="1" applyFill="1" applyBorder="1"/>
    <xf numFmtId="0" fontId="13" fillId="0" borderId="14" xfId="0" applyFont="1" applyFill="1" applyBorder="1"/>
    <xf numFmtId="0" fontId="0" fillId="0" borderId="14" xfId="0" applyFill="1" applyBorder="1"/>
    <xf numFmtId="0" fontId="0" fillId="0" borderId="0" xfId="0" applyFill="1" applyBorder="1" applyProtection="1"/>
    <xf numFmtId="0" fontId="0" fillId="0" borderId="7" xfId="0" applyFill="1" applyBorder="1"/>
    <xf numFmtId="0" fontId="9" fillId="0" borderId="0" xfId="0" applyFont="1" applyFill="1" applyProtection="1"/>
    <xf numFmtId="0" fontId="0" fillId="0" borderId="6" xfId="0" applyFill="1" applyBorder="1" applyProtection="1"/>
    <xf numFmtId="0" fontId="9" fillId="0" borderId="6" xfId="0" applyFont="1" applyFill="1" applyBorder="1" applyProtection="1"/>
    <xf numFmtId="0" fontId="9" fillId="0" borderId="15" xfId="0" quotePrefix="1" applyFont="1" applyFill="1" applyBorder="1" applyAlignment="1" applyProtection="1">
      <alignment horizontal="center"/>
    </xf>
    <xf numFmtId="0" fontId="2" fillId="0" borderId="6" xfId="0" applyFont="1" applyFill="1" applyBorder="1" applyProtection="1"/>
    <xf numFmtId="0" fontId="11" fillId="0" borderId="8" xfId="0" applyFont="1" applyFill="1" applyBorder="1" applyProtection="1"/>
    <xf numFmtId="0" fontId="9" fillId="0" borderId="8" xfId="0" applyFont="1" applyFill="1" applyBorder="1" applyProtection="1"/>
    <xf numFmtId="2" fontId="9" fillId="0" borderId="6" xfId="0" applyNumberFormat="1" applyFont="1" applyFill="1" applyBorder="1" applyProtection="1"/>
    <xf numFmtId="2" fontId="9" fillId="0" borderId="8" xfId="0" applyNumberFormat="1" applyFont="1" applyFill="1" applyBorder="1" applyProtection="1"/>
    <xf numFmtId="0" fontId="0" fillId="5" borderId="0" xfId="0" applyFill="1" applyBorder="1"/>
    <xf numFmtId="0" fontId="13" fillId="0" borderId="11" xfId="0" applyFont="1" applyFill="1" applyBorder="1"/>
    <xf numFmtId="0" fontId="13" fillId="0" borderId="6" xfId="0" applyFont="1" applyFill="1" applyBorder="1"/>
    <xf numFmtId="0" fontId="13" fillId="0" borderId="7" xfId="0" applyFont="1" applyFill="1" applyBorder="1"/>
    <xf numFmtId="0" fontId="13" fillId="0" borderId="8" xfId="0" applyFont="1" applyFill="1" applyBorder="1"/>
    <xf numFmtId="0" fontId="13" fillId="0" borderId="12" xfId="0" applyFont="1" applyFill="1" applyBorder="1"/>
    <xf numFmtId="2" fontId="9" fillId="0" borderId="15" xfId="0" applyNumberFormat="1" applyFont="1" applyFill="1" applyBorder="1" applyProtection="1"/>
    <xf numFmtId="2" fontId="9" fillId="0" borderId="39" xfId="0" applyNumberFormat="1" applyFont="1" applyFill="1" applyBorder="1" applyProtection="1"/>
    <xf numFmtId="2" fontId="10" fillId="0" borderId="7" xfId="0" applyNumberFormat="1" applyFont="1" applyFill="1" applyBorder="1" applyProtection="1"/>
    <xf numFmtId="2" fontId="10" fillId="0" borderId="11" xfId="0" applyNumberFormat="1" applyFont="1" applyFill="1" applyBorder="1" applyProtection="1"/>
    <xf numFmtId="0" fontId="9" fillId="0" borderId="7" xfId="0" applyFont="1" applyBorder="1" applyProtection="1"/>
    <xf numFmtId="0" fontId="9" fillId="0" borderId="2" xfId="0" applyFont="1" applyFill="1" applyBorder="1" applyProtection="1"/>
    <xf numFmtId="0" fontId="5" fillId="5" borderId="21" xfId="0" applyFont="1" applyFill="1" applyBorder="1"/>
    <xf numFmtId="167" fontId="5" fillId="0" borderId="0" xfId="0" applyNumberFormat="1" applyFont="1"/>
    <xf numFmtId="0" fontId="0" fillId="0" borderId="0" xfId="0" applyAlignment="1">
      <alignment horizontal="right"/>
    </xf>
    <xf numFmtId="0" fontId="0" fillId="5" borderId="8" xfId="0" applyFill="1" applyBorder="1"/>
    <xf numFmtId="0" fontId="2" fillId="0" borderId="0" xfId="0" applyFont="1" applyAlignment="1" applyProtection="1">
      <alignment horizontal="left"/>
    </xf>
    <xf numFmtId="1" fontId="0" fillId="5" borderId="0" xfId="0" applyNumberFormat="1" applyFill="1" applyBorder="1"/>
    <xf numFmtId="0" fontId="0" fillId="5" borderId="11" xfId="0" applyFill="1" applyBorder="1"/>
    <xf numFmtId="164" fontId="0" fillId="5" borderId="11" xfId="0" applyNumberFormat="1" applyFill="1" applyBorder="1"/>
    <xf numFmtId="0" fontId="7" fillId="0" borderId="7" xfId="0" applyFont="1" applyBorder="1"/>
    <xf numFmtId="0" fontId="20" fillId="0" borderId="0" xfId="0" applyFont="1" applyFill="1"/>
    <xf numFmtId="0" fontId="21" fillId="0" borderId="0" xfId="0" applyFont="1"/>
    <xf numFmtId="2" fontId="0" fillId="0" borderId="0" xfId="0" applyNumberFormat="1" applyFill="1" applyBorder="1"/>
    <xf numFmtId="0" fontId="21" fillId="0" borderId="0" xfId="0" applyFont="1" applyFill="1" applyBorder="1"/>
    <xf numFmtId="0" fontId="2" fillId="0" borderId="0" xfId="0" applyFont="1" applyBorder="1" applyAlignment="1">
      <alignment vertical="top"/>
    </xf>
    <xf numFmtId="0" fontId="21" fillId="0" borderId="0" xfId="0" applyFont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8" xfId="0" applyNumberFormat="1" applyBorder="1"/>
    <xf numFmtId="166" fontId="5" fillId="0" borderId="8" xfId="0" applyNumberFormat="1" applyFont="1" applyBorder="1"/>
    <xf numFmtId="165" fontId="0" fillId="0" borderId="1" xfId="0" applyNumberFormat="1" applyBorder="1"/>
    <xf numFmtId="0" fontId="20" fillId="0" borderId="0" xfId="0" applyFont="1" applyBorder="1" applyAlignment="1">
      <alignment horizontal="left"/>
    </xf>
    <xf numFmtId="0" fontId="20" fillId="0" borderId="8" xfId="0" applyFont="1" applyFill="1" applyBorder="1"/>
    <xf numFmtId="0" fontId="20" fillId="0" borderId="12" xfId="0" applyFont="1" applyFill="1" applyBorder="1"/>
    <xf numFmtId="165" fontId="0" fillId="4" borderId="8" xfId="0" applyNumberFormat="1" applyFill="1" applyBorder="1"/>
    <xf numFmtId="0" fontId="0" fillId="4" borderId="39" xfId="0" applyFill="1" applyBorder="1"/>
    <xf numFmtId="0" fontId="0" fillId="4" borderId="40" xfId="0" applyFill="1" applyBorder="1"/>
    <xf numFmtId="167" fontId="13" fillId="0" borderId="1" xfId="0" applyNumberFormat="1" applyFont="1" applyFill="1" applyBorder="1"/>
    <xf numFmtId="167" fontId="13" fillId="0" borderId="14" xfId="0" applyNumberFormat="1" applyFont="1" applyFill="1" applyBorder="1"/>
    <xf numFmtId="0" fontId="0" fillId="2" borderId="40" xfId="0" applyFill="1" applyBorder="1"/>
    <xf numFmtId="0" fontId="0" fillId="2" borderId="12" xfId="0" quotePrefix="1" applyFill="1" applyBorder="1"/>
    <xf numFmtId="0" fontId="0" fillId="0" borderId="40" xfId="0" applyBorder="1"/>
    <xf numFmtId="0" fontId="0" fillId="2" borderId="21" xfId="0" applyFill="1" applyBorder="1"/>
    <xf numFmtId="0" fontId="0" fillId="4" borderId="8" xfId="0" applyFill="1" applyBorder="1"/>
    <xf numFmtId="0" fontId="0" fillId="4" borderId="12" xfId="0" applyFill="1" applyBorder="1"/>
    <xf numFmtId="0" fontId="0" fillId="4" borderId="15" xfId="0" applyFill="1" applyBorder="1"/>
    <xf numFmtId="165" fontId="20" fillId="0" borderId="17" xfId="0" applyNumberFormat="1" applyFont="1" applyBorder="1"/>
    <xf numFmtId="0" fontId="0" fillId="0" borderId="15" xfId="0" applyFill="1" applyBorder="1"/>
    <xf numFmtId="0" fontId="0" fillId="2" borderId="7" xfId="0" applyFill="1" applyBorder="1" applyProtection="1">
      <protection locked="0"/>
    </xf>
    <xf numFmtId="0" fontId="4" fillId="2" borderId="0" xfId="0" applyFont="1" applyFill="1" applyBorder="1" applyAlignment="1"/>
    <xf numFmtId="1" fontId="0" fillId="0" borderId="0" xfId="0" applyNumberFormat="1" applyBorder="1" applyAlignment="1">
      <alignment vertical="top"/>
    </xf>
    <xf numFmtId="2" fontId="0" fillId="0" borderId="0" xfId="0" applyNumberFormat="1" applyBorder="1" applyAlignment="1">
      <alignment vertical="top"/>
    </xf>
    <xf numFmtId="0" fontId="1" fillId="0" borderId="0" xfId="0" applyFont="1"/>
    <xf numFmtId="0" fontId="1" fillId="0" borderId="0" xfId="0" applyFont="1" applyAlignment="1">
      <alignment horizontal="right"/>
    </xf>
    <xf numFmtId="0" fontId="22" fillId="0" borderId="0" xfId="0" applyFont="1"/>
    <xf numFmtId="0" fontId="1" fillId="2" borderId="8" xfId="0" applyFont="1" applyFill="1" applyBorder="1"/>
    <xf numFmtId="0" fontId="0" fillId="6" borderId="0" xfId="0" applyFill="1" applyBorder="1" applyAlignment="1"/>
    <xf numFmtId="0" fontId="0" fillId="6" borderId="0" xfId="0" applyFill="1"/>
    <xf numFmtId="0" fontId="1" fillId="2" borderId="0" xfId="0" quotePrefix="1" applyFont="1" applyFill="1" applyBorder="1"/>
    <xf numFmtId="0" fontId="5" fillId="2" borderId="0" xfId="0" applyFont="1" applyFill="1" applyBorder="1" applyAlignment="1">
      <alignment horizontal="center"/>
    </xf>
    <xf numFmtId="0" fontId="1" fillId="2" borderId="0" xfId="0" applyFont="1" applyFill="1" applyBorder="1" applyAlignment="1"/>
    <xf numFmtId="0" fontId="0" fillId="6" borderId="0" xfId="0" applyFill="1" applyBorder="1"/>
    <xf numFmtId="0" fontId="1" fillId="2" borderId="0" xfId="0" quotePrefix="1" applyFont="1" applyFill="1" applyBorder="1" applyAlignment="1"/>
    <xf numFmtId="0" fontId="5" fillId="2" borderId="9" xfId="0" applyFont="1" applyFill="1" applyBorder="1"/>
    <xf numFmtId="1" fontId="0" fillId="0" borderId="25" xfId="0" applyNumberFormat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4" xfId="0" applyBorder="1" applyAlignment="1" applyProtection="1">
      <protection locked="0"/>
    </xf>
    <xf numFmtId="0" fontId="5" fillId="0" borderId="24" xfId="0" applyFont="1" applyBorder="1" applyProtection="1">
      <protection locked="0"/>
    </xf>
    <xf numFmtId="0" fontId="7" fillId="0" borderId="22" xfId="0" applyFont="1" applyBorder="1" applyProtection="1">
      <protection locked="0"/>
    </xf>
    <xf numFmtId="0" fontId="7" fillId="0" borderId="26" xfId="0" applyFont="1" applyBorder="1" applyProtection="1">
      <protection locked="0"/>
    </xf>
    <xf numFmtId="0" fontId="0" fillId="0" borderId="50" xfId="0" applyBorder="1" applyAlignment="1"/>
    <xf numFmtId="166" fontId="0" fillId="0" borderId="25" xfId="0" applyNumberFormat="1" applyFill="1" applyBorder="1" applyAlignment="1"/>
    <xf numFmtId="166" fontId="0" fillId="0" borderId="51" xfId="0" applyNumberFormat="1" applyFill="1" applyBorder="1" applyAlignment="1"/>
    <xf numFmtId="0" fontId="23" fillId="0" borderId="15" xfId="0" applyFont="1" applyBorder="1"/>
    <xf numFmtId="0" fontId="23" fillId="0" borderId="39" xfId="0" applyFont="1" applyBorder="1"/>
    <xf numFmtId="0" fontId="23" fillId="0" borderId="40" xfId="0" applyFont="1" applyBorder="1"/>
    <xf numFmtId="166" fontId="0" fillId="2" borderId="0" xfId="0" applyNumberFormat="1" applyFill="1" applyBorder="1"/>
    <xf numFmtId="0" fontId="22" fillId="2" borderId="0" xfId="0" applyFont="1" applyFill="1" applyBorder="1" applyAlignment="1"/>
    <xf numFmtId="0" fontId="0" fillId="4" borderId="11" xfId="0" applyFill="1" applyBorder="1" applyProtection="1">
      <protection locked="0"/>
    </xf>
    <xf numFmtId="1" fontId="0" fillId="2" borderId="11" xfId="0" applyNumberFormat="1" applyFill="1" applyBorder="1"/>
    <xf numFmtId="0" fontId="14" fillId="2" borderId="11" xfId="0" applyFont="1" applyFill="1" applyBorder="1" applyAlignment="1"/>
    <xf numFmtId="0" fontId="0" fillId="2" borderId="8" xfId="0" applyFill="1" applyBorder="1" applyAlignment="1"/>
    <xf numFmtId="0" fontId="0" fillId="2" borderId="11" xfId="0" quotePrefix="1" applyFill="1" applyBorder="1" applyAlignment="1"/>
    <xf numFmtId="164" fontId="0" fillId="2" borderId="11" xfId="0" applyNumberFormat="1" applyFill="1" applyBorder="1" applyAlignment="1"/>
    <xf numFmtId="166" fontId="0" fillId="6" borderId="11" xfId="0" applyNumberFormat="1" applyFill="1" applyBorder="1" applyAlignment="1"/>
    <xf numFmtId="0" fontId="0" fillId="2" borderId="12" xfId="0" applyFill="1" applyBorder="1" applyAlignment="1"/>
    <xf numFmtId="0" fontId="0" fillId="4" borderId="8" xfId="0" applyFill="1" applyBorder="1" applyProtection="1">
      <protection locked="0"/>
    </xf>
    <xf numFmtId="1" fontId="0" fillId="2" borderId="8" xfId="0" applyNumberFormat="1" applyFill="1" applyBorder="1"/>
    <xf numFmtId="0" fontId="14" fillId="2" borderId="8" xfId="0" applyFont="1" applyFill="1" applyBorder="1" applyAlignment="1"/>
    <xf numFmtId="164" fontId="0" fillId="2" borderId="8" xfId="0" applyNumberFormat="1" applyFill="1" applyBorder="1"/>
    <xf numFmtId="166" fontId="0" fillId="2" borderId="8" xfId="0" applyNumberFormat="1" applyFill="1" applyBorder="1"/>
    <xf numFmtId="0" fontId="5" fillId="2" borderId="6" xfId="0" applyFont="1" applyFill="1" applyBorder="1"/>
    <xf numFmtId="0" fontId="0" fillId="6" borderId="14" xfId="0" applyFill="1" applyBorder="1"/>
    <xf numFmtId="0" fontId="1" fillId="2" borderId="6" xfId="0" applyFont="1" applyFill="1" applyBorder="1"/>
    <xf numFmtId="0" fontId="5" fillId="2" borderId="6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right"/>
    </xf>
    <xf numFmtId="165" fontId="25" fillId="0" borderId="0" xfId="0" applyNumberFormat="1" applyFont="1" applyBorder="1" applyProtection="1"/>
    <xf numFmtId="11" fontId="22" fillId="0" borderId="0" xfId="0" applyNumberFormat="1" applyFont="1"/>
    <xf numFmtId="166" fontId="23" fillId="2" borderId="12" xfId="0" applyNumberFormat="1" applyFont="1" applyFill="1" applyBorder="1" applyAlignment="1"/>
    <xf numFmtId="166" fontId="23" fillId="2" borderId="8" xfId="0" applyNumberFormat="1" applyFont="1" applyFill="1" applyBorder="1" applyAlignment="1"/>
    <xf numFmtId="1" fontId="23" fillId="2" borderId="8" xfId="0" applyNumberFormat="1" applyFont="1" applyFill="1" applyBorder="1" applyAlignment="1"/>
    <xf numFmtId="1" fontId="0" fillId="6" borderId="11" xfId="0" applyNumberFormat="1" applyFill="1" applyBorder="1" applyAlignment="1"/>
    <xf numFmtId="166" fontId="0" fillId="6" borderId="11" xfId="0" applyNumberFormat="1" applyFill="1" applyBorder="1"/>
    <xf numFmtId="166" fontId="0" fillId="6" borderId="13" xfId="0" applyNumberFormat="1" applyFill="1" applyBorder="1"/>
    <xf numFmtId="165" fontId="23" fillId="2" borderId="8" xfId="0" applyNumberFormat="1" applyFont="1" applyFill="1" applyBorder="1" applyAlignment="1"/>
    <xf numFmtId="165" fontId="0" fillId="2" borderId="0" xfId="0" applyNumberFormat="1" applyFill="1" applyBorder="1"/>
    <xf numFmtId="165" fontId="0" fillId="6" borderId="11" xfId="0" applyNumberFormat="1" applyFill="1" applyBorder="1"/>
    <xf numFmtId="0" fontId="5" fillId="2" borderId="15" xfId="0" applyFont="1" applyFill="1" applyBorder="1" applyAlignment="1">
      <alignment horizontal="center"/>
    </xf>
    <xf numFmtId="0" fontId="0" fillId="4" borderId="39" xfId="0" applyFill="1" applyBorder="1" applyProtection="1">
      <protection locked="0"/>
    </xf>
    <xf numFmtId="0" fontId="24" fillId="2" borderId="0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166" fontId="0" fillId="2" borderId="11" xfId="0" applyNumberFormat="1" applyFill="1" applyBorder="1"/>
    <xf numFmtId="166" fontId="0" fillId="2" borderId="13" xfId="0" applyNumberFormat="1" applyFill="1" applyBorder="1"/>
    <xf numFmtId="0" fontId="0" fillId="6" borderId="6" xfId="0" applyFill="1" applyBorder="1"/>
    <xf numFmtId="165" fontId="0" fillId="6" borderId="7" xfId="0" applyNumberFormat="1" applyFill="1" applyBorder="1"/>
    <xf numFmtId="0" fontId="0" fillId="0" borderId="6" xfId="0" applyFill="1" applyBorder="1"/>
    <xf numFmtId="0" fontId="23" fillId="0" borderId="6" xfId="0" applyFont="1" applyBorder="1"/>
    <xf numFmtId="0" fontId="23" fillId="0" borderId="8" xfId="0" applyFont="1" applyBorder="1"/>
    <xf numFmtId="0" fontId="23" fillId="0" borderId="12" xfId="0" applyFont="1" applyBorder="1"/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" xfId="0" applyFill="1" applyBorder="1"/>
    <xf numFmtId="0" fontId="1" fillId="0" borderId="1" xfId="0" applyFont="1" applyBorder="1"/>
    <xf numFmtId="0" fontId="1" fillId="0" borderId="14" xfId="0" applyFont="1" applyFill="1" applyBorder="1"/>
    <xf numFmtId="2" fontId="0" fillId="0" borderId="0" xfId="0" applyNumberFormat="1"/>
    <xf numFmtId="165" fontId="20" fillId="0" borderId="0" xfId="0" applyNumberFormat="1" applyFont="1" applyBorder="1"/>
    <xf numFmtId="166" fontId="5" fillId="0" borderId="0" xfId="0" applyNumberFormat="1" applyFont="1" applyBorder="1"/>
    <xf numFmtId="0" fontId="20" fillId="0" borderId="0" xfId="0" applyFont="1" applyFill="1" applyBorder="1"/>
    <xf numFmtId="165" fontId="0" fillId="0" borderId="11" xfId="0" applyNumberFormat="1" applyBorder="1"/>
    <xf numFmtId="0" fontId="1" fillId="0" borderId="0" xfId="0" applyFont="1" applyBorder="1" applyAlignment="1">
      <alignment vertical="top"/>
    </xf>
    <xf numFmtId="166" fontId="0" fillId="0" borderId="14" xfId="0" applyNumberFormat="1" applyBorder="1"/>
    <xf numFmtId="0" fontId="5" fillId="0" borderId="8" xfId="0" applyFont="1" applyBorder="1"/>
    <xf numFmtId="0" fontId="1" fillId="0" borderId="0" xfId="0" applyFont="1" applyFill="1"/>
    <xf numFmtId="2" fontId="9" fillId="0" borderId="0" xfId="0" applyNumberFormat="1" applyFont="1" applyFill="1" applyBorder="1" applyProtection="1"/>
    <xf numFmtId="2" fontId="10" fillId="0" borderId="0" xfId="0" applyNumberFormat="1" applyFont="1" applyFill="1" applyBorder="1" applyProtection="1"/>
    <xf numFmtId="0" fontId="11" fillId="0" borderId="12" xfId="0" applyFont="1" applyFill="1" applyBorder="1" applyProtection="1"/>
    <xf numFmtId="0" fontId="9" fillId="0" borderId="12" xfId="0" applyFont="1" applyFill="1" applyBorder="1" applyProtection="1"/>
    <xf numFmtId="0" fontId="1" fillId="0" borderId="14" xfId="0" applyFont="1" applyBorder="1"/>
    <xf numFmtId="0" fontId="9" fillId="0" borderId="39" xfId="0" applyFont="1" applyFill="1" applyBorder="1" applyProtection="1"/>
    <xf numFmtId="0" fontId="9" fillId="0" borderId="40" xfId="0" applyFont="1" applyFill="1" applyBorder="1" applyProtection="1"/>
    <xf numFmtId="0" fontId="5" fillId="2" borderId="0" xfId="0" applyFont="1" applyFill="1" applyBorder="1"/>
    <xf numFmtId="0" fontId="9" fillId="0" borderId="1" xfId="0" applyFont="1" applyBorder="1"/>
    <xf numFmtId="0" fontId="9" fillId="0" borderId="0" xfId="0" applyFont="1" applyBorder="1"/>
    <xf numFmtId="0" fontId="9" fillId="0" borderId="14" xfId="0" applyFont="1" applyBorder="1"/>
    <xf numFmtId="0" fontId="9" fillId="0" borderId="21" xfId="0" applyFont="1" applyBorder="1" applyAlignment="1">
      <alignment horizontal="right"/>
    </xf>
    <xf numFmtId="0" fontId="9" fillId="0" borderId="10" xfId="0" applyFont="1" applyBorder="1" applyAlignment="1">
      <alignment horizontal="right"/>
    </xf>
    <xf numFmtId="0" fontId="9" fillId="0" borderId="21" xfId="0" applyFont="1" applyBorder="1" applyAlignment="1" applyProtection="1">
      <alignment horizontal="right"/>
    </xf>
    <xf numFmtId="0" fontId="9" fillId="0" borderId="7" xfId="0" applyFont="1" applyBorder="1"/>
    <xf numFmtId="0" fontId="9" fillId="0" borderId="11" xfId="0" applyFont="1" applyBorder="1"/>
    <xf numFmtId="0" fontId="9" fillId="0" borderId="13" xfId="0" applyFont="1" applyBorder="1"/>
    <xf numFmtId="170" fontId="0" fillId="0" borderId="0" xfId="0" applyNumberFormat="1" applyFill="1" applyBorder="1"/>
    <xf numFmtId="170" fontId="0" fillId="0" borderId="11" xfId="0" applyNumberFormat="1" applyFill="1" applyBorder="1"/>
    <xf numFmtId="169" fontId="0" fillId="7" borderId="0" xfId="0" applyNumberFormat="1" applyFill="1" applyBorder="1"/>
    <xf numFmtId="171" fontId="0" fillId="0" borderId="8" xfId="0" applyNumberFormat="1" applyFill="1" applyBorder="1"/>
    <xf numFmtId="171" fontId="0" fillId="0" borderId="0" xfId="0" applyNumberFormat="1" applyFill="1" applyBorder="1"/>
    <xf numFmtId="0" fontId="1" fillId="0" borderId="0" xfId="0" applyFont="1" applyBorder="1"/>
    <xf numFmtId="0" fontId="1" fillId="0" borderId="0" xfId="0" applyFont="1" applyAlignment="1" applyProtection="1">
      <alignment horizontal="right"/>
    </xf>
    <xf numFmtId="171" fontId="0" fillId="0" borderId="7" xfId="0" applyNumberFormat="1" applyFill="1" applyBorder="1"/>
    <xf numFmtId="171" fontId="0" fillId="5" borderId="7" xfId="0" applyNumberFormat="1" applyFill="1" applyBorder="1"/>
    <xf numFmtId="171" fontId="0" fillId="5" borderId="15" xfId="0" applyNumberFormat="1" applyFill="1" applyBorder="1"/>
    <xf numFmtId="171" fontId="0" fillId="0" borderId="11" xfId="0" applyNumberFormat="1" applyBorder="1"/>
    <xf numFmtId="171" fontId="0" fillId="5" borderId="11" xfId="0" applyNumberFormat="1" applyFill="1" applyBorder="1"/>
    <xf numFmtId="171" fontId="0" fillId="5" borderId="39" xfId="0" applyNumberFormat="1" applyFill="1" applyBorder="1"/>
    <xf numFmtId="171" fontId="0" fillId="0" borderId="13" xfId="0" applyNumberFormat="1" applyBorder="1"/>
    <xf numFmtId="171" fontId="0" fillId="5" borderId="13" xfId="0" applyNumberFormat="1" applyFill="1" applyBorder="1"/>
    <xf numFmtId="171" fontId="0" fillId="5" borderId="40" xfId="0" applyNumberFormat="1" applyFill="1" applyBorder="1"/>
    <xf numFmtId="171" fontId="0" fillId="0" borderId="7" xfId="0" applyNumberFormat="1" applyBorder="1"/>
    <xf numFmtId="171" fontId="0" fillId="0" borderId="14" xfId="0" applyNumberFormat="1" applyBorder="1"/>
    <xf numFmtId="165" fontId="1" fillId="0" borderId="1" xfId="0" applyNumberFormat="1" applyFont="1" applyBorder="1" applyProtection="1"/>
    <xf numFmtId="165" fontId="1" fillId="0" borderId="0" xfId="0" applyNumberFormat="1" applyFont="1" applyBorder="1" applyProtection="1"/>
    <xf numFmtId="165" fontId="1" fillId="0" borderId="14" xfId="0" applyNumberFormat="1" applyFont="1" applyBorder="1" applyProtection="1"/>
    <xf numFmtId="166" fontId="5" fillId="5" borderId="21" xfId="0" applyNumberFormat="1" applyFont="1" applyFill="1" applyBorder="1"/>
    <xf numFmtId="166" fontId="5" fillId="5" borderId="2" xfId="0" applyNumberFormat="1" applyFont="1" applyFill="1" applyBorder="1"/>
    <xf numFmtId="166" fontId="24" fillId="5" borderId="2" xfId="0" applyNumberFormat="1" applyFont="1" applyFill="1" applyBorder="1"/>
    <xf numFmtId="11" fontId="23" fillId="0" borderId="1" xfId="0" applyNumberFormat="1" applyFont="1" applyBorder="1"/>
    <xf numFmtId="11" fontId="0" fillId="5" borderId="15" xfId="0" applyNumberFormat="1" applyFill="1" applyBorder="1"/>
    <xf numFmtId="11" fontId="0" fillId="5" borderId="7" xfId="0" applyNumberFormat="1" applyFill="1" applyBorder="1"/>
    <xf numFmtId="11" fontId="23" fillId="0" borderId="0" xfId="0" applyNumberFormat="1" applyFont="1" applyBorder="1"/>
    <xf numFmtId="11" fontId="0" fillId="5" borderId="39" xfId="0" applyNumberFormat="1" applyFill="1" applyBorder="1"/>
    <xf numFmtId="11" fontId="0" fillId="5" borderId="11" xfId="0" applyNumberFormat="1" applyFill="1" applyBorder="1"/>
    <xf numFmtId="11" fontId="0" fillId="0" borderId="14" xfId="0" applyNumberFormat="1" applyBorder="1"/>
    <xf numFmtId="11" fontId="0" fillId="5" borderId="40" xfId="0" applyNumberFormat="1" applyFill="1" applyBorder="1"/>
    <xf numFmtId="11" fontId="0" fillId="5" borderId="13" xfId="0" applyNumberFormat="1" applyFill="1" applyBorder="1"/>
    <xf numFmtId="11" fontId="0" fillId="0" borderId="0" xfId="0" applyNumberFormat="1" applyBorder="1"/>
    <xf numFmtId="11" fontId="0" fillId="0" borderId="1" xfId="0" applyNumberFormat="1" applyBorder="1"/>
    <xf numFmtId="2" fontId="5" fillId="5" borderId="21" xfId="0" applyNumberFormat="1" applyFont="1" applyFill="1" applyBorder="1"/>
    <xf numFmtId="2" fontId="5" fillId="5" borderId="2" xfId="0" applyNumberFormat="1" applyFont="1" applyFill="1" applyBorder="1"/>
    <xf numFmtId="2" fontId="24" fillId="5" borderId="2" xfId="0" applyNumberFormat="1" applyFont="1" applyFill="1" applyBorder="1"/>
    <xf numFmtId="11" fontId="0" fillId="0" borderId="0" xfId="0" applyNumberFormat="1" applyFill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/>
    <xf numFmtId="0" fontId="1" fillId="0" borderId="13" xfId="0" applyFont="1" applyFill="1" applyBorder="1"/>
    <xf numFmtId="166" fontId="0" fillId="8" borderId="0" xfId="0" applyNumberFormat="1" applyFill="1" applyBorder="1"/>
    <xf numFmtId="165" fontId="0" fillId="8" borderId="0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166" fontId="0" fillId="8" borderId="31" xfId="0" applyNumberFormat="1" applyFill="1" applyBorder="1"/>
    <xf numFmtId="0" fontId="1" fillId="0" borderId="8" xfId="0" applyFont="1" applyFill="1" applyBorder="1" applyAlignment="1">
      <alignment horizontal="center"/>
    </xf>
    <xf numFmtId="166" fontId="0" fillId="0" borderId="15" xfId="0" applyNumberFormat="1" applyBorder="1"/>
    <xf numFmtId="166" fontId="0" fillId="0" borderId="39" xfId="0" applyNumberFormat="1" applyBorder="1"/>
    <xf numFmtId="166" fontId="0" fillId="0" borderId="40" xfId="0" applyNumberFormat="1" applyBorder="1"/>
    <xf numFmtId="0" fontId="1" fillId="0" borderId="6" xfId="0" applyFont="1" applyBorder="1"/>
    <xf numFmtId="0" fontId="1" fillId="0" borderId="12" xfId="0" applyFont="1" applyBorder="1"/>
    <xf numFmtId="11" fontId="0" fillId="0" borderId="11" xfId="0" applyNumberFormat="1" applyBorder="1"/>
    <xf numFmtId="0" fontId="1" fillId="0" borderId="0" xfId="0" applyFont="1" applyFill="1" applyBorder="1"/>
    <xf numFmtId="164" fontId="0" fillId="4" borderId="6" xfId="0" applyNumberFormat="1" applyFill="1" applyBorder="1"/>
    <xf numFmtId="164" fontId="0" fillId="4" borderId="8" xfId="0" applyNumberFormat="1" applyFill="1" applyBorder="1"/>
    <xf numFmtId="0" fontId="1" fillId="2" borderId="0" xfId="0" applyFont="1" applyFill="1" applyBorder="1"/>
    <xf numFmtId="0" fontId="0" fillId="9" borderId="2" xfId="0" applyFill="1" applyBorder="1"/>
    <xf numFmtId="0" fontId="0" fillId="0" borderId="8" xfId="0" applyFill="1" applyBorder="1"/>
    <xf numFmtId="11" fontId="23" fillId="0" borderId="15" xfId="0" applyNumberFormat="1" applyFont="1" applyFill="1" applyBorder="1"/>
    <xf numFmtId="11" fontId="23" fillId="0" borderId="39" xfId="0" applyNumberFormat="1" applyFont="1" applyFill="1" applyBorder="1"/>
    <xf numFmtId="11" fontId="23" fillId="0" borderId="40" xfId="0" applyNumberFormat="1" applyFont="1" applyFill="1" applyBorder="1"/>
    <xf numFmtId="0" fontId="0" fillId="4" borderId="40" xfId="0" applyFill="1" applyBorder="1" applyProtection="1">
      <protection locked="0"/>
    </xf>
    <xf numFmtId="0" fontId="5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Protection="1">
      <protection locked="0"/>
    </xf>
    <xf numFmtId="1" fontId="0" fillId="0" borderId="0" xfId="0" applyNumberFormat="1" applyFill="1" applyBorder="1"/>
    <xf numFmtId="0" fontId="1" fillId="0" borderId="0" xfId="0" quotePrefix="1" applyFont="1" applyFill="1" applyBorder="1" applyAlignment="1"/>
    <xf numFmtId="172" fontId="0" fillId="6" borderId="8" xfId="0" applyNumberFormat="1" applyFill="1" applyBorder="1" applyAlignment="1">
      <alignment horizontal="left"/>
    </xf>
    <xf numFmtId="172" fontId="0" fillId="6" borderId="0" xfId="0" applyNumberFormat="1" applyFill="1" applyBorder="1" applyAlignment="1">
      <alignment horizontal="left"/>
    </xf>
    <xf numFmtId="0" fontId="1" fillId="4" borderId="9" xfId="0" applyFont="1" applyFill="1" applyBorder="1" applyAlignment="1" applyProtection="1">
      <alignment horizontal="left"/>
      <protection locked="0"/>
    </xf>
    <xf numFmtId="0" fontId="0" fillId="4" borderId="21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2" fillId="4" borderId="9" xfId="0" applyFont="1" applyFill="1" applyBorder="1" applyAlignment="1" applyProtection="1">
      <alignment horizontal="left"/>
      <protection locked="0"/>
    </xf>
    <xf numFmtId="14" fontId="0" fillId="4" borderId="9" xfId="0" quotePrefix="1" applyNumberFormat="1" applyFill="1" applyBorder="1" applyAlignment="1" applyProtection="1">
      <alignment horizontal="left"/>
      <protection locked="0"/>
    </xf>
    <xf numFmtId="0" fontId="0" fillId="0" borderId="4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42" xfId="0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18" fillId="0" borderId="6" xfId="0" applyFont="1" applyBorder="1" applyAlignment="1" applyProtection="1">
      <alignment horizontal="center" vertical="center"/>
    </xf>
    <xf numFmtId="0" fontId="18" fillId="0" borderId="1" xfId="0" applyFont="1" applyBorder="1" applyAlignment="1" applyProtection="1">
      <alignment horizontal="center" vertical="center"/>
    </xf>
    <xf numFmtId="0" fontId="18" fillId="0" borderId="7" xfId="0" applyFont="1" applyBorder="1" applyAlignment="1" applyProtection="1">
      <alignment horizontal="center" vertical="center"/>
    </xf>
    <xf numFmtId="0" fontId="18" fillId="0" borderId="12" xfId="0" applyFont="1" applyBorder="1" applyAlignment="1" applyProtection="1">
      <alignment horizontal="center" vertical="center"/>
    </xf>
    <xf numFmtId="0" fontId="18" fillId="0" borderId="14" xfId="0" applyFont="1" applyBorder="1" applyAlignment="1" applyProtection="1">
      <alignment horizontal="center" vertical="center"/>
    </xf>
    <xf numFmtId="0" fontId="18" fillId="0" borderId="13" xfId="0" applyFont="1" applyBorder="1" applyAlignment="1" applyProtection="1">
      <alignment horizontal="center" vertical="center"/>
    </xf>
    <xf numFmtId="0" fontId="0" fillId="0" borderId="45" xfId="0" applyBorder="1" applyAlignment="1">
      <alignment horizontal="center"/>
    </xf>
    <xf numFmtId="168" fontId="13" fillId="0" borderId="43" xfId="0" applyNumberFormat="1" applyFont="1" applyBorder="1" applyAlignment="1" applyProtection="1">
      <alignment horizontal="left" vertical="center"/>
      <protection locked="0"/>
    </xf>
    <xf numFmtId="168" fontId="13" fillId="0" borderId="44" xfId="0" applyNumberFormat="1" applyFont="1" applyBorder="1" applyAlignment="1" applyProtection="1">
      <alignment horizontal="left" vertical="center"/>
      <protection locked="0"/>
    </xf>
    <xf numFmtId="0" fontId="13" fillId="0" borderId="46" xfId="0" applyFont="1" applyBorder="1" applyAlignment="1" applyProtection="1">
      <alignment horizontal="left" vertical="center"/>
      <protection locked="0"/>
    </xf>
    <xf numFmtId="0" fontId="13" fillId="0" borderId="47" xfId="0" applyFont="1" applyBorder="1" applyAlignment="1" applyProtection="1">
      <alignment horizontal="left" vertical="center"/>
      <protection locked="0"/>
    </xf>
    <xf numFmtId="0" fontId="2" fillId="0" borderId="48" xfId="0" applyFont="1" applyBorder="1" applyAlignment="1">
      <alignment horizontal="left"/>
    </xf>
    <xf numFmtId="0" fontId="2" fillId="0" borderId="49" xfId="0" applyFont="1" applyBorder="1" applyAlignment="1">
      <alignment horizontal="left"/>
    </xf>
    <xf numFmtId="0" fontId="2" fillId="0" borderId="43" xfId="0" applyFont="1" applyBorder="1" applyAlignment="1" applyProtection="1">
      <alignment horizontal="left"/>
    </xf>
    <xf numFmtId="0" fontId="2" fillId="0" borderId="44" xfId="0" applyFont="1" applyBorder="1" applyAlignment="1" applyProtection="1">
      <alignment horizontal="left"/>
    </xf>
    <xf numFmtId="0" fontId="2" fillId="0" borderId="46" xfId="0" applyFont="1" applyBorder="1" applyAlignment="1" applyProtection="1">
      <alignment horizontal="left"/>
    </xf>
    <xf numFmtId="0" fontId="2" fillId="0" borderId="47" xfId="0" applyFont="1" applyBorder="1" applyAlignment="1" applyProtection="1">
      <alignment horizontal="left"/>
    </xf>
    <xf numFmtId="0" fontId="2" fillId="0" borderId="48" xfId="0" applyFont="1" applyBorder="1" applyAlignment="1" applyProtection="1">
      <alignment horizontal="left"/>
    </xf>
    <xf numFmtId="0" fontId="2" fillId="0" borderId="49" xfId="0" applyFont="1" applyBorder="1" applyAlignment="1" applyProtection="1">
      <alignment horizontal="left"/>
    </xf>
  </cellXfs>
  <cellStyles count="3">
    <cellStyle name="Normal_Sheet1" xfId="1" xr:uid="{00000000-0005-0000-0000-000000000000}"/>
    <cellStyle name="Standaard" xfId="0" builtinId="0"/>
    <cellStyle name="Standaard_INVOER" xfId="2" xr:uid="{00000000-0005-0000-0000-000002000000}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16E-2"/>
          <c:y val="0.16744939518748214"/>
          <c:w val="0.8860624254952062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0.3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99.998999999999995</c:v>
                </c:pt>
                <c:pt idx="2">
                  <c:v>94</c:v>
                </c:pt>
                <c:pt idx="3">
                  <c:v>82</c:v>
                </c:pt>
                <c:pt idx="4">
                  <c:v>61.1</c:v>
                </c:pt>
                <c:pt idx="5">
                  <c:v>40.5</c:v>
                </c:pt>
                <c:pt idx="6">
                  <c:v>24.5</c:v>
                </c:pt>
                <c:pt idx="7">
                  <c:v>13.799999999999997</c:v>
                </c:pt>
                <c:pt idx="8">
                  <c:v>7</c:v>
                </c:pt>
                <c:pt idx="9">
                  <c:v>3.4000000000000057</c:v>
                </c:pt>
                <c:pt idx="10">
                  <c:v>1.5</c:v>
                </c:pt>
                <c:pt idx="11">
                  <c:v>0.5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5E-4E71-9701-3B13F1D1DA2D}"/>
            </c:ext>
          </c:extLst>
        </c:ser>
        <c:ser>
          <c:idx val="0"/>
          <c:order val="1"/>
          <c:tx>
            <c:v>PSD Rosin Rammler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 formatCode="0.00">
                  <c:v>141.02263898650821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99.994104311082694</c:v>
                </c:pt>
                <c:pt idx="1">
                  <c:v>99.993099044783307</c:v>
                </c:pt>
                <c:pt idx="2">
                  <c:v>99.991922378749436</c:v>
                </c:pt>
                <c:pt idx="3">
                  <c:v>99.990545091576578</c:v>
                </c:pt>
                <c:pt idx="4">
                  <c:v>99.988932980942621</c:v>
                </c:pt>
                <c:pt idx="5">
                  <c:v>99.987046014939523</c:v>
                </c:pt>
                <c:pt idx="6">
                  <c:v>99.984837338935193</c:v>
                </c:pt>
                <c:pt idx="7">
                  <c:v>99.982252113420884</c:v>
                </c:pt>
                <c:pt idx="8">
                  <c:v>99.979226154146346</c:v>
                </c:pt>
                <c:pt idx="9">
                  <c:v>99.975684340997418</c:v>
                </c:pt>
                <c:pt idx="10">
                  <c:v>99.971538756411974</c:v>
                </c:pt>
                <c:pt idx="11">
                  <c:v>99.966686507530412</c:v>
                </c:pt>
                <c:pt idx="12">
                  <c:v>99.961007178582634</c:v>
                </c:pt>
                <c:pt idx="13">
                  <c:v>99.954359851049588</c:v>
                </c:pt>
                <c:pt idx="14">
                  <c:v>99.946579618705201</c:v>
                </c:pt>
                <c:pt idx="15">
                  <c:v>99.937473512511858</c:v>
                </c:pt>
                <c:pt idx="16">
                  <c:v>99.926815736253133</c:v>
                </c:pt>
                <c:pt idx="17">
                  <c:v>99.914342097444163</c:v>
                </c:pt>
                <c:pt idx="18">
                  <c:v>99.899743499137401</c:v>
                </c:pt>
                <c:pt idx="19">
                  <c:v>99.882658336373026</c:v>
                </c:pt>
                <c:pt idx="20">
                  <c:v>99.862663615811911</c:v>
                </c:pt>
                <c:pt idx="21">
                  <c:v>99.839264588104726</c:v>
                </c:pt>
                <c:pt idx="22">
                  <c:v>99.811882649345691</c:v>
                </c:pt>
                <c:pt idx="23">
                  <c:v>99.779841230074339</c:v>
                </c:pt>
                <c:pt idx="24">
                  <c:v>99.742349347288638</c:v>
                </c:pt>
                <c:pt idx="25">
                  <c:v>99.698482446432919</c:v>
                </c:pt>
                <c:pt idx="26">
                  <c:v>99.647160106054841</c:v>
                </c:pt>
                <c:pt idx="27">
                  <c:v>99.587120117709816</c:v>
                </c:pt>
                <c:pt idx="28">
                  <c:v>99.516888387964173</c:v>
                </c:pt>
                <c:pt idx="29">
                  <c:v>99.43474403872095</c:v>
                </c:pt>
                <c:pt idx="30">
                  <c:v>99.338679007990862</c:v>
                </c:pt>
                <c:pt idx="31">
                  <c:v>99.226351378111147</c:v>
                </c:pt>
                <c:pt idx="32">
                  <c:v>99.095031586213182</c:v>
                </c:pt>
                <c:pt idx="33">
                  <c:v>98.941540608464706</c:v>
                </c:pt>
                <c:pt idx="34">
                  <c:v>98.762179164161196</c:v>
                </c:pt>
                <c:pt idx="35">
                  <c:v>98.552646970963082</c:v>
                </c:pt>
                <c:pt idx="36">
                  <c:v>98.307951116689722</c:v>
                </c:pt>
                <c:pt idx="37">
                  <c:v>98.02230272148978</c:v>
                </c:pt>
                <c:pt idx="38">
                  <c:v>97.689001281827487</c:v>
                </c:pt>
                <c:pt idx="39">
                  <c:v>97.300306461848393</c:v>
                </c:pt>
                <c:pt idx="40">
                  <c:v>96.847297691479525</c:v>
                </c:pt>
                <c:pt idx="41">
                  <c:v>96.319722827093301</c:v>
                </c:pt>
                <c:pt idx="42">
                  <c:v>95.705838436913822</c:v>
                </c:pt>
                <c:pt idx="43">
                  <c:v>94.992246125025133</c:v>
                </c:pt>
                <c:pt idx="44">
                  <c:v>94.163731871432248</c:v>
                </c:pt>
                <c:pt idx="45">
                  <c:v>93.580151763294666</c:v>
                </c:pt>
                <c:pt idx="46">
                  <c:v>93.028841121330657</c:v>
                </c:pt>
                <c:pt idx="47">
                  <c:v>92.432129403163486</c:v>
                </c:pt>
                <c:pt idx="48">
                  <c:v>91.786632614741166</c:v>
                </c:pt>
                <c:pt idx="49">
                  <c:v>91.088780045711516</c:v>
                </c:pt>
                <c:pt idx="50">
                  <c:v>90.334816740159468</c:v>
                </c:pt>
                <c:pt idx="51">
                  <c:v>89.520809128778239</c:v>
                </c:pt>
                <c:pt idx="52">
                  <c:v>88.642654487752566</c:v>
                </c:pt>
                <c:pt idx="53">
                  <c:v>87.696094978311663</c:v>
                </c:pt>
                <c:pt idx="54">
                  <c:v>86.676737112882378</c:v>
                </c:pt>
                <c:pt idx="55">
                  <c:v>85.58007758632364</c:v>
                </c:pt>
                <c:pt idx="56">
                  <c:v>84.401536499990215</c:v>
                </c:pt>
                <c:pt idx="57">
                  <c:v>83.136499087065005</c:v>
                </c:pt>
                <c:pt idx="58">
                  <c:v>81.706531534972868</c:v>
                </c:pt>
                <c:pt idx="59">
                  <c:v>79.741262700115058</c:v>
                </c:pt>
                <c:pt idx="60">
                  <c:v>77.59526877686379</c:v>
                </c:pt>
                <c:pt idx="61">
                  <c:v>75.259204792358645</c:v>
                </c:pt>
                <c:pt idx="62">
                  <c:v>72.725079506516252</c:v>
                </c:pt>
                <c:pt idx="63">
                  <c:v>69.986809071131162</c:v>
                </c:pt>
                <c:pt idx="64">
                  <c:v>67.040859029606224</c:v>
                </c:pt>
                <c:pt idx="65">
                  <c:v>63.886969178674022</c:v>
                </c:pt>
                <c:pt idx="66">
                  <c:v>60.562975169620778</c:v>
                </c:pt>
                <c:pt idx="67">
                  <c:v>57.227314756217083</c:v>
                </c:pt>
                <c:pt idx="68">
                  <c:v>53.730398833752979</c:v>
                </c:pt>
                <c:pt idx="69">
                  <c:v>50.089107801705104</c:v>
                </c:pt>
                <c:pt idx="70">
                  <c:v>46.32587146284699</c:v>
                </c:pt>
                <c:pt idx="71">
                  <c:v>42.468999068699596</c:v>
                </c:pt>
                <c:pt idx="72">
                  <c:v>38.67106780573458</c:v>
                </c:pt>
                <c:pt idx="73">
                  <c:v>34.973972347520494</c:v>
                </c:pt>
                <c:pt idx="74">
                  <c:v>31.295935095834587</c:v>
                </c:pt>
                <c:pt idx="75">
                  <c:v>27.677500620543714</c:v>
                </c:pt>
                <c:pt idx="76">
                  <c:v>24.179196301338159</c:v>
                </c:pt>
                <c:pt idx="77">
                  <c:v>20.98126987154431</c:v>
                </c:pt>
                <c:pt idx="78">
                  <c:v>17.950032467341956</c:v>
                </c:pt>
                <c:pt idx="79">
                  <c:v>15.119139677456102</c:v>
                </c:pt>
                <c:pt idx="80">
                  <c:v>12.495146180640283</c:v>
                </c:pt>
                <c:pt idx="81">
                  <c:v>10.109683198828604</c:v>
                </c:pt>
                <c:pt idx="82">
                  <c:v>8.0050207592498737</c:v>
                </c:pt>
                <c:pt idx="83">
                  <c:v>6.2355810807561056</c:v>
                </c:pt>
                <c:pt idx="84">
                  <c:v>4.7829068393605132</c:v>
                </c:pt>
                <c:pt idx="85">
                  <c:v>3.5768241765298825</c:v>
                </c:pt>
                <c:pt idx="86">
                  <c:v>2.5851989664485711</c:v>
                </c:pt>
                <c:pt idx="87">
                  <c:v>1.8077850675958005</c:v>
                </c:pt>
                <c:pt idx="88">
                  <c:v>1.1703246856052694</c:v>
                </c:pt>
                <c:pt idx="89">
                  <c:v>0.69117171150330725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5E-4E71-9701-3B13F1D1DA2D}"/>
            </c:ext>
          </c:extLst>
        </c:ser>
        <c:ser>
          <c:idx val="3"/>
          <c:order val="2"/>
          <c:tx>
            <c:v>Grade Efficiency Stage 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0.50610808497346227</c:v>
                </c:pt>
                <c:pt idx="13">
                  <c:v>1.1703829874271605</c:v>
                </c:pt>
                <c:pt idx="14">
                  <c:v>1.9201387894032109</c:v>
                </c:pt>
                <c:pt idx="15">
                  <c:v>2.7438450820409912</c:v>
                </c:pt>
                <c:pt idx="16">
                  <c:v>3.6370124397198396</c:v>
                </c:pt>
                <c:pt idx="17">
                  <c:v>4.5977828690491407</c:v>
                </c:pt>
                <c:pt idx="18">
                  <c:v>5.6255616147083884</c:v>
                </c:pt>
                <c:pt idx="19">
                  <c:v>6.7204378632700212</c:v>
                </c:pt>
                <c:pt idx="20">
                  <c:v>7.8828896844434979</c:v>
                </c:pt>
                <c:pt idx="21">
                  <c:v>9.1136120089753661</c:v>
                </c:pt>
                <c:pt idx="22">
                  <c:v>10.413404480744092</c:v>
                </c:pt>
                <c:pt idx="23">
                  <c:v>11.783090791364387</c:v>
                </c:pt>
                <c:pt idx="24">
                  <c:v>13.223455399561701</c:v>
                </c:pt>
                <c:pt idx="25">
                  <c:v>14.735190093279769</c:v>
                </c:pt>
                <c:pt idx="26">
                  <c:v>16.318846131518569</c:v>
                </c:pt>
                <c:pt idx="27">
                  <c:v>17.974789468189698</c:v>
                </c:pt>
                <c:pt idx="28">
                  <c:v>19.703157577066349</c:v>
                </c:pt>
                <c:pt idx="29">
                  <c:v>21.503817023528612</c:v>
                </c:pt>
                <c:pt idx="30">
                  <c:v>23.376321343877478</c:v>
                </c:pt>
                <c:pt idx="31">
                  <c:v>25.319869090294901</c:v>
                </c:pt>
                <c:pt idx="32">
                  <c:v>27.333262130414809</c:v>
                </c:pt>
                <c:pt idx="33">
                  <c:v>29.414864483913391</c:v>
                </c:pt>
                <c:pt idx="34">
                  <c:v>31.562562151061968</c:v>
                </c:pt>
                <c:pt idx="35">
                  <c:v>33.773724549010112</c:v>
                </c:pt>
                <c:pt idx="36">
                  <c:v>36.045168325246294</c:v>
                </c:pt>
                <c:pt idx="37">
                  <c:v>38.373124465591737</c:v>
                </c:pt>
                <c:pt idx="38">
                  <c:v>40.753209755190156</c:v>
                </c:pt>
                <c:pt idx="39">
                  <c:v>43.180403782231821</c:v>
                </c:pt>
                <c:pt idx="40">
                  <c:v>45.649032790807254</c:v>
                </c:pt>
                <c:pt idx="41">
                  <c:v>48.152761784905152</c:v>
                </c:pt>
                <c:pt idx="42">
                  <c:v>50.684596352239026</c:v>
                </c:pt>
                <c:pt idx="43">
                  <c:v>53.236895705045249</c:v>
                </c:pt>
                <c:pt idx="44">
                  <c:v>55.801398414880303</c:v>
                </c:pt>
                <c:pt idx="45">
                  <c:v>58.369262238629979</c:v>
                </c:pt>
                <c:pt idx="46">
                  <c:v>60.931119282047362</c:v>
                </c:pt>
                <c:pt idx="47">
                  <c:v>63.477147514197362</c:v>
                </c:pt>
                <c:pt idx="48">
                  <c:v>65.997159321526254</c:v>
                </c:pt>
                <c:pt idx="49">
                  <c:v>68.480707366597173</c:v>
                </c:pt>
                <c:pt idx="50">
                  <c:v>70.917207490177233</c:v>
                </c:pt>
                <c:pt idx="51">
                  <c:v>73.296077767737955</c:v>
                </c:pt>
                <c:pt idx="52">
                  <c:v>75.606892110539761</c:v>
                </c:pt>
                <c:pt idx="53">
                  <c:v>77.839546003378913</c:v>
                </c:pt>
                <c:pt idx="54">
                  <c:v>79.98443112124454</c:v>
                </c:pt>
                <c:pt idx="55">
                  <c:v>82.032614701340265</c:v>
                </c:pt>
                <c:pt idx="56">
                  <c:v>83.976018711595401</c:v>
                </c:pt>
                <c:pt idx="57">
                  <c:v>85.807593108430211</c:v>
                </c:pt>
                <c:pt idx="58">
                  <c:v>87.521476880037071</c:v>
                </c:pt>
                <c:pt idx="59">
                  <c:v>89.113140196962817</c:v>
                </c:pt>
                <c:pt idx="60">
                  <c:v>90.579500910172527</c:v>
                </c:pt>
                <c:pt idx="61">
                  <c:v>91.919008913359747</c:v>
                </c:pt>
                <c:pt idx="62">
                  <c:v>93.081473890217922</c:v>
                </c:pt>
                <c:pt idx="63">
                  <c:v>94.051681753762509</c:v>
                </c:pt>
                <c:pt idx="64">
                  <c:v>94.896036486820549</c:v>
                </c:pt>
                <c:pt idx="65">
                  <c:v>95.630364414344072</c:v>
                </c:pt>
                <c:pt idx="66">
                  <c:v>96.268306815598095</c:v>
                </c:pt>
                <c:pt idx="67">
                  <c:v>96.821706287975559</c:v>
                </c:pt>
                <c:pt idx="68">
                  <c:v>97.300905093379029</c:v>
                </c:pt>
                <c:pt idx="69">
                  <c:v>97.714978826659419</c:v>
                </c:pt>
                <c:pt idx="70">
                  <c:v>98.071921888199995</c:v>
                </c:pt>
                <c:pt idx="71">
                  <c:v>98.378796601439802</c:v>
                </c:pt>
                <c:pt idx="72">
                  <c:v>98.641854611372381</c:v>
                </c:pt>
                <c:pt idx="73">
                  <c:v>98.866636946461</c:v>
                </c:pt>
                <c:pt idx="74">
                  <c:v>99.058057514891814</c:v>
                </c:pt>
                <c:pt idx="75">
                  <c:v>99.220473635785936</c:v>
                </c:pt>
                <c:pt idx="76">
                  <c:v>99.357746343966028</c:v>
                </c:pt>
                <c:pt idx="77">
                  <c:v>99.473292563657822</c:v>
                </c:pt>
                <c:pt idx="78">
                  <c:v>99.570130760971992</c:v>
                </c:pt>
                <c:pt idx="79">
                  <c:v>99.650921314800584</c:v>
                </c:pt>
                <c:pt idx="80">
                  <c:v>99.718002561139954</c:v>
                </c:pt>
                <c:pt idx="81">
                  <c:v>99.773423245678416</c:v>
                </c:pt>
                <c:pt idx="82">
                  <c:v>99.818971948541758</c:v>
                </c:pt>
                <c:pt idx="83">
                  <c:v>99.856203912269521</c:v>
                </c:pt>
                <c:pt idx="84">
                  <c:v>99.886465601183033</c:v>
                </c:pt>
                <c:pt idx="85">
                  <c:v>99.910917241121368</c:v>
                </c:pt>
                <c:pt idx="86">
                  <c:v>99.930553528327351</c:v>
                </c:pt>
                <c:pt idx="87">
                  <c:v>99.946222651358752</c:v>
                </c:pt>
                <c:pt idx="88">
                  <c:v>99.958643737316535</c:v>
                </c:pt>
                <c:pt idx="89">
                  <c:v>99.968422810997779</c:v>
                </c:pt>
                <c:pt idx="90">
                  <c:v>99.976067340771507</c:v>
                </c:pt>
                <c:pt idx="91">
                  <c:v>99.981999436317935</c:v>
                </c:pt>
                <c:pt idx="92">
                  <c:v>99.986567759385892</c:v>
                </c:pt>
                <c:pt idx="93">
                  <c:v>99.990058208127309</c:v>
                </c:pt>
                <c:pt idx="94">
                  <c:v>99.992703437258399</c:v>
                </c:pt>
                <c:pt idx="95">
                  <c:v>99.994691279329388</c:v>
                </c:pt>
                <c:pt idx="96">
                  <c:v>99.996172135972856</c:v>
                </c:pt>
                <c:pt idx="97">
                  <c:v>99.997265411500237</c:v>
                </c:pt>
                <c:pt idx="98">
                  <c:v>99.998065064135957</c:v>
                </c:pt>
                <c:pt idx="99">
                  <c:v>99.99864435215629</c:v>
                </c:pt>
                <c:pt idx="100">
                  <c:v>99.999059853010763</c:v>
                </c:pt>
                <c:pt idx="101">
                  <c:v>99.999354833035028</c:v>
                </c:pt>
                <c:pt idx="102">
                  <c:v>99.999562043610126</c:v>
                </c:pt>
                <c:pt idx="103">
                  <c:v>99.999706016663566</c:v>
                </c:pt>
                <c:pt idx="104">
                  <c:v>99.999804928390006</c:v>
                </c:pt>
                <c:pt idx="105">
                  <c:v>99.999872095189758</c:v>
                </c:pt>
                <c:pt idx="106">
                  <c:v>99.999917160305387</c:v>
                </c:pt>
                <c:pt idx="107">
                  <c:v>99.999947023715208</c:v>
                </c:pt>
                <c:pt idx="108">
                  <c:v>99.999966561745836</c:v>
                </c:pt>
                <c:pt idx="109">
                  <c:v>99.999979176803052</c:v>
                </c:pt>
                <c:pt idx="110">
                  <c:v>99.999987211772932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5E-4E71-9701-3B13F1D1D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34784"/>
        <c:axId val="189028224"/>
      </c:scatterChart>
      <c:valAx>
        <c:axId val="188934784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87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028224"/>
        <c:crossesAt val="0.1"/>
        <c:crossBetween val="midCat"/>
        <c:majorUnit val="10"/>
        <c:minorUnit val="10"/>
      </c:valAx>
      <c:valAx>
        <c:axId val="18902822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9347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004437744377091"/>
          <c:y val="9.5461804733049743E-2"/>
          <c:w val="0.60304369442806693"/>
          <c:h val="3.91236904643646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33" r="0.75000000000000233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71E-2"/>
          <c:y val="0.16744939518748247"/>
          <c:w val="0.88606242549520575"/>
          <c:h val="0.73239548549290501"/>
        </c:manualLayout>
      </c:layout>
      <c:scatterChart>
        <c:scatterStyle val="smoothMarker"/>
        <c:varyColors val="0"/>
        <c:ser>
          <c:idx val="4"/>
          <c:order val="0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99.929186128155791</c:v>
                </c:pt>
                <c:pt idx="1">
                  <c:v>99.917111746367326</c:v>
                </c:pt>
                <c:pt idx="2">
                  <c:v>99.902978660498292</c:v>
                </c:pt>
                <c:pt idx="3">
                  <c:v>99.886435888530528</c:v>
                </c:pt>
                <c:pt idx="4">
                  <c:v>99.867072622009431</c:v>
                </c:pt>
                <c:pt idx="5">
                  <c:v>99.844408032579494</c:v>
                </c:pt>
                <c:pt idx="6">
                  <c:v>99.817879343276203</c:v>
                </c:pt>
                <c:pt idx="7">
                  <c:v>99.786827869762789</c:v>
                </c:pt>
                <c:pt idx="8">
                  <c:v>99.750482686820092</c:v>
                </c:pt>
                <c:pt idx="9">
                  <c:v>99.707941517171989</c:v>
                </c:pt>
                <c:pt idx="10">
                  <c:v>99.658148371761769</c:v>
                </c:pt>
                <c:pt idx="11">
                  <c:v>99.599867391324352</c:v>
                </c:pt>
                <c:pt idx="12">
                  <c:v>99.531997489042752</c:v>
                </c:pt>
                <c:pt idx="13">
                  <c:v>99.453090045884636</c:v>
                </c:pt>
                <c:pt idx="14">
                  <c:v>99.361435039955325</c:v>
                </c:pt>
                <c:pt idx="15">
                  <c:v>99.255061506252417</c:v>
                </c:pt>
                <c:pt idx="16">
                  <c:v>99.131705404843501</c:v>
                </c:pt>
                <c:pt idx="17">
                  <c:v>98.988771449275148</c:v>
                </c:pt>
                <c:pt idx="18">
                  <c:v>98.82328999859314</c:v>
                </c:pt>
                <c:pt idx="19">
                  <c:v>98.631869078303126</c:v>
                </c:pt>
                <c:pt idx="20">
                  <c:v>98.41064141848787</c:v>
                </c:pt>
                <c:pt idx="21">
                  <c:v>98.155206399853157</c:v>
                </c:pt>
                <c:pt idx="22">
                  <c:v>97.860566873216101</c:v>
                </c:pt>
                <c:pt idx="23">
                  <c:v>97.521060944211655</c:v>
                </c:pt>
                <c:pt idx="24">
                  <c:v>97.13028899261765</c:v>
                </c:pt>
                <c:pt idx="25">
                  <c:v>96.681036431346129</c:v>
                </c:pt>
                <c:pt idx="26">
                  <c:v>96.16519301368146</c:v>
                </c:pt>
                <c:pt idx="27">
                  <c:v>95.573669880594764</c:v>
                </c:pt>
                <c:pt idx="28">
                  <c:v>94.89631601618764</c:v>
                </c:pt>
                <c:pt idx="29">
                  <c:v>94.121836362654761</c:v>
                </c:pt>
                <c:pt idx="30">
                  <c:v>93.237714551060876</c:v>
                </c:pt>
                <c:pt idx="31">
                  <c:v>92.230144044467551</c:v>
                </c:pt>
                <c:pt idx="32">
                  <c:v>91.083972477353825</c:v>
                </c:pt>
                <c:pt idx="33">
                  <c:v>89.782665117772027</c:v>
                </c:pt>
                <c:pt idx="34">
                  <c:v>88.308294677691791</c:v>
                </c:pt>
                <c:pt idx="35">
                  <c:v>86.641566143821052</c:v>
                </c:pt>
                <c:pt idx="36">
                  <c:v>84.761886872292507</c:v>
                </c:pt>
                <c:pt idx="37">
                  <c:v>82.647493841316034</c:v>
                </c:pt>
                <c:pt idx="38">
                  <c:v>80.275651612619725</c:v>
                </c:pt>
                <c:pt idx="39">
                  <c:v>77.62293610284766</c:v>
                </c:pt>
                <c:pt idx="40">
                  <c:v>74.665620547189661</c:v>
                </c:pt>
                <c:pt idx="41">
                  <c:v>71.380180822463373</c:v>
                </c:pt>
                <c:pt idx="42">
                  <c:v>67.743937279928744</c:v>
                </c:pt>
                <c:pt idx="43">
                  <c:v>63.73584902018063</c:v>
                </c:pt>
                <c:pt idx="44">
                  <c:v>59.337473618965362</c:v>
                </c:pt>
                <c:pt idx="45">
                  <c:v>56.419385730906122</c:v>
                </c:pt>
                <c:pt idx="46">
                  <c:v>53.832298183180242</c:v>
                </c:pt>
                <c:pt idx="47">
                  <c:v>51.214639391047761</c:v>
                </c:pt>
                <c:pt idx="48">
                  <c:v>48.578350091336539</c:v>
                </c:pt>
                <c:pt idx="49">
                  <c:v>45.936404165134469</c:v>
                </c:pt>
                <c:pt idx="50">
                  <c:v>43.302681172530058</c:v>
                </c:pt>
                <c:pt idx="51">
                  <c:v>40.691798831381043</c:v>
                </c:pt>
                <c:pt idx="52">
                  <c:v>38.118904689872323</c:v>
                </c:pt>
                <c:pt idx="53">
                  <c:v>35.599427928963443</c:v>
                </c:pt>
                <c:pt idx="54">
                  <c:v>33.148794254647193</c:v>
                </c:pt>
                <c:pt idx="55">
                  <c:v>30.782109151180961</c:v>
                </c:pt>
                <c:pt idx="56">
                  <c:v>28.513817275995525</c:v>
                </c:pt>
                <c:pt idx="57">
                  <c:v>26.357348352244895</c:v>
                </c:pt>
                <c:pt idx="58">
                  <c:v>24.214096778107578</c:v>
                </c:pt>
                <c:pt idx="59">
                  <c:v>21.644243208122667</c:v>
                </c:pt>
                <c:pt idx="60">
                  <c:v>19.216033560352482</c:v>
                </c:pt>
                <c:pt idx="61">
                  <c:v>16.948607456662632</c:v>
                </c:pt>
                <c:pt idx="62">
                  <c:v>14.842767086260626</c:v>
                </c:pt>
                <c:pt idx="63">
                  <c:v>12.886382132799881</c:v>
                </c:pt>
                <c:pt idx="64">
                  <c:v>11.080386402442052</c:v>
                </c:pt>
                <c:pt idx="65">
                  <c:v>9.425090950647018</c:v>
                </c:pt>
                <c:pt idx="66">
                  <c:v>7.9352155751801279</c:v>
                </c:pt>
                <c:pt idx="67">
                  <c:v>6.6618308379459172</c:v>
                </c:pt>
                <c:pt idx="68">
                  <c:v>5.5281596044150589</c:v>
                </c:pt>
                <c:pt idx="69">
                  <c:v>4.5287824882305117</c:v>
                </c:pt>
                <c:pt idx="70">
                  <c:v>3.6572774569649784</c:v>
                </c:pt>
                <c:pt idx="71">
                  <c:v>2.9062487175648197</c:v>
                </c:pt>
                <c:pt idx="72">
                  <c:v>2.2866976006046125</c:v>
                </c:pt>
                <c:pt idx="73">
                  <c:v>1.7834131698122284</c:v>
                </c:pt>
                <c:pt idx="74">
                  <c:v>1.3672877084449087</c:v>
                </c:pt>
                <c:pt idx="75">
                  <c:v>1.0284940277889631</c:v>
                </c:pt>
                <c:pt idx="76">
                  <c:v>0.7586281644611822</c:v>
                </c:pt>
                <c:pt idx="77">
                  <c:v>0.55631613863991469</c:v>
                </c:pt>
                <c:pt idx="78">
                  <c:v>0.39980685615633493</c:v>
                </c:pt>
                <c:pt idx="79">
                  <c:v>0.28111237281977464</c:v>
                </c:pt>
                <c:pt idx="80">
                  <c:v>0.19223489964958232</c:v>
                </c:pt>
                <c:pt idx="81">
                  <c:v>0.12731590086528893</c:v>
                </c:pt>
                <c:pt idx="82">
                  <c:v>8.1553151552759287E-2</c:v>
                </c:pt>
                <c:pt idx="83">
                  <c:v>5.0992218278386306E-2</c:v>
                </c:pt>
                <c:pt idx="84">
                  <c:v>3.1182446102964306E-2</c:v>
                </c:pt>
                <c:pt idx="85">
                  <c:v>1.8277549960086778E-2</c:v>
                </c:pt>
                <c:pt idx="86">
                  <c:v>1.0006102308851517E-2</c:v>
                </c:pt>
                <c:pt idx="87">
                  <c:v>4.9845791733575465E-3</c:v>
                </c:pt>
                <c:pt idx="88">
                  <c:v>1.8180881269677825E-3</c:v>
                </c:pt>
                <c:pt idx="89">
                  <c:v>7.6800516363205798E-7</c:v>
                </c:pt>
                <c:pt idx="90">
                  <c:v>7.6800516363205798E-7</c:v>
                </c:pt>
                <c:pt idx="91">
                  <c:v>7.6800516363205798E-7</c:v>
                </c:pt>
                <c:pt idx="92">
                  <c:v>7.6800516363205798E-7</c:v>
                </c:pt>
                <c:pt idx="93">
                  <c:v>7.6800516363205798E-7</c:v>
                </c:pt>
                <c:pt idx="94">
                  <c:v>7.6800516363205798E-7</c:v>
                </c:pt>
                <c:pt idx="95">
                  <c:v>7.6800516363205798E-7</c:v>
                </c:pt>
                <c:pt idx="96">
                  <c:v>7.6800516363205798E-7</c:v>
                </c:pt>
                <c:pt idx="97">
                  <c:v>7.6800516363205798E-7</c:v>
                </c:pt>
                <c:pt idx="98">
                  <c:v>7.6800516363205798E-7</c:v>
                </c:pt>
                <c:pt idx="99">
                  <c:v>7.6800516363205798E-7</c:v>
                </c:pt>
                <c:pt idx="100">
                  <c:v>7.6800516363205798E-7</c:v>
                </c:pt>
                <c:pt idx="101">
                  <c:v>7.6800516363205798E-7</c:v>
                </c:pt>
                <c:pt idx="102">
                  <c:v>7.6800516363205798E-7</c:v>
                </c:pt>
                <c:pt idx="103">
                  <c:v>7.6800516363205798E-7</c:v>
                </c:pt>
                <c:pt idx="104">
                  <c:v>7.6800516363205798E-7</c:v>
                </c:pt>
                <c:pt idx="105">
                  <c:v>7.6800516363205798E-7</c:v>
                </c:pt>
                <c:pt idx="106">
                  <c:v>7.6800516363205798E-7</c:v>
                </c:pt>
                <c:pt idx="107">
                  <c:v>7.6800516363205798E-7</c:v>
                </c:pt>
                <c:pt idx="108">
                  <c:v>7.6800516363205798E-7</c:v>
                </c:pt>
                <c:pt idx="109">
                  <c:v>7.6800516363205798E-7</c:v>
                </c:pt>
                <c:pt idx="110">
                  <c:v>2.8215629702468825E-14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30-44FF-B504-4404C1E654B2}"/>
            </c:ext>
          </c:extLst>
        </c:ser>
        <c:ser>
          <c:idx val="0"/>
          <c:order val="1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2.5393889304875614</c:v>
                </c:pt>
                <c:pt idx="2">
                  <c:v>5.6861760814541356</c:v>
                </c:pt>
                <c:pt idx="3">
                  <c:v>8.3173133776967632</c:v>
                </c:pt>
                <c:pt idx="4">
                  <c:v>10.718063253082306</c:v>
                </c:pt>
                <c:pt idx="5">
                  <c:v>12.982734981968619</c:v>
                </c:pt>
                <c:pt idx="6">
                  <c:v>15.157420960071178</c:v>
                </c:pt>
                <c:pt idx="7">
                  <c:v>17.268844022036049</c:v>
                </c:pt>
                <c:pt idx="8">
                  <c:v>19.334088348335442</c:v>
                </c:pt>
                <c:pt idx="9">
                  <c:v>21.364774335408612</c:v>
                </c:pt>
                <c:pt idx="10">
                  <c:v>23.369134069351205</c:v>
                </c:pt>
                <c:pt idx="11">
                  <c:v>25.353152924218961</c:v>
                </c:pt>
                <c:pt idx="12">
                  <c:v>27.321245864301531</c:v>
                </c:pt>
                <c:pt idx="13">
                  <c:v>29.276681593158941</c:v>
                </c:pt>
                <c:pt idx="14">
                  <c:v>31.221860887531193</c:v>
                </c:pt>
                <c:pt idx="15">
                  <c:v>33.158506141147541</c:v>
                </c:pt>
                <c:pt idx="16">
                  <c:v>35.087794532941871</c:v>
                </c:pt>
                <c:pt idx="17">
                  <c:v>37.010454154591088</c:v>
                </c:pt>
                <c:pt idx="18">
                  <c:v>38.92683510976498</c:v>
                </c:pt>
                <c:pt idx="19">
                  <c:v>40.836963314341688</c:v>
                </c:pt>
                <c:pt idx="20">
                  <c:v>42.740582125809269</c:v>
                </c:pt>
                <c:pt idx="21">
                  <c:v>44.637185298310655</c:v>
                </c:pt>
                <c:pt idx="22">
                  <c:v>46.526043706384613</c:v>
                </c:pt>
                <c:pt idx="23">
                  <c:v>48.406227582804931</c:v>
                </c:pt>
                <c:pt idx="24">
                  <c:v>50.276625542990935</c:v>
                </c:pt>
                <c:pt idx="25">
                  <c:v>52.135961340813594</c:v>
                </c:pt>
                <c:pt idx="26">
                  <c:v>53.982809068806695</c:v>
                </c:pt>
                <c:pt idx="27">
                  <c:v>55.815607348285695</c:v>
                </c:pt>
                <c:pt idx="28">
                  <c:v>57.632672931143389</c:v>
                </c:pt>
                <c:pt idx="29">
                  <c:v>59.432214041483128</c:v>
                </c:pt>
                <c:pt idx="30">
                  <c:v>61.212343712540893</c:v>
                </c:pt>
                <c:pt idx="31">
                  <c:v>62.971093316191094</c:v>
                </c:pt>
                <c:pt idx="32">
                  <c:v>64.706426434311851</c:v>
                </c:pt>
                <c:pt idx="33">
                  <c:v>66.416253180296849</c:v>
                </c:pt>
                <c:pt idx="34">
                  <c:v>68.098445042842016</c:v>
                </c:pt>
                <c:pt idx="35">
                  <c:v>69.750850291257265</c:v>
                </c:pt>
                <c:pt idx="36">
                  <c:v>71.371309950874604</c:v>
                </c:pt>
                <c:pt idx="37">
                  <c:v>72.9576743279179</c:v>
                </c:pt>
                <c:pt idx="38">
                  <c:v>74.50782003501476</c:v>
                </c:pt>
                <c:pt idx="39">
                  <c:v>76.019667441134402</c:v>
                </c:pt>
                <c:pt idx="40">
                  <c:v>77.491198443076371</c:v>
                </c:pt>
                <c:pt idx="41">
                  <c:v>78.920474429816579</c:v>
                </c:pt>
                <c:pt idx="42">
                  <c:v>80.305654286277161</c:v>
                </c:pt>
                <c:pt idx="43">
                  <c:v>81.645012259776962</c:v>
                </c:pt>
                <c:pt idx="44">
                  <c:v>82.936955490996695</c:v>
                </c:pt>
                <c:pt idx="45">
                  <c:v>84.180040992293911</c:v>
                </c:pt>
                <c:pt idx="46">
                  <c:v>85.372991840236253</c:v>
                </c:pt>
                <c:pt idx="47">
                  <c:v>86.514712336941841</c:v>
                </c:pt>
                <c:pt idx="48">
                  <c:v>87.604301886902633</c:v>
                </c:pt>
                <c:pt idx="49">
                  <c:v>88.641067333098889</c:v>
                </c:pt>
                <c:pt idx="50">
                  <c:v>89.624533499040155</c:v>
                </c:pt>
                <c:pt idx="51">
                  <c:v>90.554451692471645</c:v>
                </c:pt>
                <c:pt idx="52">
                  <c:v>91.430805942351071</c:v>
                </c:pt>
                <c:pt idx="53">
                  <c:v>92.25381676367482</c:v>
                </c:pt>
                <c:pt idx="54">
                  <c:v>92.858192141423274</c:v>
                </c:pt>
                <c:pt idx="55">
                  <c:v>93.506809144007647</c:v>
                </c:pt>
                <c:pt idx="56">
                  <c:v>94.117141659095978</c:v>
                </c:pt>
                <c:pt idx="57">
                  <c:v>94.68940259893607</c:v>
                </c:pt>
                <c:pt idx="58">
                  <c:v>95.223985316680071</c:v>
                </c:pt>
                <c:pt idx="59">
                  <c:v>95.721459635996865</c:v>
                </c:pt>
                <c:pt idx="60">
                  <c:v>96.182565814942137</c:v>
                </c:pt>
                <c:pt idx="61">
                  <c:v>96.60820646874113</c:v>
                </c:pt>
                <c:pt idx="62">
                  <c:v>96.999436517774242</c:v>
                </c:pt>
                <c:pt idx="63">
                  <c:v>97.357451269998762</c:v>
                </c:pt>
                <c:pt idx="64">
                  <c:v>97.683572790118433</c:v>
                </c:pt>
                <c:pt idx="65">
                  <c:v>97.979234749724768</c:v>
                </c:pt>
                <c:pt idx="66">
                  <c:v>98.245965991981024</c:v>
                </c:pt>
                <c:pt idx="67">
                  <c:v>98.485373079758645</c:v>
                </c:pt>
                <c:pt idx="68">
                  <c:v>98.699122126036187</c:v>
                </c:pt>
                <c:pt idx="69">
                  <c:v>98.8889202284726</c:v>
                </c:pt>
                <c:pt idx="70">
                  <c:v>99.056496845164489</c:v>
                </c:pt>
                <c:pt idx="71">
                  <c:v>99.203585454692373</c:v>
                </c:pt>
                <c:pt idx="72">
                  <c:v>99.331905839947808</c:v>
                </c:pt>
                <c:pt idx="73">
                  <c:v>99.443147321548167</c:v>
                </c:pt>
                <c:pt idx="74">
                  <c:v>99.538953242921309</c:v>
                </c:pt>
                <c:pt idx="75">
                  <c:v>99.620906975841464</c:v>
                </c:pt>
                <c:pt idx="76">
                  <c:v>99.690519673220251</c:v>
                </c:pt>
                <c:pt idx="77">
                  <c:v>99.749219946635478</c:v>
                </c:pt>
                <c:pt idx="78">
                  <c:v>99.798345591132872</c:v>
                </c:pt>
                <c:pt idx="79">
                  <c:v>99.839137421307072</c:v>
                </c:pt>
                <c:pt idx="80">
                  <c:v>99.872735222836312</c:v>
                </c:pt>
                <c:pt idx="81">
                  <c:v>99.900175764910458</c:v>
                </c:pt>
                <c:pt idx="82">
                  <c:v>99.922392763751944</c:v>
                </c:pt>
                <c:pt idx="83">
                  <c:v>99.940218637940916</c:v>
                </c:pt>
                <c:pt idx="84">
                  <c:v>99.954387854509008</c:v>
                </c:pt>
                <c:pt idx="85">
                  <c:v>99.965541632353649</c:v>
                </c:pt>
                <c:pt idx="86">
                  <c:v>99.974233747552276</c:v>
                </c:pt>
                <c:pt idx="87">
                  <c:v>99.980937174165277</c:v>
                </c:pt>
                <c:pt idx="88">
                  <c:v>99.986051294057859</c:v>
                </c:pt>
                <c:pt idx="89">
                  <c:v>99.989909419508777</c:v>
                </c:pt>
                <c:pt idx="90">
                  <c:v>99.992786391740708</c:v>
                </c:pt>
                <c:pt idx="91">
                  <c:v>99.994906045388774</c:v>
                </c:pt>
                <c:pt idx="92">
                  <c:v>99.996448361383045</c:v>
                </c:pt>
                <c:pt idx="93">
                  <c:v>99.997556166639413</c:v>
                </c:pt>
                <c:pt idx="94">
                  <c:v>99.998341276180454</c:v>
                </c:pt>
                <c:pt idx="95">
                  <c:v>99.998890009813309</c:v>
                </c:pt>
                <c:pt idx="96">
                  <c:v>99.999268049489558</c:v>
                </c:pt>
                <c:pt idx="97">
                  <c:v>99.999524633531706</c:v>
                </c:pt>
                <c:pt idx="98">
                  <c:v>99.999696109016782</c:v>
                </c:pt>
                <c:pt idx="99">
                  <c:v>99.999808883191193</c:v>
                </c:pt>
                <c:pt idx="100">
                  <c:v>99.999881828717662</c:v>
                </c:pt>
                <c:pt idx="101">
                  <c:v>99.999928206075126</c:v>
                </c:pt>
                <c:pt idx="102">
                  <c:v>99.999957170108431</c:v>
                </c:pt>
                <c:pt idx="103">
                  <c:v>99.999974927339309</c:v>
                </c:pt>
                <c:pt idx="104">
                  <c:v>99.999985607106851</c:v>
                </c:pt>
                <c:pt idx="105">
                  <c:v>99.999991903839629</c:v>
                </c:pt>
                <c:pt idx="106">
                  <c:v>99.999995540654197</c:v>
                </c:pt>
                <c:pt idx="107">
                  <c:v>99.99999759679848</c:v>
                </c:pt>
                <c:pt idx="108">
                  <c:v>99.999998733836037</c:v>
                </c:pt>
                <c:pt idx="109">
                  <c:v>99.999999348354351</c:v>
                </c:pt>
                <c:pt idx="110">
                  <c:v>99.999999672672288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30-44FF-B504-4404C1E65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87456"/>
        <c:axId val="206414208"/>
      </c:scatterChart>
      <c:valAx>
        <c:axId val="206387456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14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414208"/>
        <c:crossesAt val="0.1"/>
        <c:crossBetween val="midCat"/>
        <c:majorUnit val="10"/>
        <c:minorUnit val="10"/>
      </c:valAx>
      <c:valAx>
        <c:axId val="2064142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387456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885497242360125"/>
          <c:y val="9.5461762264363828E-2"/>
          <c:w val="0.51591059928081651"/>
          <c:h val="4.06231513793630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43E-2"/>
          <c:y val="0.16744939518748231"/>
          <c:w val="0.88606242549520597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0.3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99.998999999999995</c:v>
                </c:pt>
                <c:pt idx="2">
                  <c:v>94</c:v>
                </c:pt>
                <c:pt idx="3">
                  <c:v>82</c:v>
                </c:pt>
                <c:pt idx="4">
                  <c:v>61.1</c:v>
                </c:pt>
                <c:pt idx="5">
                  <c:v>40.5</c:v>
                </c:pt>
                <c:pt idx="6">
                  <c:v>24.5</c:v>
                </c:pt>
                <c:pt idx="7">
                  <c:v>13.799999999999997</c:v>
                </c:pt>
                <c:pt idx="8">
                  <c:v>7</c:v>
                </c:pt>
                <c:pt idx="9">
                  <c:v>3.4000000000000057</c:v>
                </c:pt>
                <c:pt idx="10">
                  <c:v>1.5</c:v>
                </c:pt>
                <c:pt idx="11">
                  <c:v>0.5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248-AD2E-914E80580FEF}"/>
            </c:ext>
          </c:extLst>
        </c:ser>
        <c:ser>
          <c:idx val="0"/>
          <c:order val="1"/>
          <c:tx>
            <c:v>PSD Rosin Rammler Stage 1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 formatCode="0.00">
                  <c:v>141.02263898650821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99.994104311082694</c:v>
                </c:pt>
                <c:pt idx="1">
                  <c:v>99.993099044783307</c:v>
                </c:pt>
                <c:pt idx="2">
                  <c:v>99.991922378749436</c:v>
                </c:pt>
                <c:pt idx="3">
                  <c:v>99.990545091576578</c:v>
                </c:pt>
                <c:pt idx="4">
                  <c:v>99.988932980942621</c:v>
                </c:pt>
                <c:pt idx="5">
                  <c:v>99.987046014939523</c:v>
                </c:pt>
                <c:pt idx="6">
                  <c:v>99.984837338935193</c:v>
                </c:pt>
                <c:pt idx="7">
                  <c:v>99.982252113420884</c:v>
                </c:pt>
                <c:pt idx="8">
                  <c:v>99.979226154146346</c:v>
                </c:pt>
                <c:pt idx="9">
                  <c:v>99.975684340997418</c:v>
                </c:pt>
                <c:pt idx="10">
                  <c:v>99.971538756411974</c:v>
                </c:pt>
                <c:pt idx="11">
                  <c:v>99.966686507530412</c:v>
                </c:pt>
                <c:pt idx="12">
                  <c:v>99.961007178582634</c:v>
                </c:pt>
                <c:pt idx="13">
                  <c:v>99.954359851049588</c:v>
                </c:pt>
                <c:pt idx="14">
                  <c:v>99.946579618705201</c:v>
                </c:pt>
                <c:pt idx="15">
                  <c:v>99.937473512511858</c:v>
                </c:pt>
                <c:pt idx="16">
                  <c:v>99.926815736253133</c:v>
                </c:pt>
                <c:pt idx="17">
                  <c:v>99.914342097444163</c:v>
                </c:pt>
                <c:pt idx="18">
                  <c:v>99.899743499137401</c:v>
                </c:pt>
                <c:pt idx="19">
                  <c:v>99.882658336373026</c:v>
                </c:pt>
                <c:pt idx="20">
                  <c:v>99.862663615811911</c:v>
                </c:pt>
                <c:pt idx="21">
                  <c:v>99.839264588104726</c:v>
                </c:pt>
                <c:pt idx="22">
                  <c:v>99.811882649345691</c:v>
                </c:pt>
                <c:pt idx="23">
                  <c:v>99.779841230074339</c:v>
                </c:pt>
                <c:pt idx="24">
                  <c:v>99.742349347288638</c:v>
                </c:pt>
                <c:pt idx="25">
                  <c:v>99.698482446432919</c:v>
                </c:pt>
                <c:pt idx="26">
                  <c:v>99.647160106054841</c:v>
                </c:pt>
                <c:pt idx="27">
                  <c:v>99.587120117709816</c:v>
                </c:pt>
                <c:pt idx="28">
                  <c:v>99.516888387964173</c:v>
                </c:pt>
                <c:pt idx="29">
                  <c:v>99.43474403872095</c:v>
                </c:pt>
                <c:pt idx="30">
                  <c:v>99.338679007990862</c:v>
                </c:pt>
                <c:pt idx="31">
                  <c:v>99.226351378111147</c:v>
                </c:pt>
                <c:pt idx="32">
                  <c:v>99.095031586213182</c:v>
                </c:pt>
                <c:pt idx="33">
                  <c:v>98.941540608464706</c:v>
                </c:pt>
                <c:pt idx="34">
                  <c:v>98.762179164161196</c:v>
                </c:pt>
                <c:pt idx="35">
                  <c:v>98.552646970963082</c:v>
                </c:pt>
                <c:pt idx="36">
                  <c:v>98.307951116689722</c:v>
                </c:pt>
                <c:pt idx="37">
                  <c:v>98.02230272148978</c:v>
                </c:pt>
                <c:pt idx="38">
                  <c:v>97.689001281827487</c:v>
                </c:pt>
                <c:pt idx="39">
                  <c:v>97.300306461848393</c:v>
                </c:pt>
                <c:pt idx="40">
                  <c:v>96.847297691479525</c:v>
                </c:pt>
                <c:pt idx="41">
                  <c:v>96.319722827093301</c:v>
                </c:pt>
                <c:pt idx="42">
                  <c:v>95.705838436913822</c:v>
                </c:pt>
                <c:pt idx="43">
                  <c:v>94.992246125025133</c:v>
                </c:pt>
                <c:pt idx="44">
                  <c:v>94.163731871432248</c:v>
                </c:pt>
                <c:pt idx="45">
                  <c:v>93.580151763294666</c:v>
                </c:pt>
                <c:pt idx="46">
                  <c:v>93.028841121330657</c:v>
                </c:pt>
                <c:pt idx="47">
                  <c:v>92.432129403163486</c:v>
                </c:pt>
                <c:pt idx="48">
                  <c:v>91.786632614741166</c:v>
                </c:pt>
                <c:pt idx="49">
                  <c:v>91.088780045711516</c:v>
                </c:pt>
                <c:pt idx="50">
                  <c:v>90.334816740159468</c:v>
                </c:pt>
                <c:pt idx="51">
                  <c:v>89.520809128778239</c:v>
                </c:pt>
                <c:pt idx="52">
                  <c:v>88.642654487752566</c:v>
                </c:pt>
                <c:pt idx="53">
                  <c:v>87.696094978311663</c:v>
                </c:pt>
                <c:pt idx="54">
                  <c:v>86.676737112882378</c:v>
                </c:pt>
                <c:pt idx="55">
                  <c:v>85.58007758632364</c:v>
                </c:pt>
                <c:pt idx="56">
                  <c:v>84.401536499990215</c:v>
                </c:pt>
                <c:pt idx="57">
                  <c:v>83.136499087065005</c:v>
                </c:pt>
                <c:pt idx="58">
                  <c:v>81.706531534972868</c:v>
                </c:pt>
                <c:pt idx="59">
                  <c:v>79.741262700115058</c:v>
                </c:pt>
                <c:pt idx="60">
                  <c:v>77.59526877686379</c:v>
                </c:pt>
                <c:pt idx="61">
                  <c:v>75.259204792358645</c:v>
                </c:pt>
                <c:pt idx="62">
                  <c:v>72.725079506516252</c:v>
                </c:pt>
                <c:pt idx="63">
                  <c:v>69.986809071131162</c:v>
                </c:pt>
                <c:pt idx="64">
                  <c:v>67.040859029606224</c:v>
                </c:pt>
                <c:pt idx="65">
                  <c:v>63.886969178674022</c:v>
                </c:pt>
                <c:pt idx="66">
                  <c:v>60.562975169620778</c:v>
                </c:pt>
                <c:pt idx="67">
                  <c:v>57.227314756217083</c:v>
                </c:pt>
                <c:pt idx="68">
                  <c:v>53.730398833752979</c:v>
                </c:pt>
                <c:pt idx="69">
                  <c:v>50.089107801705104</c:v>
                </c:pt>
                <c:pt idx="70">
                  <c:v>46.32587146284699</c:v>
                </c:pt>
                <c:pt idx="71">
                  <c:v>42.468999068699596</c:v>
                </c:pt>
                <c:pt idx="72">
                  <c:v>38.67106780573458</c:v>
                </c:pt>
                <c:pt idx="73">
                  <c:v>34.973972347520494</c:v>
                </c:pt>
                <c:pt idx="74">
                  <c:v>31.295935095834587</c:v>
                </c:pt>
                <c:pt idx="75">
                  <c:v>27.677500620543714</c:v>
                </c:pt>
                <c:pt idx="76">
                  <c:v>24.179196301338159</c:v>
                </c:pt>
                <c:pt idx="77">
                  <c:v>20.98126987154431</c:v>
                </c:pt>
                <c:pt idx="78">
                  <c:v>17.950032467341956</c:v>
                </c:pt>
                <c:pt idx="79">
                  <c:v>15.119139677456102</c:v>
                </c:pt>
                <c:pt idx="80">
                  <c:v>12.495146180640283</c:v>
                </c:pt>
                <c:pt idx="81">
                  <c:v>10.109683198828604</c:v>
                </c:pt>
                <c:pt idx="82">
                  <c:v>8.0050207592498737</c:v>
                </c:pt>
                <c:pt idx="83">
                  <c:v>6.2355810807561056</c:v>
                </c:pt>
                <c:pt idx="84">
                  <c:v>4.7829068393605132</c:v>
                </c:pt>
                <c:pt idx="85">
                  <c:v>3.5768241765298825</c:v>
                </c:pt>
                <c:pt idx="86">
                  <c:v>2.5851989664485711</c:v>
                </c:pt>
                <c:pt idx="87">
                  <c:v>1.8077850675958005</c:v>
                </c:pt>
                <c:pt idx="88">
                  <c:v>1.1703246856052694</c:v>
                </c:pt>
                <c:pt idx="89">
                  <c:v>0.69117171150330725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C2-4248-AD2E-914E80580FEF}"/>
            </c:ext>
          </c:extLst>
        </c:ser>
        <c:ser>
          <c:idx val="4"/>
          <c:order val="2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99.929186128155791</c:v>
                </c:pt>
                <c:pt idx="1">
                  <c:v>99.917111746367326</c:v>
                </c:pt>
                <c:pt idx="2">
                  <c:v>99.902978660498292</c:v>
                </c:pt>
                <c:pt idx="3">
                  <c:v>99.886435888530528</c:v>
                </c:pt>
                <c:pt idx="4">
                  <c:v>99.867072622009431</c:v>
                </c:pt>
                <c:pt idx="5">
                  <c:v>99.844408032579494</c:v>
                </c:pt>
                <c:pt idx="6">
                  <c:v>99.817879343276203</c:v>
                </c:pt>
                <c:pt idx="7">
                  <c:v>99.786827869762789</c:v>
                </c:pt>
                <c:pt idx="8">
                  <c:v>99.750482686820092</c:v>
                </c:pt>
                <c:pt idx="9">
                  <c:v>99.707941517171989</c:v>
                </c:pt>
                <c:pt idx="10">
                  <c:v>99.658148371761769</c:v>
                </c:pt>
                <c:pt idx="11">
                  <c:v>99.599867391324352</c:v>
                </c:pt>
                <c:pt idx="12">
                  <c:v>99.531997489042752</c:v>
                </c:pt>
                <c:pt idx="13">
                  <c:v>99.453090045884636</c:v>
                </c:pt>
                <c:pt idx="14">
                  <c:v>99.361435039955325</c:v>
                </c:pt>
                <c:pt idx="15">
                  <c:v>99.255061506252417</c:v>
                </c:pt>
                <c:pt idx="16">
                  <c:v>99.131705404843501</c:v>
                </c:pt>
                <c:pt idx="17">
                  <c:v>98.988771449275148</c:v>
                </c:pt>
                <c:pt idx="18">
                  <c:v>98.82328999859314</c:v>
                </c:pt>
                <c:pt idx="19">
                  <c:v>98.631869078303126</c:v>
                </c:pt>
                <c:pt idx="20">
                  <c:v>98.41064141848787</c:v>
                </c:pt>
                <c:pt idx="21">
                  <c:v>98.155206399853157</c:v>
                </c:pt>
                <c:pt idx="22">
                  <c:v>97.860566873216101</c:v>
                </c:pt>
                <c:pt idx="23">
                  <c:v>97.521060944211655</c:v>
                </c:pt>
                <c:pt idx="24">
                  <c:v>97.13028899261765</c:v>
                </c:pt>
                <c:pt idx="25">
                  <c:v>96.681036431346129</c:v>
                </c:pt>
                <c:pt idx="26">
                  <c:v>96.16519301368146</c:v>
                </c:pt>
                <c:pt idx="27">
                  <c:v>95.573669880594764</c:v>
                </c:pt>
                <c:pt idx="28">
                  <c:v>94.89631601618764</c:v>
                </c:pt>
                <c:pt idx="29">
                  <c:v>94.121836362654761</c:v>
                </c:pt>
                <c:pt idx="30">
                  <c:v>93.237714551060876</c:v>
                </c:pt>
                <c:pt idx="31">
                  <c:v>92.230144044467551</c:v>
                </c:pt>
                <c:pt idx="32">
                  <c:v>91.083972477353825</c:v>
                </c:pt>
                <c:pt idx="33">
                  <c:v>89.782665117772027</c:v>
                </c:pt>
                <c:pt idx="34">
                  <c:v>88.308294677691791</c:v>
                </c:pt>
                <c:pt idx="35">
                  <c:v>86.641566143821052</c:v>
                </c:pt>
                <c:pt idx="36">
                  <c:v>84.761886872292507</c:v>
                </c:pt>
                <c:pt idx="37">
                  <c:v>82.647493841316034</c:v>
                </c:pt>
                <c:pt idx="38">
                  <c:v>80.275651612619725</c:v>
                </c:pt>
                <c:pt idx="39">
                  <c:v>77.62293610284766</c:v>
                </c:pt>
                <c:pt idx="40">
                  <c:v>74.665620547189661</c:v>
                </c:pt>
                <c:pt idx="41">
                  <c:v>71.380180822463373</c:v>
                </c:pt>
                <c:pt idx="42">
                  <c:v>67.743937279928744</c:v>
                </c:pt>
                <c:pt idx="43">
                  <c:v>63.73584902018063</c:v>
                </c:pt>
                <c:pt idx="44">
                  <c:v>59.337473618965362</c:v>
                </c:pt>
                <c:pt idx="45">
                  <c:v>56.419385730906122</c:v>
                </c:pt>
                <c:pt idx="46">
                  <c:v>53.832298183180242</c:v>
                </c:pt>
                <c:pt idx="47">
                  <c:v>51.214639391047761</c:v>
                </c:pt>
                <c:pt idx="48">
                  <c:v>48.578350091336539</c:v>
                </c:pt>
                <c:pt idx="49">
                  <c:v>45.936404165134469</c:v>
                </c:pt>
                <c:pt idx="50">
                  <c:v>43.302681172530058</c:v>
                </c:pt>
                <c:pt idx="51">
                  <c:v>40.691798831381043</c:v>
                </c:pt>
                <c:pt idx="52">
                  <c:v>38.118904689872323</c:v>
                </c:pt>
                <c:pt idx="53">
                  <c:v>35.599427928963443</c:v>
                </c:pt>
                <c:pt idx="54">
                  <c:v>33.148794254647193</c:v>
                </c:pt>
                <c:pt idx="55">
                  <c:v>30.782109151180961</c:v>
                </c:pt>
                <c:pt idx="56">
                  <c:v>28.513817275995525</c:v>
                </c:pt>
                <c:pt idx="57">
                  <c:v>26.357348352244895</c:v>
                </c:pt>
                <c:pt idx="58">
                  <c:v>24.214096778107578</c:v>
                </c:pt>
                <c:pt idx="59">
                  <c:v>21.644243208122667</c:v>
                </c:pt>
                <c:pt idx="60">
                  <c:v>19.216033560352482</c:v>
                </c:pt>
                <c:pt idx="61">
                  <c:v>16.948607456662632</c:v>
                </c:pt>
                <c:pt idx="62">
                  <c:v>14.842767086260626</c:v>
                </c:pt>
                <c:pt idx="63">
                  <c:v>12.886382132799881</c:v>
                </c:pt>
                <c:pt idx="64">
                  <c:v>11.080386402442052</c:v>
                </c:pt>
                <c:pt idx="65">
                  <c:v>9.425090950647018</c:v>
                </c:pt>
                <c:pt idx="66">
                  <c:v>7.9352155751801279</c:v>
                </c:pt>
                <c:pt idx="67">
                  <c:v>6.6618308379459172</c:v>
                </c:pt>
                <c:pt idx="68">
                  <c:v>5.5281596044150589</c:v>
                </c:pt>
                <c:pt idx="69">
                  <c:v>4.5287824882305117</c:v>
                </c:pt>
                <c:pt idx="70">
                  <c:v>3.6572774569649784</c:v>
                </c:pt>
                <c:pt idx="71">
                  <c:v>2.9062487175648197</c:v>
                </c:pt>
                <c:pt idx="72">
                  <c:v>2.2866976006046125</c:v>
                </c:pt>
                <c:pt idx="73">
                  <c:v>1.7834131698122284</c:v>
                </c:pt>
                <c:pt idx="74">
                  <c:v>1.3672877084449087</c:v>
                </c:pt>
                <c:pt idx="75">
                  <c:v>1.0284940277889631</c:v>
                </c:pt>
                <c:pt idx="76">
                  <c:v>0.7586281644611822</c:v>
                </c:pt>
                <c:pt idx="77">
                  <c:v>0.55631613863991469</c:v>
                </c:pt>
                <c:pt idx="78">
                  <c:v>0.39980685615633493</c:v>
                </c:pt>
                <c:pt idx="79">
                  <c:v>0.28111237281977464</c:v>
                </c:pt>
                <c:pt idx="80">
                  <c:v>0.19223489964958232</c:v>
                </c:pt>
                <c:pt idx="81">
                  <c:v>0.12731590086528893</c:v>
                </c:pt>
                <c:pt idx="82">
                  <c:v>8.1553151552759287E-2</c:v>
                </c:pt>
                <c:pt idx="83">
                  <c:v>5.0992218278386306E-2</c:v>
                </c:pt>
                <c:pt idx="84">
                  <c:v>3.1182446102964306E-2</c:v>
                </c:pt>
                <c:pt idx="85">
                  <c:v>1.8277549960086778E-2</c:v>
                </c:pt>
                <c:pt idx="86">
                  <c:v>1.0006102308851517E-2</c:v>
                </c:pt>
                <c:pt idx="87">
                  <c:v>4.9845791733575465E-3</c:v>
                </c:pt>
                <c:pt idx="88">
                  <c:v>1.8180881269677825E-3</c:v>
                </c:pt>
                <c:pt idx="89">
                  <c:v>7.6800516363205798E-7</c:v>
                </c:pt>
                <c:pt idx="90">
                  <c:v>7.6800516363205798E-7</c:v>
                </c:pt>
                <c:pt idx="91">
                  <c:v>7.6800516363205798E-7</c:v>
                </c:pt>
                <c:pt idx="92">
                  <c:v>7.6800516363205798E-7</c:v>
                </c:pt>
                <c:pt idx="93">
                  <c:v>7.6800516363205798E-7</c:v>
                </c:pt>
                <c:pt idx="94">
                  <c:v>7.6800516363205798E-7</c:v>
                </c:pt>
                <c:pt idx="95">
                  <c:v>7.6800516363205798E-7</c:v>
                </c:pt>
                <c:pt idx="96">
                  <c:v>7.6800516363205798E-7</c:v>
                </c:pt>
                <c:pt idx="97">
                  <c:v>7.6800516363205798E-7</c:v>
                </c:pt>
                <c:pt idx="98">
                  <c:v>7.6800516363205798E-7</c:v>
                </c:pt>
                <c:pt idx="99">
                  <c:v>7.6800516363205798E-7</c:v>
                </c:pt>
                <c:pt idx="100">
                  <c:v>7.6800516363205798E-7</c:v>
                </c:pt>
                <c:pt idx="101">
                  <c:v>7.6800516363205798E-7</c:v>
                </c:pt>
                <c:pt idx="102">
                  <c:v>7.6800516363205798E-7</c:v>
                </c:pt>
                <c:pt idx="103">
                  <c:v>7.6800516363205798E-7</c:v>
                </c:pt>
                <c:pt idx="104">
                  <c:v>7.6800516363205798E-7</c:v>
                </c:pt>
                <c:pt idx="105">
                  <c:v>7.6800516363205798E-7</c:v>
                </c:pt>
                <c:pt idx="106">
                  <c:v>7.6800516363205798E-7</c:v>
                </c:pt>
                <c:pt idx="107">
                  <c:v>7.6800516363205798E-7</c:v>
                </c:pt>
                <c:pt idx="108">
                  <c:v>7.6800516363205798E-7</c:v>
                </c:pt>
                <c:pt idx="109">
                  <c:v>7.6800516363205798E-7</c:v>
                </c:pt>
                <c:pt idx="110">
                  <c:v>2.8215629702468825E-14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C2-4248-AD2E-914E80580FEF}"/>
            </c:ext>
          </c:extLst>
        </c:ser>
        <c:ser>
          <c:idx val="3"/>
          <c:order val="3"/>
          <c:tx>
            <c:v>Grade Efficiency stage 1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0.50610808497346227</c:v>
                </c:pt>
                <c:pt idx="13">
                  <c:v>1.1703829874271605</c:v>
                </c:pt>
                <c:pt idx="14">
                  <c:v>1.9201387894032109</c:v>
                </c:pt>
                <c:pt idx="15">
                  <c:v>2.7438450820409912</c:v>
                </c:pt>
                <c:pt idx="16">
                  <c:v>3.6370124397198396</c:v>
                </c:pt>
                <c:pt idx="17">
                  <c:v>4.5977828690491407</c:v>
                </c:pt>
                <c:pt idx="18">
                  <c:v>5.6255616147083884</c:v>
                </c:pt>
                <c:pt idx="19">
                  <c:v>6.7204378632700212</c:v>
                </c:pt>
                <c:pt idx="20">
                  <c:v>7.8828896844434979</c:v>
                </c:pt>
                <c:pt idx="21">
                  <c:v>9.1136120089753661</c:v>
                </c:pt>
                <c:pt idx="22">
                  <c:v>10.413404480744092</c:v>
                </c:pt>
                <c:pt idx="23">
                  <c:v>11.783090791364387</c:v>
                </c:pt>
                <c:pt idx="24">
                  <c:v>13.223455399561701</c:v>
                </c:pt>
                <c:pt idx="25">
                  <c:v>14.735190093279769</c:v>
                </c:pt>
                <c:pt idx="26">
                  <c:v>16.318846131518569</c:v>
                </c:pt>
                <c:pt idx="27">
                  <c:v>17.974789468189698</c:v>
                </c:pt>
                <c:pt idx="28">
                  <c:v>19.703157577066349</c:v>
                </c:pt>
                <c:pt idx="29">
                  <c:v>21.503817023528612</c:v>
                </c:pt>
                <c:pt idx="30">
                  <c:v>23.376321343877478</c:v>
                </c:pt>
                <c:pt idx="31">
                  <c:v>25.319869090294901</c:v>
                </c:pt>
                <c:pt idx="32">
                  <c:v>27.333262130414809</c:v>
                </c:pt>
                <c:pt idx="33">
                  <c:v>29.414864483913391</c:v>
                </c:pt>
                <c:pt idx="34">
                  <c:v>31.562562151061968</c:v>
                </c:pt>
                <c:pt idx="35">
                  <c:v>33.773724549010112</c:v>
                </c:pt>
                <c:pt idx="36">
                  <c:v>36.045168325246294</c:v>
                </c:pt>
                <c:pt idx="37">
                  <c:v>38.373124465591737</c:v>
                </c:pt>
                <c:pt idx="38">
                  <c:v>40.753209755190156</c:v>
                </c:pt>
                <c:pt idx="39">
                  <c:v>43.180403782231821</c:v>
                </c:pt>
                <c:pt idx="40">
                  <c:v>45.649032790807254</c:v>
                </c:pt>
                <c:pt idx="41">
                  <c:v>48.152761784905152</c:v>
                </c:pt>
                <c:pt idx="42">
                  <c:v>50.684596352239026</c:v>
                </c:pt>
                <c:pt idx="43">
                  <c:v>53.236895705045249</c:v>
                </c:pt>
                <c:pt idx="44">
                  <c:v>55.801398414880303</c:v>
                </c:pt>
                <c:pt idx="45">
                  <c:v>58.369262238629979</c:v>
                </c:pt>
                <c:pt idx="46">
                  <c:v>60.931119282047362</c:v>
                </c:pt>
                <c:pt idx="47">
                  <c:v>63.477147514197362</c:v>
                </c:pt>
                <c:pt idx="48">
                  <c:v>65.997159321526254</c:v>
                </c:pt>
                <c:pt idx="49">
                  <c:v>68.480707366597173</c:v>
                </c:pt>
                <c:pt idx="50">
                  <c:v>70.917207490177233</c:v>
                </c:pt>
                <c:pt idx="51">
                  <c:v>73.296077767737955</c:v>
                </c:pt>
                <c:pt idx="52">
                  <c:v>75.606892110539761</c:v>
                </c:pt>
                <c:pt idx="53">
                  <c:v>77.839546003378913</c:v>
                </c:pt>
                <c:pt idx="54">
                  <c:v>79.98443112124454</c:v>
                </c:pt>
                <c:pt idx="55">
                  <c:v>82.032614701340265</c:v>
                </c:pt>
                <c:pt idx="56">
                  <c:v>83.976018711595401</c:v>
                </c:pt>
                <c:pt idx="57">
                  <c:v>85.807593108430211</c:v>
                </c:pt>
                <c:pt idx="58">
                  <c:v>87.521476880037071</c:v>
                </c:pt>
                <c:pt idx="59">
                  <c:v>89.113140196962817</c:v>
                </c:pt>
                <c:pt idx="60">
                  <c:v>90.579500910172527</c:v>
                </c:pt>
                <c:pt idx="61">
                  <c:v>91.919008913359747</c:v>
                </c:pt>
                <c:pt idx="62">
                  <c:v>93.081473890217922</c:v>
                </c:pt>
                <c:pt idx="63">
                  <c:v>94.051681753762509</c:v>
                </c:pt>
                <c:pt idx="64">
                  <c:v>94.896036486820549</c:v>
                </c:pt>
                <c:pt idx="65">
                  <c:v>95.630364414344072</c:v>
                </c:pt>
                <c:pt idx="66">
                  <c:v>96.268306815598095</c:v>
                </c:pt>
                <c:pt idx="67">
                  <c:v>96.821706287975559</c:v>
                </c:pt>
                <c:pt idx="68">
                  <c:v>97.300905093379029</c:v>
                </c:pt>
                <c:pt idx="69">
                  <c:v>97.714978826659419</c:v>
                </c:pt>
                <c:pt idx="70">
                  <c:v>98.071921888199995</c:v>
                </c:pt>
                <c:pt idx="71">
                  <c:v>98.378796601439802</c:v>
                </c:pt>
                <c:pt idx="72">
                  <c:v>98.641854611372381</c:v>
                </c:pt>
                <c:pt idx="73">
                  <c:v>98.866636946461</c:v>
                </c:pt>
                <c:pt idx="74">
                  <c:v>99.058057514891814</c:v>
                </c:pt>
                <c:pt idx="75">
                  <c:v>99.220473635785936</c:v>
                </c:pt>
                <c:pt idx="76">
                  <c:v>99.357746343966028</c:v>
                </c:pt>
                <c:pt idx="77">
                  <c:v>99.473292563657822</c:v>
                </c:pt>
                <c:pt idx="78">
                  <c:v>99.570130760971992</c:v>
                </c:pt>
                <c:pt idx="79">
                  <c:v>99.650921314800584</c:v>
                </c:pt>
                <c:pt idx="80">
                  <c:v>99.718002561139954</c:v>
                </c:pt>
                <c:pt idx="81">
                  <c:v>99.773423245678416</c:v>
                </c:pt>
                <c:pt idx="82">
                  <c:v>99.818971948541758</c:v>
                </c:pt>
                <c:pt idx="83">
                  <c:v>99.856203912269521</c:v>
                </c:pt>
                <c:pt idx="84">
                  <c:v>99.886465601183033</c:v>
                </c:pt>
                <c:pt idx="85">
                  <c:v>99.910917241121368</c:v>
                </c:pt>
                <c:pt idx="86">
                  <c:v>99.930553528327351</c:v>
                </c:pt>
                <c:pt idx="87">
                  <c:v>99.946222651358752</c:v>
                </c:pt>
                <c:pt idx="88">
                  <c:v>99.958643737316535</c:v>
                </c:pt>
                <c:pt idx="89">
                  <c:v>99.968422810997779</c:v>
                </c:pt>
                <c:pt idx="90">
                  <c:v>99.976067340771507</c:v>
                </c:pt>
                <c:pt idx="91">
                  <c:v>99.981999436317935</c:v>
                </c:pt>
                <c:pt idx="92">
                  <c:v>99.986567759385892</c:v>
                </c:pt>
                <c:pt idx="93">
                  <c:v>99.990058208127309</c:v>
                </c:pt>
                <c:pt idx="94">
                  <c:v>99.992703437258399</c:v>
                </c:pt>
                <c:pt idx="95">
                  <c:v>99.994691279329388</c:v>
                </c:pt>
                <c:pt idx="96">
                  <c:v>99.996172135972856</c:v>
                </c:pt>
                <c:pt idx="97">
                  <c:v>99.997265411500237</c:v>
                </c:pt>
                <c:pt idx="98">
                  <c:v>99.998065064135957</c:v>
                </c:pt>
                <c:pt idx="99">
                  <c:v>99.99864435215629</c:v>
                </c:pt>
                <c:pt idx="100">
                  <c:v>99.999059853010763</c:v>
                </c:pt>
                <c:pt idx="101">
                  <c:v>99.999354833035028</c:v>
                </c:pt>
                <c:pt idx="102">
                  <c:v>99.999562043610126</c:v>
                </c:pt>
                <c:pt idx="103">
                  <c:v>99.999706016663566</c:v>
                </c:pt>
                <c:pt idx="104">
                  <c:v>99.999804928390006</c:v>
                </c:pt>
                <c:pt idx="105">
                  <c:v>99.999872095189758</c:v>
                </c:pt>
                <c:pt idx="106">
                  <c:v>99.999917160305387</c:v>
                </c:pt>
                <c:pt idx="107">
                  <c:v>99.999947023715208</c:v>
                </c:pt>
                <c:pt idx="108">
                  <c:v>99.999966561745836</c:v>
                </c:pt>
                <c:pt idx="109">
                  <c:v>99.999979176803052</c:v>
                </c:pt>
                <c:pt idx="110">
                  <c:v>99.999987211772932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C2-4248-AD2E-914E80580FEF}"/>
            </c:ext>
          </c:extLst>
        </c:ser>
        <c:ser>
          <c:idx val="5"/>
          <c:order val="4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2.5393889304875614</c:v>
                </c:pt>
                <c:pt idx="2">
                  <c:v>5.6861760814541356</c:v>
                </c:pt>
                <c:pt idx="3">
                  <c:v>8.3173133776967632</c:v>
                </c:pt>
                <c:pt idx="4">
                  <c:v>10.718063253082306</c:v>
                </c:pt>
                <c:pt idx="5">
                  <c:v>12.982734981968619</c:v>
                </c:pt>
                <c:pt idx="6">
                  <c:v>15.157420960071178</c:v>
                </c:pt>
                <c:pt idx="7">
                  <c:v>17.268844022036049</c:v>
                </c:pt>
                <c:pt idx="8">
                  <c:v>19.334088348335442</c:v>
                </c:pt>
                <c:pt idx="9">
                  <c:v>21.364774335408612</c:v>
                </c:pt>
                <c:pt idx="10">
                  <c:v>23.369134069351205</c:v>
                </c:pt>
                <c:pt idx="11">
                  <c:v>25.353152924218961</c:v>
                </c:pt>
                <c:pt idx="12">
                  <c:v>27.321245864301531</c:v>
                </c:pt>
                <c:pt idx="13">
                  <c:v>29.276681593158941</c:v>
                </c:pt>
                <c:pt idx="14">
                  <c:v>31.221860887531193</c:v>
                </c:pt>
                <c:pt idx="15">
                  <c:v>33.158506141147541</c:v>
                </c:pt>
                <c:pt idx="16">
                  <c:v>35.087794532941871</c:v>
                </c:pt>
                <c:pt idx="17">
                  <c:v>37.010454154591088</c:v>
                </c:pt>
                <c:pt idx="18">
                  <c:v>38.92683510976498</c:v>
                </c:pt>
                <c:pt idx="19">
                  <c:v>40.836963314341688</c:v>
                </c:pt>
                <c:pt idx="20">
                  <c:v>42.740582125809269</c:v>
                </c:pt>
                <c:pt idx="21">
                  <c:v>44.637185298310655</c:v>
                </c:pt>
                <c:pt idx="22">
                  <c:v>46.526043706384613</c:v>
                </c:pt>
                <c:pt idx="23">
                  <c:v>48.406227582804931</c:v>
                </c:pt>
                <c:pt idx="24">
                  <c:v>50.276625542990935</c:v>
                </c:pt>
                <c:pt idx="25">
                  <c:v>52.135961340813594</c:v>
                </c:pt>
                <c:pt idx="26">
                  <c:v>53.982809068806695</c:v>
                </c:pt>
                <c:pt idx="27">
                  <c:v>55.815607348285695</c:v>
                </c:pt>
                <c:pt idx="28">
                  <c:v>57.632672931143389</c:v>
                </c:pt>
                <c:pt idx="29">
                  <c:v>59.432214041483128</c:v>
                </c:pt>
                <c:pt idx="30">
                  <c:v>61.212343712540893</c:v>
                </c:pt>
                <c:pt idx="31">
                  <c:v>62.971093316191094</c:v>
                </c:pt>
                <c:pt idx="32">
                  <c:v>64.706426434311851</c:v>
                </c:pt>
                <c:pt idx="33">
                  <c:v>66.416253180296849</c:v>
                </c:pt>
                <c:pt idx="34">
                  <c:v>68.098445042842016</c:v>
                </c:pt>
                <c:pt idx="35">
                  <c:v>69.750850291257265</c:v>
                </c:pt>
                <c:pt idx="36">
                  <c:v>71.371309950874604</c:v>
                </c:pt>
                <c:pt idx="37">
                  <c:v>72.9576743279179</c:v>
                </c:pt>
                <c:pt idx="38">
                  <c:v>74.50782003501476</c:v>
                </c:pt>
                <c:pt idx="39">
                  <c:v>76.019667441134402</c:v>
                </c:pt>
                <c:pt idx="40">
                  <c:v>77.491198443076371</c:v>
                </c:pt>
                <c:pt idx="41">
                  <c:v>78.920474429816579</c:v>
                </c:pt>
                <c:pt idx="42">
                  <c:v>80.305654286277161</c:v>
                </c:pt>
                <c:pt idx="43">
                  <c:v>81.645012259776962</c:v>
                </c:pt>
                <c:pt idx="44">
                  <c:v>82.936955490996695</c:v>
                </c:pt>
                <c:pt idx="45">
                  <c:v>84.180040992293911</c:v>
                </c:pt>
                <c:pt idx="46">
                  <c:v>85.372991840236253</c:v>
                </c:pt>
                <c:pt idx="47">
                  <c:v>86.514712336941841</c:v>
                </c:pt>
                <c:pt idx="48">
                  <c:v>87.604301886902633</c:v>
                </c:pt>
                <c:pt idx="49">
                  <c:v>88.641067333098889</c:v>
                </c:pt>
                <c:pt idx="50">
                  <c:v>89.624533499040155</c:v>
                </c:pt>
                <c:pt idx="51">
                  <c:v>90.554451692471645</c:v>
                </c:pt>
                <c:pt idx="52">
                  <c:v>91.430805942351071</c:v>
                </c:pt>
                <c:pt idx="53">
                  <c:v>92.25381676367482</c:v>
                </c:pt>
                <c:pt idx="54">
                  <c:v>92.858192141423274</c:v>
                </c:pt>
                <c:pt idx="55">
                  <c:v>93.506809144007647</c:v>
                </c:pt>
                <c:pt idx="56">
                  <c:v>94.117141659095978</c:v>
                </c:pt>
                <c:pt idx="57">
                  <c:v>94.68940259893607</c:v>
                </c:pt>
                <c:pt idx="58">
                  <c:v>95.223985316680071</c:v>
                </c:pt>
                <c:pt idx="59">
                  <c:v>95.721459635996865</c:v>
                </c:pt>
                <c:pt idx="60">
                  <c:v>96.182565814942137</c:v>
                </c:pt>
                <c:pt idx="61">
                  <c:v>96.60820646874113</c:v>
                </c:pt>
                <c:pt idx="62">
                  <c:v>96.999436517774242</c:v>
                </c:pt>
                <c:pt idx="63">
                  <c:v>97.357451269998762</c:v>
                </c:pt>
                <c:pt idx="64">
                  <c:v>97.683572790118433</c:v>
                </c:pt>
                <c:pt idx="65">
                  <c:v>97.979234749724768</c:v>
                </c:pt>
                <c:pt idx="66">
                  <c:v>98.245965991981024</c:v>
                </c:pt>
                <c:pt idx="67">
                  <c:v>98.485373079758645</c:v>
                </c:pt>
                <c:pt idx="68">
                  <c:v>98.699122126036187</c:v>
                </c:pt>
                <c:pt idx="69">
                  <c:v>98.8889202284726</c:v>
                </c:pt>
                <c:pt idx="70">
                  <c:v>99.056496845164489</c:v>
                </c:pt>
                <c:pt idx="71">
                  <c:v>99.203585454692373</c:v>
                </c:pt>
                <c:pt idx="72">
                  <c:v>99.331905839947808</c:v>
                </c:pt>
                <c:pt idx="73">
                  <c:v>99.443147321548167</c:v>
                </c:pt>
                <c:pt idx="74">
                  <c:v>99.538953242921309</c:v>
                </c:pt>
                <c:pt idx="75">
                  <c:v>99.620906975841464</c:v>
                </c:pt>
                <c:pt idx="76">
                  <c:v>99.690519673220251</c:v>
                </c:pt>
                <c:pt idx="77">
                  <c:v>99.749219946635478</c:v>
                </c:pt>
                <c:pt idx="78">
                  <c:v>99.798345591132872</c:v>
                </c:pt>
                <c:pt idx="79">
                  <c:v>99.839137421307072</c:v>
                </c:pt>
                <c:pt idx="80">
                  <c:v>99.872735222836312</c:v>
                </c:pt>
                <c:pt idx="81">
                  <c:v>99.900175764910458</c:v>
                </c:pt>
                <c:pt idx="82">
                  <c:v>99.922392763751944</c:v>
                </c:pt>
                <c:pt idx="83">
                  <c:v>99.940218637940916</c:v>
                </c:pt>
                <c:pt idx="84">
                  <c:v>99.954387854509008</c:v>
                </c:pt>
                <c:pt idx="85">
                  <c:v>99.965541632353649</c:v>
                </c:pt>
                <c:pt idx="86">
                  <c:v>99.974233747552276</c:v>
                </c:pt>
                <c:pt idx="87">
                  <c:v>99.980937174165277</c:v>
                </c:pt>
                <c:pt idx="88">
                  <c:v>99.986051294057859</c:v>
                </c:pt>
                <c:pt idx="89">
                  <c:v>99.989909419508777</c:v>
                </c:pt>
                <c:pt idx="90">
                  <c:v>99.992786391740708</c:v>
                </c:pt>
                <c:pt idx="91">
                  <c:v>99.994906045388774</c:v>
                </c:pt>
                <c:pt idx="92">
                  <c:v>99.996448361383045</c:v>
                </c:pt>
                <c:pt idx="93">
                  <c:v>99.997556166639413</c:v>
                </c:pt>
                <c:pt idx="94">
                  <c:v>99.998341276180454</c:v>
                </c:pt>
                <c:pt idx="95">
                  <c:v>99.998890009813309</c:v>
                </c:pt>
                <c:pt idx="96">
                  <c:v>99.999268049489558</c:v>
                </c:pt>
                <c:pt idx="97">
                  <c:v>99.999524633531706</c:v>
                </c:pt>
                <c:pt idx="98">
                  <c:v>99.999696109016782</c:v>
                </c:pt>
                <c:pt idx="99">
                  <c:v>99.999808883191193</c:v>
                </c:pt>
                <c:pt idx="100">
                  <c:v>99.999881828717662</c:v>
                </c:pt>
                <c:pt idx="101">
                  <c:v>99.999928206075126</c:v>
                </c:pt>
                <c:pt idx="102">
                  <c:v>99.999957170108431</c:v>
                </c:pt>
                <c:pt idx="103">
                  <c:v>99.999974927339309</c:v>
                </c:pt>
                <c:pt idx="104">
                  <c:v>99.999985607106851</c:v>
                </c:pt>
                <c:pt idx="105">
                  <c:v>99.999991903839629</c:v>
                </c:pt>
                <c:pt idx="106">
                  <c:v>99.999995540654197</c:v>
                </c:pt>
                <c:pt idx="107">
                  <c:v>99.99999759679848</c:v>
                </c:pt>
                <c:pt idx="108">
                  <c:v>99.999998733836037</c:v>
                </c:pt>
                <c:pt idx="109">
                  <c:v>99.999999348354351</c:v>
                </c:pt>
                <c:pt idx="110">
                  <c:v>99.999999672672288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C2-4248-AD2E-914E80580FEF}"/>
            </c:ext>
          </c:extLst>
        </c:ser>
        <c:ser>
          <c:idx val="2"/>
          <c:order val="5"/>
          <c:tx>
            <c:v>Total Grade Efficiency Stage 1 &amp; 2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'Berekening trap 2'!$B$76:$B$185</c:f>
              <c:numCache>
                <c:formatCode>General</c:formatCode>
                <c:ptCount val="110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</c:numCache>
            </c:numRef>
          </c:xVal>
          <c:yVal>
            <c:numRef>
              <c:f>'Berekening trap 2'!$Q$76:$Q$185</c:f>
              <c:numCache>
                <c:formatCode>0.000</c:formatCode>
                <c:ptCount val="110"/>
                <c:pt idx="0">
                  <c:v>-2.2961879195710959E-7</c:v>
                </c:pt>
                <c:pt idx="1">
                  <c:v>2.5393887066996843</c:v>
                </c:pt>
                <c:pt idx="2">
                  <c:v>5.6861758648918963</c:v>
                </c:pt>
                <c:pt idx="3">
                  <c:v>8.3173131671760814</c:v>
                </c:pt>
                <c:pt idx="4">
                  <c:v>10.718063048074185</c:v>
                </c:pt>
                <c:pt idx="5">
                  <c:v>12.982734782160637</c:v>
                </c:pt>
                <c:pt idx="6">
                  <c:v>15.157420765256653</c:v>
                </c:pt>
                <c:pt idx="7">
                  <c:v>17.268843832069773</c:v>
                </c:pt>
                <c:pt idx="8">
                  <c:v>19.334088163111353</c:v>
                </c:pt>
                <c:pt idx="9">
                  <c:v>21.364774154847346</c:v>
                </c:pt>
                <c:pt idx="10">
                  <c:v>23.369133893392338</c:v>
                </c:pt>
                <c:pt idx="11">
                  <c:v>25.35315275281577</c:v>
                </c:pt>
                <c:pt idx="12">
                  <c:v>27.689078749000799</c:v>
                </c:pt>
                <c:pt idx="13">
                  <c:v>30.104415119443143</c:v>
                </c:pt>
                <c:pt idx="14">
                  <c:v>32.542496460364305</c:v>
                </c:pt>
                <c:pt idx="15">
                  <c:v>34.992533033887021</c:v>
                </c:pt>
                <c:pt idx="16">
                  <c:v>37.448659377045644</c:v>
                </c:pt>
                <c:pt idx="17">
                  <c:v>39.906576564777332</c:v>
                </c:pt>
                <c:pt idx="18">
                  <c:v>42.36254349837116</c:v>
                </c:pt>
                <c:pt idx="19">
                  <c:v>44.812978306105236</c:v>
                </c:pt>
                <c:pt idx="20">
                  <c:v>47.254278749672146</c:v>
                </c:pt>
                <c:pt idx="21">
                  <c:v>49.682737311932691</c:v>
                </c:pt>
                <c:pt idx="22">
                  <c:v>52.094502957095067</c:v>
                </c:pt>
                <c:pt idx="23">
                  <c:v>54.485568524903243</c:v>
                </c:pt>
                <c:pt idx="24">
                  <c:v>56.851773688394147</c:v>
                </c:pt>
                <c:pt idx="25">
                  <c:v>59.188818329855479</c:v>
                </c:pt>
                <c:pt idx="26">
                  <c:v>61.492283562494279</c:v>
                </c:pt>
                <c:pt idx="27">
                  <c:v>63.757658822010391</c:v>
                </c:pt>
                <c:pt idx="28">
                  <c:v>65.980374066595843</c:v>
                </c:pt>
                <c:pt idx="29">
                  <c:v>68.155836431379143</c:v>
                </c:pt>
                <c:pt idx="30">
                  <c:v>70.279470819812104</c:v>
                </c:pt>
                <c:pt idx="31">
                  <c:v>72.346763950601925</c:v>
                </c:pt>
                <c:pt idx="32">
                  <c:v>74.353311353322567</c:v>
                </c:pt>
                <c:pt idx="33">
                  <c:v>76.294866741501664</c:v>
                </c:pt>
                <c:pt idx="34">
                  <c:v>78.16739310321843</c:v>
                </c:pt>
                <c:pt idx="35">
                  <c:v>79.96711474630645</c:v>
                </c:pt>
                <c:pt idx="36">
                  <c:v>81.690569426352994</c:v>
                </c:pt>
                <c:pt idx="37">
                  <c:v>83.334659578189871</c:v>
                </c:pt>
                <c:pt idx="38">
                  <c:v>84.896701572635749</c:v>
                </c:pt>
                <c:pt idx="39">
                  <c:v>86.374471837087796</c:v>
                </c:pt>
                <c:pt idx="40">
                  <c:v>87.766248618523178</c:v>
                </c:pt>
                <c:pt idx="41">
                  <c:v>89.070848137919782</c:v>
                </c:pt>
                <c:pt idx="42">
                  <c:v>90.287653893190694</c:v>
                </c:pt>
                <c:pt idx="43">
                  <c:v>91.41663792000432</c:v>
                </c:pt>
                <c:pt idx="44">
                  <c:v>92.458372921857006</c:v>
                </c:pt>
                <c:pt idx="45">
                  <c:v>93.414034336423029</c:v>
                </c:pt>
                <c:pt idx="46">
                  <c:v>94.285391616334891</c:v>
                </c:pt>
                <c:pt idx="47">
                  <c:v>95.074788268225902</c:v>
                </c:pt>
                <c:pt idx="48">
                  <c:v>95.78511050994075</c:v>
                </c:pt>
                <c:pt idx="49">
                  <c:v>96.41974476446731</c:v>
                </c:pt>
                <c:pt idx="50">
                  <c:v>96.982524598670992</c:v>
                </c:pt>
                <c:pt idx="51">
                  <c:v>97.477668119755137</c:v>
                </c:pt>
                <c:pt idx="52">
                  <c:v>97.909707243460772</c:v>
                </c:pt>
                <c:pt idx="53">
                  <c:v>98.283410623478588</c:v>
                </c:pt>
                <c:pt idx="54">
                  <c:v>98.570526525595866</c:v>
                </c:pt>
                <c:pt idx="55">
                  <c:v>98.833343378047644</c:v>
                </c:pt>
                <c:pt idx="56">
                  <c:v>99.057331878065654</c:v>
                </c:pt>
                <c:pt idx="57">
                  <c:v>99.246298406737239</c:v>
                </c:pt>
                <c:pt idx="58">
                  <c:v>99.404023902160631</c:v>
                </c:pt>
                <c:pt idx="59">
                  <c:v>99.534201307885056</c:v>
                </c:pt>
                <c:pt idx="60">
                  <c:v>99.640378646516112</c:v>
                </c:pt>
                <c:pt idx="61">
                  <c:v>99.72590946643237</c:v>
                </c:pt>
                <c:pt idx="62">
                  <c:v>99.792405231564942</c:v>
                </c:pt>
                <c:pt idx="63">
                  <c:v>99.842812791366683</c:v>
                </c:pt>
                <c:pt idx="64">
                  <c:v>99.881770400126797</c:v>
                </c:pt>
                <c:pt idx="65">
                  <c:v>99.911699922318661</c:v>
                </c:pt>
                <c:pt idx="66">
                  <c:v>99.93454483232037</c:v>
                </c:pt>
                <c:pt idx="67">
                  <c:v>99.951860707722801</c:v>
                </c:pt>
                <c:pt idx="68">
                  <c:v>99.964888071481852</c:v>
                </c:pt>
                <c:pt idx="69">
                  <c:v>99.974611591909593</c:v>
                </c:pt>
                <c:pt idx="70">
                  <c:v>99.981808522145698</c:v>
                </c:pt>
                <c:pt idx="71">
                  <c:v>99.987088500295187</c:v>
                </c:pt>
                <c:pt idx="72">
                  <c:v>99.990926309952727</c:v>
                </c:pt>
                <c:pt idx="73">
                  <c:v>99.993688837465299</c:v>
                </c:pt>
                <c:pt idx="74">
                  <c:v>99.995657204708891</c:v>
                </c:pt>
                <c:pt idx="75">
                  <c:v>99.997044869925006</c:v>
                </c:pt>
                <c:pt idx="76">
                  <c:v>99.998012351281986</c:v>
                </c:pt>
                <c:pt idx="77">
                  <c:v>99.998679122807033</c:v>
                </c:pt>
                <c:pt idx="78">
                  <c:v>99.999133149725154</c:v>
                </c:pt>
                <c:pt idx="79">
                  <c:v>99.999438463024035</c:v>
                </c:pt>
                <c:pt idx="80">
                  <c:v>99.999641116587014</c:v>
                </c:pt>
                <c:pt idx="81">
                  <c:v>99.99977382148758</c:v>
                </c:pt>
                <c:pt idx="82">
                  <c:v>99.999859509132108</c:v>
                </c:pt>
                <c:pt idx="83">
                  <c:v>99.999914036739966</c:v>
                </c:pt>
                <c:pt idx="84">
                  <c:v>99.999948214524693</c:v>
                </c:pt>
                <c:pt idx="85">
                  <c:v>99.999969303535352</c:v>
                </c:pt>
                <c:pt idx="86">
                  <c:v>99.999982106246748</c:v>
                </c:pt>
                <c:pt idx="87">
                  <c:v>99.999989748517663</c:v>
                </c:pt>
                <c:pt idx="88">
                  <c:v>99.999994231336515</c:v>
                </c:pt>
                <c:pt idx="89">
                  <c:v>99.999996813678322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DC2-4248-AD2E-914E80580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17984"/>
        <c:axId val="206665216"/>
      </c:scatterChart>
      <c:valAx>
        <c:axId val="206617984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98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65216"/>
        <c:crossesAt val="0.1"/>
        <c:crossBetween val="midCat"/>
        <c:majorUnit val="10"/>
        <c:minorUnit val="10"/>
      </c:valAx>
      <c:valAx>
        <c:axId val="20666521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179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7.5580376241516103E-2"/>
          <c:y val="7.2943850288928816E-2"/>
          <c:w val="0.88595465214425284"/>
          <c:h val="6.518814626165575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 sz="1000"/>
              <a:t>CALCULATED CUMULATIVE</a:t>
            </a:r>
            <a:r>
              <a:rPr lang="nl-NL" sz="1000" baseline="0"/>
              <a:t> </a:t>
            </a:r>
            <a:r>
              <a:rPr lang="nl-NL" sz="1000"/>
              <a:t>PARTICLE SIZE DISTRIBUTIONS</a:t>
            </a:r>
          </a:p>
        </c:rich>
      </c:tx>
      <c:layout>
        <c:manualLayout>
          <c:xMode val="edge"/>
          <c:yMode val="edge"/>
          <c:x val="0.15210728258142581"/>
          <c:y val="5.06868069201101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863548143901398E-2"/>
          <c:y val="0.14493153555396224"/>
          <c:w val="0.86652638677654559"/>
          <c:h val="0.73696746372578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'Berekening trap 2'!$U$73</c:f>
              <c:strCache>
                <c:ptCount val="1"/>
                <c:pt idx="0">
                  <c:v>IN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2'!$U$76:$U$186</c:f>
              <c:numCache>
                <c:formatCode>0.00E+00</c:formatCode>
                <c:ptCount val="111"/>
                <c:pt idx="0" formatCode="General">
                  <c:v>99.994093018605255</c:v>
                </c:pt>
                <c:pt idx="1">
                  <c:v>99.993085826840144</c:v>
                </c:pt>
                <c:pt idx="2">
                  <c:v>99.991906907045134</c:v>
                </c:pt>
                <c:pt idx="3" formatCode="General">
                  <c:v>99.990526981845647</c:v>
                </c:pt>
                <c:pt idx="4" formatCode="General">
                  <c:v>99.988911783409193</c:v>
                </c:pt>
                <c:pt idx="5" formatCode="General">
                  <c:v>99.987021203151457</c:v>
                </c:pt>
                <c:pt idx="6" formatCode="General">
                  <c:v>99.984808296695974</c:v>
                </c:pt>
                <c:pt idx="7" formatCode="General">
                  <c:v>99.98221811949557</c:v>
                </c:pt>
                <c:pt idx="8" formatCode="General">
                  <c:v>99.97918636436286</c:v>
                </c:pt>
                <c:pt idx="9" formatCode="General">
                  <c:v>99.975637767300199</c:v>
                </c:pt>
                <c:pt idx="10" formatCode="General">
                  <c:v>99.971484242350016</c:v>
                </c:pt>
                <c:pt idx="11" formatCode="General">
                  <c:v>99.966622699573932</c:v>
                </c:pt>
                <c:pt idx="12" formatCode="General">
                  <c:v>99.960932492560019</c:v>
                </c:pt>
                <c:pt idx="13" formatCode="General">
                  <c:v>99.954272432876891</c:v>
                </c:pt>
                <c:pt idx="14" formatCode="General">
                  <c:v>99.946477298440584</c:v>
                </c:pt>
                <c:pt idx="15" formatCode="General">
                  <c:v>99.937353750604686</c:v>
                </c:pt>
                <c:pt idx="16" formatCode="General">
                  <c:v>99.926675560667505</c:v>
                </c:pt>
                <c:pt idx="17" formatCode="General">
                  <c:v>99.914178030115494</c:v>
                </c:pt>
                <c:pt idx="18" formatCode="General">
                  <c:v>99.899551469963342</c:v>
                </c:pt>
                <c:pt idx="19" formatCode="General">
                  <c:v>99.882433582640815</c:v>
                </c:pt>
                <c:pt idx="20" formatCode="General">
                  <c:v>99.862400564616266</c:v>
                </c:pt>
                <c:pt idx="21" formatCode="General">
                  <c:v>99.838956718907994</c:v>
                </c:pt>
                <c:pt idx="22" formatCode="General">
                  <c:v>99.811522333364579</c:v>
                </c:pt>
                <c:pt idx="23" formatCode="General">
                  <c:v>99.779419542638749</c:v>
                </c:pt>
                <c:pt idx="24" formatCode="General">
                  <c:v>99.741855848696432</c:v>
                </c:pt>
                <c:pt idx="25" formatCode="General">
                  <c:v>99.697904926109786</c:v>
                </c:pt>
                <c:pt idx="26" formatCode="General">
                  <c:v>99.646484284010143</c:v>
                </c:pt>
                <c:pt idx="27" formatCode="General">
                  <c:v>99.586329296345639</c:v>
                </c:pt>
                <c:pt idx="28" formatCode="General">
                  <c:v>99.515963046235342</c:v>
                </c:pt>
                <c:pt idx="29" formatCode="General">
                  <c:v>99.433661359448891</c:v>
                </c:pt>
                <c:pt idx="30" formatCode="General">
                  <c:v>99.337412327797679</c:v>
                </c:pt>
                <c:pt idx="31" formatCode="General">
                  <c:v>99.224869547959571</c:v>
                </c:pt>
                <c:pt idx="32" formatCode="General">
                  <c:v>99.093298228919153</c:v>
                </c:pt>
                <c:pt idx="33" formatCode="General">
                  <c:v>98.939513257809381</c:v>
                </c:pt>
                <c:pt idx="34" formatCode="General">
                  <c:v>98.759808268401954</c:v>
                </c:pt>
                <c:pt idx="35" formatCode="General">
                  <c:v>98.549874741687816</c:v>
                </c:pt>
                <c:pt idx="36" formatCode="General">
                  <c:v>98.304710202168252</c:v>
                </c:pt>
                <c:pt idx="37" formatCode="General">
                  <c:v>98.018514682094349</c:v>
                </c:pt>
                <c:pt idx="38" formatCode="General">
                  <c:v>97.684574843928047</c:v>
                </c:pt>
                <c:pt idx="39" formatCode="General">
                  <c:v>97.295135526139873</c:v>
                </c:pt>
                <c:pt idx="40" formatCode="General">
                  <c:v>96.841259072386251</c:v>
                </c:pt>
                <c:pt idx="41" formatCode="General">
                  <c:v>96.312673702301282</c:v>
                </c:pt>
                <c:pt idx="42" formatCode="General">
                  <c:v>95.69761349098907</c:v>
                </c:pt>
                <c:pt idx="43" formatCode="General">
                  <c:v>94.982654379530445</c:v>
                </c:pt>
                <c:pt idx="44" formatCode="General">
                  <c:v>94.152553207319443</c:v>
                </c:pt>
                <c:pt idx="45" formatCode="General">
                  <c:v>93.567855322227814</c:v>
                </c:pt>
                <c:pt idx="46" formatCode="General">
                  <c:v>93.015488711560408</c:v>
                </c:pt>
                <c:pt idx="47" formatCode="General">
                  <c:v>92.417634064432022</c:v>
                </c:pt>
                <c:pt idx="48" formatCode="General">
                  <c:v>91.770900905160261</c:v>
                </c:pt>
                <c:pt idx="49" formatCode="General">
                  <c:v>91.071711684130122</c:v>
                </c:pt>
                <c:pt idx="50" formatCode="General">
                  <c:v>90.316304253263652</c:v>
                </c:pt>
                <c:pt idx="51" formatCode="General">
                  <c:v>89.500737508978929</c:v>
                </c:pt>
                <c:pt idx="52" formatCode="General">
                  <c:v>88.620900869190535</c:v>
                </c:pt>
                <c:pt idx="53" formatCode="General">
                  <c:v>87.672528339753697</c:v>
                </c:pt>
                <c:pt idx="54" formatCode="General">
                  <c:v>86.651218017902366</c:v>
                </c:pt>
                <c:pt idx="55" formatCode="General">
                  <c:v>85.552457972960383</c:v>
                </c:pt>
                <c:pt idx="56" formatCode="General">
                  <c:v>84.371659534041882</c:v>
                </c:pt>
                <c:pt idx="57" formatCode="General">
                  <c:v>83.104199095303315</c:v>
                </c:pt>
                <c:pt idx="58" formatCode="General">
                  <c:v>81.671492613709489</c:v>
                </c:pt>
                <c:pt idx="59" formatCode="General">
                  <c:v>79.702459544633456</c:v>
                </c:pt>
                <c:pt idx="60" formatCode="General">
                  <c:v>77.552355230165119</c:v>
                </c:pt>
                <c:pt idx="61" formatCode="General">
                  <c:v>75.211816798281347</c:v>
                </c:pt>
                <c:pt idx="62" formatCode="General">
                  <c:v>72.672837702647115</c:v>
                </c:pt>
                <c:pt idx="63" formatCode="General">
                  <c:v>69.929322442183235</c:v>
                </c:pt>
                <c:pt idx="64" formatCode="General">
                  <c:v>66.977729790469411</c:v>
                </c:pt>
                <c:pt idx="65" formatCode="General">
                  <c:v>63.8177990458504</c:v>
                </c:pt>
                <c:pt idx="66" formatCode="General">
                  <c:v>60.487438329215934</c:v>
                </c:pt>
                <c:pt idx="67" formatCode="General">
                  <c:v>57.145388862647714</c:v>
                </c:pt>
                <c:pt idx="68" formatCode="General">
                  <c:v>53.641775021639283</c:v>
                </c:pt>
                <c:pt idx="69" formatCode="General">
                  <c:v>49.993509538026196</c:v>
                </c:pt>
                <c:pt idx="70" formatCode="General">
                  <c:v>46.223065176150207</c:v>
                </c:pt>
                <c:pt idx="71" formatCode="General">
                  <c:v>42.358805410471831</c:v>
                </c:pt>
                <c:pt idx="72" formatCode="General">
                  <c:v>38.553599670567621</c:v>
                </c:pt>
                <c:pt idx="73" formatCode="General">
                  <c:v>34.849422874174756</c:v>
                </c:pt>
                <c:pt idx="74" formatCode="General">
                  <c:v>31.164340787994398</c:v>
                </c:pt>
                <c:pt idx="75" formatCode="General">
                  <c:v>27.538975640102056</c:v>
                </c:pt>
                <c:pt idx="76" formatCode="General">
                  <c:v>24.03397074304652</c:v>
                </c:pt>
                <c:pt idx="77" formatCode="General">
                  <c:v>20.829919072837285</c:v>
                </c:pt>
                <c:pt idx="78" formatCode="General">
                  <c:v>17.792875700841588</c:v>
                </c:pt>
                <c:pt idx="79" formatCode="General">
                  <c:v>14.956560678984827</c:v>
                </c:pt>
                <c:pt idx="80" formatCode="General">
                  <c:v>12.327541240713108</c:v>
                </c:pt>
                <c:pt idx="81" formatCode="General">
                  <c:v>9.9375091937317368</c:v>
                </c:pt>
                <c:pt idx="82" formatCode="General">
                  <c:v>7.8288155283825978</c:v>
                </c:pt>
                <c:pt idx="83" formatCode="General">
                  <c:v>6.0559867026807108</c:v>
                </c:pt>
                <c:pt idx="84" formatCode="General">
                  <c:v>4.6005300398726394</c:v>
                </c:pt>
                <c:pt idx="85" formatCode="General">
                  <c:v>3.3921372719058045</c:v>
                </c:pt>
                <c:pt idx="86" formatCode="General">
                  <c:v>2.3986127239419455</c:v>
                </c:pt>
                <c:pt idx="87" formatCode="General">
                  <c:v>1.6197097830060379</c:v>
                </c:pt>
                <c:pt idx="88" formatCode="General">
                  <c:v>0.98102842292839365</c:v>
                </c:pt>
                <c:pt idx="89" formatCode="General">
                  <c:v>0.50095768938869734</c:v>
                </c:pt>
                <c:pt idx="90" formatCode="General">
                  <c:v>0.50095768938869734</c:v>
                </c:pt>
                <c:pt idx="91" formatCode="General">
                  <c:v>0.50095768938869734</c:v>
                </c:pt>
                <c:pt idx="92" formatCode="General">
                  <c:v>0.50095768938869734</c:v>
                </c:pt>
                <c:pt idx="93" formatCode="General">
                  <c:v>0.50095768938869734</c:v>
                </c:pt>
                <c:pt idx="94" formatCode="General">
                  <c:v>0.50095768938869734</c:v>
                </c:pt>
                <c:pt idx="95" formatCode="General">
                  <c:v>0.50095768938869734</c:v>
                </c:pt>
                <c:pt idx="96" formatCode="General">
                  <c:v>0.50095768938869734</c:v>
                </c:pt>
                <c:pt idx="97" formatCode="General">
                  <c:v>0.50095768938869734</c:v>
                </c:pt>
                <c:pt idx="98" formatCode="General">
                  <c:v>0.50095768938869734</c:v>
                </c:pt>
                <c:pt idx="99" formatCode="General">
                  <c:v>0.50095768938869734</c:v>
                </c:pt>
                <c:pt idx="100" formatCode="General">
                  <c:v>0.50095768938869734</c:v>
                </c:pt>
                <c:pt idx="101" formatCode="General">
                  <c:v>0.50095768938869734</c:v>
                </c:pt>
                <c:pt idx="102" formatCode="General">
                  <c:v>0.50095768938869734</c:v>
                </c:pt>
                <c:pt idx="103" formatCode="General">
                  <c:v>0.50095768938869734</c:v>
                </c:pt>
                <c:pt idx="104" formatCode="General">
                  <c:v>0.50095768938869734</c:v>
                </c:pt>
                <c:pt idx="105" formatCode="General">
                  <c:v>0.50095768938869734</c:v>
                </c:pt>
                <c:pt idx="106" formatCode="General">
                  <c:v>0.50095768938869734</c:v>
                </c:pt>
                <c:pt idx="107" formatCode="General">
                  <c:v>0.50095768938869734</c:v>
                </c:pt>
                <c:pt idx="108" formatCode="General">
                  <c:v>0.50095768938869734</c:v>
                </c:pt>
                <c:pt idx="109" formatCode="General">
                  <c:v>0.50095768938869734</c:v>
                </c:pt>
                <c:pt idx="110" formatCode="General">
                  <c:v>-1.4543921622589551E-14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BA-45C3-B70E-400EEA37C11E}"/>
            </c:ext>
          </c:extLst>
        </c:ser>
        <c:ser>
          <c:idx val="2"/>
          <c:order val="1"/>
          <c:tx>
            <c:strRef>
              <c:f>'Berekening trap 2'!$W$73</c:f>
              <c:strCache>
                <c:ptCount val="1"/>
                <c:pt idx="0">
                  <c:v>LOSS 1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2'!$W$76:$W$186</c:f>
              <c:numCache>
                <c:formatCode>0.00E+00</c:formatCode>
                <c:ptCount val="111"/>
                <c:pt idx="0" formatCode="General">
                  <c:v>99.929186128155791</c:v>
                </c:pt>
                <c:pt idx="1">
                  <c:v>99.917111746367326</c:v>
                </c:pt>
                <c:pt idx="2" formatCode="General">
                  <c:v>99.902978660498292</c:v>
                </c:pt>
                <c:pt idx="3" formatCode="General">
                  <c:v>99.886435888530528</c:v>
                </c:pt>
                <c:pt idx="4">
                  <c:v>99.867072622009431</c:v>
                </c:pt>
                <c:pt idx="5" formatCode="General">
                  <c:v>99.844408032579494</c:v>
                </c:pt>
                <c:pt idx="6" formatCode="General">
                  <c:v>99.817879343276203</c:v>
                </c:pt>
                <c:pt idx="7" formatCode="General">
                  <c:v>99.786827869762789</c:v>
                </c:pt>
                <c:pt idx="8" formatCode="General">
                  <c:v>99.750482686820092</c:v>
                </c:pt>
                <c:pt idx="9" formatCode="General">
                  <c:v>99.707941517171989</c:v>
                </c:pt>
                <c:pt idx="10" formatCode="General">
                  <c:v>99.658148371761769</c:v>
                </c:pt>
                <c:pt idx="11" formatCode="General">
                  <c:v>99.599867391324352</c:v>
                </c:pt>
                <c:pt idx="12" formatCode="General">
                  <c:v>99.531997489042752</c:v>
                </c:pt>
                <c:pt idx="13" formatCode="General">
                  <c:v>99.453090045884636</c:v>
                </c:pt>
                <c:pt idx="14" formatCode="General">
                  <c:v>99.361435039955325</c:v>
                </c:pt>
                <c:pt idx="15" formatCode="General">
                  <c:v>99.255061506252417</c:v>
                </c:pt>
                <c:pt idx="16" formatCode="General">
                  <c:v>99.131705404843501</c:v>
                </c:pt>
                <c:pt idx="17" formatCode="General">
                  <c:v>98.988771449275148</c:v>
                </c:pt>
                <c:pt idx="18" formatCode="General">
                  <c:v>98.82328999859314</c:v>
                </c:pt>
                <c:pt idx="19" formatCode="General">
                  <c:v>98.631869078303126</c:v>
                </c:pt>
                <c:pt idx="20" formatCode="General">
                  <c:v>98.41064141848787</c:v>
                </c:pt>
                <c:pt idx="21" formatCode="General">
                  <c:v>98.155206399853157</c:v>
                </c:pt>
                <c:pt idx="22" formatCode="General">
                  <c:v>97.860566873216101</c:v>
                </c:pt>
                <c:pt idx="23" formatCode="General">
                  <c:v>97.521060944211655</c:v>
                </c:pt>
                <c:pt idx="24" formatCode="General">
                  <c:v>97.13028899261765</c:v>
                </c:pt>
                <c:pt idx="25" formatCode="General">
                  <c:v>96.681036431346129</c:v>
                </c:pt>
                <c:pt idx="26" formatCode="General">
                  <c:v>96.16519301368146</c:v>
                </c:pt>
                <c:pt idx="27" formatCode="General">
                  <c:v>95.573669880594764</c:v>
                </c:pt>
                <c:pt idx="28" formatCode="General">
                  <c:v>94.89631601618764</c:v>
                </c:pt>
                <c:pt idx="29" formatCode="General">
                  <c:v>94.121836362654761</c:v>
                </c:pt>
                <c:pt idx="30" formatCode="General">
                  <c:v>93.237714551060876</c:v>
                </c:pt>
                <c:pt idx="31" formatCode="General">
                  <c:v>92.230144044467551</c:v>
                </c:pt>
                <c:pt idx="32" formatCode="General">
                  <c:v>91.083972477353825</c:v>
                </c:pt>
                <c:pt idx="33" formatCode="General">
                  <c:v>89.782665117772027</c:v>
                </c:pt>
                <c:pt idx="34" formatCode="General">
                  <c:v>88.308294677691791</c:v>
                </c:pt>
                <c:pt idx="35" formatCode="General">
                  <c:v>86.641566143821052</c:v>
                </c:pt>
                <c:pt idx="36" formatCode="General">
                  <c:v>84.761886872292507</c:v>
                </c:pt>
                <c:pt idx="37" formatCode="General">
                  <c:v>82.647493841316034</c:v>
                </c:pt>
                <c:pt idx="38" formatCode="General">
                  <c:v>80.275651612619725</c:v>
                </c:pt>
                <c:pt idx="39" formatCode="General">
                  <c:v>77.62293610284766</c:v>
                </c:pt>
                <c:pt idx="40" formatCode="General">
                  <c:v>74.665620547189661</c:v>
                </c:pt>
                <c:pt idx="41" formatCode="General">
                  <c:v>71.380180822463373</c:v>
                </c:pt>
                <c:pt idx="42" formatCode="General">
                  <c:v>67.743937279928744</c:v>
                </c:pt>
                <c:pt idx="43" formatCode="General">
                  <c:v>63.73584902018063</c:v>
                </c:pt>
                <c:pt idx="44" formatCode="General">
                  <c:v>59.337473618965362</c:v>
                </c:pt>
                <c:pt idx="45" formatCode="General">
                  <c:v>56.419385730906122</c:v>
                </c:pt>
                <c:pt idx="46" formatCode="General">
                  <c:v>53.832298183180242</c:v>
                </c:pt>
                <c:pt idx="47" formatCode="General">
                  <c:v>51.214639391047761</c:v>
                </c:pt>
                <c:pt idx="48" formatCode="General">
                  <c:v>48.578350091336539</c:v>
                </c:pt>
                <c:pt idx="49" formatCode="General">
                  <c:v>45.936404165134469</c:v>
                </c:pt>
                <c:pt idx="50" formatCode="General">
                  <c:v>43.302681172530058</c:v>
                </c:pt>
                <c:pt idx="51" formatCode="General">
                  <c:v>40.691798831381043</c:v>
                </c:pt>
                <c:pt idx="52" formatCode="General">
                  <c:v>38.118904689872323</c:v>
                </c:pt>
                <c:pt idx="53" formatCode="General">
                  <c:v>35.599427928963443</c:v>
                </c:pt>
                <c:pt idx="54" formatCode="General">
                  <c:v>33.148794254647193</c:v>
                </c:pt>
                <c:pt idx="55" formatCode="General">
                  <c:v>30.782109151180961</c:v>
                </c:pt>
                <c:pt idx="56" formatCode="General">
                  <c:v>28.513817275995525</c:v>
                </c:pt>
                <c:pt idx="57" formatCode="General">
                  <c:v>26.357348352244895</c:v>
                </c:pt>
                <c:pt idx="58" formatCode="General">
                  <c:v>24.214096778107578</c:v>
                </c:pt>
                <c:pt idx="59" formatCode="General">
                  <c:v>21.644243208122667</c:v>
                </c:pt>
                <c:pt idx="60" formatCode="General">
                  <c:v>19.216033560352482</c:v>
                </c:pt>
                <c:pt idx="61" formatCode="General">
                  <c:v>16.948607456662632</c:v>
                </c:pt>
                <c:pt idx="62" formatCode="General">
                  <c:v>14.842767086260626</c:v>
                </c:pt>
                <c:pt idx="63" formatCode="General">
                  <c:v>12.886382132799881</c:v>
                </c:pt>
                <c:pt idx="64" formatCode="General">
                  <c:v>11.080386402442052</c:v>
                </c:pt>
                <c:pt idx="65" formatCode="General">
                  <c:v>9.425090950647018</c:v>
                </c:pt>
                <c:pt idx="66" formatCode="General">
                  <c:v>7.9352155751801279</c:v>
                </c:pt>
                <c:pt idx="67" formatCode="General">
                  <c:v>6.6618308379459172</c:v>
                </c:pt>
                <c:pt idx="68" formatCode="General">
                  <c:v>5.5281596044150589</c:v>
                </c:pt>
                <c:pt idx="69" formatCode="General">
                  <c:v>4.5287824882305117</c:v>
                </c:pt>
                <c:pt idx="70" formatCode="General">
                  <c:v>3.6572774569649784</c:v>
                </c:pt>
                <c:pt idx="71" formatCode="General">
                  <c:v>2.9062487175648197</c:v>
                </c:pt>
                <c:pt idx="72" formatCode="General">
                  <c:v>2.2866976006046125</c:v>
                </c:pt>
                <c:pt idx="73" formatCode="General">
                  <c:v>1.7834131698122284</c:v>
                </c:pt>
                <c:pt idx="74" formatCode="General">
                  <c:v>1.3672877084449087</c:v>
                </c:pt>
                <c:pt idx="75" formatCode="General">
                  <c:v>1.0284940277889631</c:v>
                </c:pt>
                <c:pt idx="76" formatCode="General">
                  <c:v>0.7586281644611822</c:v>
                </c:pt>
                <c:pt idx="77" formatCode="General">
                  <c:v>0.55631613863991469</c:v>
                </c:pt>
                <c:pt idx="78" formatCode="General">
                  <c:v>0.39980685615633493</c:v>
                </c:pt>
                <c:pt idx="79" formatCode="General">
                  <c:v>0.28111237281977464</c:v>
                </c:pt>
                <c:pt idx="80" formatCode="General">
                  <c:v>0.19223489964958232</c:v>
                </c:pt>
                <c:pt idx="81" formatCode="General">
                  <c:v>0.12731590086528893</c:v>
                </c:pt>
                <c:pt idx="82" formatCode="General">
                  <c:v>8.1553151552759287E-2</c:v>
                </c:pt>
                <c:pt idx="83" formatCode="General">
                  <c:v>5.0992218278386306E-2</c:v>
                </c:pt>
                <c:pt idx="84" formatCode="General">
                  <c:v>3.1182446102964306E-2</c:v>
                </c:pt>
                <c:pt idx="85" formatCode="General">
                  <c:v>1.8277549960086778E-2</c:v>
                </c:pt>
                <c:pt idx="86" formatCode="General">
                  <c:v>1.0006102308851517E-2</c:v>
                </c:pt>
                <c:pt idx="87" formatCode="General">
                  <c:v>4.9845791733575465E-3</c:v>
                </c:pt>
                <c:pt idx="88" formatCode="General">
                  <c:v>1.8180881269677825E-3</c:v>
                </c:pt>
                <c:pt idx="89" formatCode="General">
                  <c:v>7.6800516363205798E-7</c:v>
                </c:pt>
                <c:pt idx="90" formatCode="General">
                  <c:v>7.6800516363205798E-7</c:v>
                </c:pt>
                <c:pt idx="91" formatCode="General">
                  <c:v>7.6800516363205798E-7</c:v>
                </c:pt>
                <c:pt idx="92" formatCode="General">
                  <c:v>7.6800516363205798E-7</c:v>
                </c:pt>
                <c:pt idx="93" formatCode="General">
                  <c:v>7.6800516363205798E-7</c:v>
                </c:pt>
                <c:pt idx="94" formatCode="General">
                  <c:v>7.6800516363205798E-7</c:v>
                </c:pt>
                <c:pt idx="95" formatCode="General">
                  <c:v>7.6800516363205798E-7</c:v>
                </c:pt>
                <c:pt idx="96" formatCode="General">
                  <c:v>7.6800516363205798E-7</c:v>
                </c:pt>
                <c:pt idx="97" formatCode="General">
                  <c:v>7.6800516363205798E-7</c:v>
                </c:pt>
                <c:pt idx="98" formatCode="General">
                  <c:v>7.6800516363205798E-7</c:v>
                </c:pt>
                <c:pt idx="99" formatCode="General">
                  <c:v>7.6800516363205798E-7</c:v>
                </c:pt>
                <c:pt idx="100" formatCode="General">
                  <c:v>7.6800516363205798E-7</c:v>
                </c:pt>
                <c:pt idx="101" formatCode="General">
                  <c:v>7.6800516363205798E-7</c:v>
                </c:pt>
                <c:pt idx="102" formatCode="General">
                  <c:v>7.6800516363205798E-7</c:v>
                </c:pt>
                <c:pt idx="103" formatCode="General">
                  <c:v>7.6800516363205798E-7</c:v>
                </c:pt>
                <c:pt idx="104" formatCode="General">
                  <c:v>7.6800516363205798E-7</c:v>
                </c:pt>
                <c:pt idx="105" formatCode="General">
                  <c:v>7.6800516363205798E-7</c:v>
                </c:pt>
                <c:pt idx="106" formatCode="General">
                  <c:v>7.6800516363205798E-7</c:v>
                </c:pt>
                <c:pt idx="107" formatCode="General">
                  <c:v>7.6800516363205798E-7</c:v>
                </c:pt>
                <c:pt idx="108" formatCode="General">
                  <c:v>7.6800516363205798E-7</c:v>
                </c:pt>
                <c:pt idx="109" formatCode="General">
                  <c:v>7.6800516363205798E-7</c:v>
                </c:pt>
                <c:pt idx="110" formatCode="General">
                  <c:v>2.8215629702468825E-14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BA-45C3-B70E-400EEA37C11E}"/>
            </c:ext>
          </c:extLst>
        </c:ser>
        <c:ser>
          <c:idx val="1"/>
          <c:order val="2"/>
          <c:tx>
            <c:strRef>
              <c:f>'Berekening trap 2'!$Z$73</c:f>
              <c:strCache>
                <c:ptCount val="1"/>
                <c:pt idx="0">
                  <c:v>LOSS 2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2'!$Z$76:$Z$186</c:f>
              <c:numCache>
                <c:formatCode>General</c:formatCode>
                <c:ptCount val="111"/>
                <c:pt idx="0">
                  <c:v>99.54371506623653</c:v>
                </c:pt>
                <c:pt idx="1">
                  <c:v>99.467890170421683</c:v>
                </c:pt>
                <c:pt idx="2">
                  <c:v>99.382002635258104</c:v>
                </c:pt>
                <c:pt idx="3">
                  <c:v>99.284275897287671</c:v>
                </c:pt>
                <c:pt idx="4">
                  <c:v>99.172882355141482</c:v>
                </c:pt>
                <c:pt idx="5">
                  <c:v>99.045804149602674</c:v>
                </c:pt>
                <c:pt idx="6">
                  <c:v>98.900777623790233</c:v>
                </c:pt>
                <c:pt idx="7">
                  <c:v>98.735250528194953</c:v>
                </c:pt>
                <c:pt idx="8">
                  <c:v>98.546340638776556</c:v>
                </c:pt>
                <c:pt idx="9">
                  <c:v>98.330792462799053</c:v>
                </c:pt>
                <c:pt idx="10">
                  <c:v>98.084930648187552</c:v>
                </c:pt>
                <c:pt idx="11">
                  <c:v>97.804609343312222</c:v>
                </c:pt>
                <c:pt idx="12">
                  <c:v>97.486773782665438</c:v>
                </c:pt>
                <c:pt idx="13">
                  <c:v>97.127191413625667</c:v>
                </c:pt>
                <c:pt idx="14">
                  <c:v>96.721005929197318</c:v>
                </c:pt>
                <c:pt idx="15">
                  <c:v>96.262866656181544</c:v>
                </c:pt>
                <c:pt idx="16">
                  <c:v>95.746920016148096</c:v>
                </c:pt>
                <c:pt idx="17">
                  <c:v>95.166794887290195</c:v>
                </c:pt>
                <c:pt idx="18">
                  <c:v>94.515590175929603</c:v>
                </c:pt>
                <c:pt idx="19">
                  <c:v>93.785867830802999</c:v>
                </c:pt>
                <c:pt idx="20">
                  <c:v>92.969653638505008</c:v>
                </c:pt>
                <c:pt idx="21">
                  <c:v>92.05844802531081</c:v>
                </c:pt>
                <c:pt idx="22">
                  <c:v>91.043249184768825</c:v>
                </c:pt>
                <c:pt idx="23">
                  <c:v>89.914591001144586</c:v>
                </c:pt>
                <c:pt idx="24">
                  <c:v>88.662598388756535</c:v>
                </c:pt>
                <c:pt idx="25">
                  <c:v>87.277062783780977</c:v>
                </c:pt>
                <c:pt idx="26">
                  <c:v>85.747540581565175</c:v>
                </c:pt>
                <c:pt idx="27">
                  <c:v>84.063477282248201</c:v>
                </c:pt>
                <c:pt idx="28">
                  <c:v>82.214359962043346</c:v>
                </c:pt>
                <c:pt idx="29">
                  <c:v>80.189900395829994</c:v>
                </c:pt>
                <c:pt idx="30">
                  <c:v>77.980250685630878</c:v>
                </c:pt>
                <c:pt idx="31">
                  <c:v>75.576252564573181</c:v>
                </c:pt>
                <c:pt idx="32">
                  <c:v>72.9697206128413</c:v>
                </c:pt>
                <c:pt idx="33">
                  <c:v>70.153758408935019</c:v>
                </c:pt>
                <c:pt idx="34">
                  <c:v>67.123105119504075</c:v>
                </c:pt>
                <c:pt idx="35">
                  <c:v>63.874508186194767</c:v>
                </c:pt>
                <c:pt idx="36">
                  <c:v>60.407115593709875</c:v>
                </c:pt>
                <c:pt idx="37">
                  <c:v>56.722878713712099</c:v>
                </c:pt>
                <c:pt idx="38">
                  <c:v>52.826953953260073</c:v>
                </c:pt>
                <c:pt idx="39">
                  <c:v>48.728088464756148</c:v>
                </c:pt>
                <c:pt idx="40">
                  <c:v>44.438972106525206</c:v>
                </c:pt>
                <c:pt idx="41">
                  <c:v>39.976534834920685</c:v>
                </c:pt>
                <c:pt idx="42">
                  <c:v>35.36216596883564</c:v>
                </c:pt>
                <c:pt idx="43">
                  <c:v>30.621829562081231</c:v>
                </c:pt>
                <c:pt idx="44">
                  <c:v>25.786048774611967</c:v>
                </c:pt>
                <c:pt idx="45">
                  <c:v>22.811497154489</c:v>
                </c:pt>
                <c:pt idx="46">
                  <c:v>20.373212432217773</c:v>
                </c:pt>
                <c:pt idx="47">
                  <c:v>18.098685730508265</c:v>
                </c:pt>
                <c:pt idx="48">
                  <c:v>15.993056766401914</c:v>
                </c:pt>
                <c:pt idx="49">
                  <c:v>14.059400664872417</c:v>
                </c:pt>
                <c:pt idx="50">
                  <c:v>12.298659507753648</c:v>
                </c:pt>
                <c:pt idx="51">
                  <c:v>10.709628900208658</c:v>
                </c:pt>
                <c:pt idx="52">
                  <c:v>9.2890031440019243</c:v>
                </c:pt>
                <c:pt idx="53">
                  <c:v>8.0314802190008052</c:v>
                </c:pt>
                <c:pt idx="54">
                  <c:v>6.9037522620255283</c:v>
                </c:pt>
                <c:pt idx="55">
                  <c:v>5.913567055077162</c:v>
                </c:pt>
                <c:pt idx="56">
                  <c:v>5.0537518596268489</c:v>
                </c:pt>
                <c:pt idx="57">
                  <c:v>4.3158402030240017</c:v>
                </c:pt>
                <c:pt idx="58">
                  <c:v>3.6562767349886007</c:v>
                </c:pt>
                <c:pt idx="59">
                  <c:v>2.9478061887937508</c:v>
                </c:pt>
                <c:pt idx="60">
                  <c:v>2.3505295524198648</c:v>
                </c:pt>
                <c:pt idx="61">
                  <c:v>1.854987702342622</c:v>
                </c:pt>
                <c:pt idx="62">
                  <c:v>1.4478455625267403</c:v>
                </c:pt>
                <c:pt idx="63">
                  <c:v>1.114729858627856</c:v>
                </c:pt>
                <c:pt idx="64">
                  <c:v>0.84517127535117442</c:v>
                </c:pt>
                <c:pt idx="65">
                  <c:v>0.62964055770607075</c:v>
                </c:pt>
                <c:pt idx="66">
                  <c:v>0.46125465097963875</c:v>
                </c:pt>
                <c:pt idx="67">
                  <c:v>0.33697984327259078</c:v>
                </c:pt>
                <c:pt idx="68">
                  <c:v>0.241954063522344</c:v>
                </c:pt>
                <c:pt idx="69">
                  <c:v>0.17040689853863861</c:v>
                </c:pt>
                <c:pt idx="70">
                  <c:v>0.11742456972994512</c:v>
                </c:pt>
                <c:pt idx="71">
                  <c:v>7.8884408451112553E-2</c:v>
                </c:pt>
                <c:pt idx="72">
                  <c:v>5.2213819380942529E-2</c:v>
                </c:pt>
                <c:pt idx="73">
                  <c:v>3.415573837906833E-2</c:v>
                </c:pt>
                <c:pt idx="74">
                  <c:v>2.1793786476987004E-2</c:v>
                </c:pt>
                <c:pt idx="75">
                  <c:v>1.3518198077625757E-2</c:v>
                </c:pt>
                <c:pt idx="76">
                  <c:v>8.1367545531758744E-3</c:v>
                </c:pt>
                <c:pt idx="77">
                  <c:v>4.8676223967925019E-3</c:v>
                </c:pt>
                <c:pt idx="78">
                  <c:v>2.8340220359544428E-3</c:v>
                </c:pt>
                <c:pt idx="79">
                  <c:v>1.6037437783368838E-3</c:v>
                </c:pt>
                <c:pt idx="80">
                  <c:v>8.7492809684511816E-4</c:v>
                </c:pt>
                <c:pt idx="81">
                  <c:v>4.5736165145906702E-4</c:v>
                </c:pt>
                <c:pt idx="82">
                  <c:v>2.2852155944768366E-4</c:v>
                </c:pt>
                <c:pt idx="83">
                  <c:v>1.1080157212689704E-4</c:v>
                </c:pt>
                <c:pt idx="84">
                  <c:v>5.2580825566733297E-5</c:v>
                </c:pt>
                <c:pt idx="85">
                  <c:v>2.3928029928525521E-5</c:v>
                </c:pt>
                <c:pt idx="86">
                  <c:v>1.0195499460922241E-5</c:v>
                </c:pt>
                <c:pt idx="87">
                  <c:v>4.0275538397601665E-6</c:v>
                </c:pt>
                <c:pt idx="88">
                  <c:v>1.181586109581066E-6</c:v>
                </c:pt>
                <c:pt idx="89">
                  <c:v>6.4843472252903642E-15</c:v>
                </c:pt>
                <c:pt idx="90">
                  <c:v>6.4843472252903642E-15</c:v>
                </c:pt>
                <c:pt idx="91">
                  <c:v>6.4843472252903642E-15</c:v>
                </c:pt>
                <c:pt idx="92">
                  <c:v>6.4843472252903642E-15</c:v>
                </c:pt>
                <c:pt idx="93">
                  <c:v>6.4843472252903642E-15</c:v>
                </c:pt>
                <c:pt idx="94">
                  <c:v>6.4843472252903642E-15</c:v>
                </c:pt>
                <c:pt idx="95">
                  <c:v>6.4843472252903642E-15</c:v>
                </c:pt>
                <c:pt idx="96">
                  <c:v>6.4843472252903642E-15</c:v>
                </c:pt>
                <c:pt idx="97">
                  <c:v>6.4843472252903642E-15</c:v>
                </c:pt>
                <c:pt idx="98">
                  <c:v>6.4843472252903642E-15</c:v>
                </c:pt>
                <c:pt idx="99">
                  <c:v>6.4843472252903642E-15</c:v>
                </c:pt>
                <c:pt idx="100">
                  <c:v>6.4843472252903642E-15</c:v>
                </c:pt>
                <c:pt idx="101">
                  <c:v>6.4843472252903642E-15</c:v>
                </c:pt>
                <c:pt idx="102">
                  <c:v>6.4843472252903642E-15</c:v>
                </c:pt>
                <c:pt idx="103">
                  <c:v>6.4843472252903642E-15</c:v>
                </c:pt>
                <c:pt idx="104">
                  <c:v>6.4843472252903642E-15</c:v>
                </c:pt>
                <c:pt idx="105">
                  <c:v>6.4843472252903642E-15</c:v>
                </c:pt>
                <c:pt idx="106">
                  <c:v>6.4843472252903642E-15</c:v>
                </c:pt>
                <c:pt idx="107">
                  <c:v>6.4843472252903642E-15</c:v>
                </c:pt>
                <c:pt idx="108">
                  <c:v>6.4843472252903642E-15</c:v>
                </c:pt>
                <c:pt idx="109">
                  <c:v>6.4843472252903642E-15</c:v>
                </c:pt>
                <c:pt idx="110">
                  <c:v>-9.7137757327841148E-15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BA-45C3-B70E-400EEA37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53408"/>
        <c:axId val="208755328"/>
      </c:scatterChart>
      <c:valAx>
        <c:axId val="208753408"/>
        <c:scaling>
          <c:logBase val="10"/>
          <c:orientation val="minMax"/>
          <c:max val="100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64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755328"/>
        <c:crossesAt val="0"/>
        <c:crossBetween val="midCat"/>
        <c:majorUnit val="10"/>
        <c:minorUnit val="10"/>
      </c:valAx>
      <c:valAx>
        <c:axId val="2087553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</a:t>
                </a:r>
              </a:p>
            </c:rich>
          </c:tx>
          <c:layout>
            <c:manualLayout>
              <c:xMode val="edge"/>
              <c:yMode val="edge"/>
              <c:x val="1.3293789818122995E-2"/>
              <c:y val="0.349481378798991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753408"/>
        <c:crossesAt val="1.0000000000000005E-2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17362889841626"/>
          <c:y val="0.18040031539462509"/>
          <c:w val="0.25284499031121188"/>
          <c:h val="0.3363749077979442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44" r="0.75000000000000344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Style="combo" dx="16" fmlaLink="$S$2" fmlaRange="$R$2:$R$5" sel="2" val="0"/>
</file>

<file path=xl/ctrlProps/ctrlProp2.xml><?xml version="1.0" encoding="utf-8"?>
<formControlPr xmlns="http://schemas.microsoft.com/office/spreadsheetml/2009/9/main" objectType="Drop" dropStyle="combo" dx="16" fmlaLink="$S$9" fmlaRange="$R$9:$R$12" sel="2" val="0"/>
</file>

<file path=xl/ctrlProps/ctrlProp3.xml><?xml version="1.0" encoding="utf-8"?>
<formControlPr xmlns="http://schemas.microsoft.com/office/spreadsheetml/2009/9/main" objectType="Drop" dropStyle="combo" dx="16" fmlaLink="$S$15" fmlaRange="$R$15:$R$16" sel="2" val="0"/>
</file>

<file path=xl/ctrlProps/ctrlProp4.xml><?xml version="1.0" encoding="utf-8"?>
<formControlPr xmlns="http://schemas.microsoft.com/office/spreadsheetml/2009/9/main" objectType="Drop" dropStyle="combo" dx="16" fmlaLink="$S$19" fmlaRange="$R$19:$R$23" sel="5" val="0"/>
</file>

<file path=xl/ctrlProps/ctrlProp5.xml><?xml version="1.0" encoding="utf-8"?>
<formControlPr xmlns="http://schemas.microsoft.com/office/spreadsheetml/2009/9/main" objectType="Drop" dropStyle="combo" dx="16" fmlaLink="$S$25" fmlaRange="$R$25:$R$33" sel="3"/>
</file>

<file path=xl/ctrlProps/ctrlProp6.xml><?xml version="1.0" encoding="utf-8"?>
<formControlPr xmlns="http://schemas.microsoft.com/office/spreadsheetml/2009/9/main" objectType="Drop" dropStyle="combo" dx="16" fmlaLink="$S$36" fmlaRange="$R$36:$R$37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$S$26" fmlaRange="$R$25:$R$33" sel="6"/>
</file>

<file path=xl/ctrlProps/ctrlProp9.xml><?xml version="1.0" encoding="utf-8"?>
<formControlPr xmlns="http://schemas.microsoft.com/office/spreadsheetml/2009/9/main" objectType="Drop" dropStyle="combo" dx="16" fmlaLink="$T$36" fmlaRange="$R$36:$R$37" sel="2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png"/><Relationship Id="rId1" Type="http://schemas.openxmlformats.org/officeDocument/2006/relationships/chart" Target="../charts/chart3.xml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0</xdr:rowOff>
        </xdr:from>
        <xdr:to>
          <xdr:col>1</xdr:col>
          <xdr:colOff>828675</xdr:colOff>
          <xdr:row>6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1</xdr:col>
          <xdr:colOff>828675</xdr:colOff>
          <xdr:row>7</xdr:row>
          <xdr:rowOff>9525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828675</xdr:colOff>
          <xdr:row>8</xdr:row>
          <xdr:rowOff>9525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828675</xdr:colOff>
          <xdr:row>11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0</xdr:rowOff>
        </xdr:from>
        <xdr:to>
          <xdr:col>2</xdr:col>
          <xdr:colOff>866775</xdr:colOff>
          <xdr:row>14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9525</xdr:rowOff>
        </xdr:from>
        <xdr:to>
          <xdr:col>2</xdr:col>
          <xdr:colOff>866775</xdr:colOff>
          <xdr:row>21</xdr:row>
          <xdr:rowOff>9525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7</xdr:row>
          <xdr:rowOff>76200</xdr:rowOff>
        </xdr:from>
        <xdr:to>
          <xdr:col>10</xdr:col>
          <xdr:colOff>0</xdr:colOff>
          <xdr:row>10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AFDRUKKEN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0</xdr:rowOff>
        </xdr:from>
        <xdr:to>
          <xdr:col>4</xdr:col>
          <xdr:colOff>866775</xdr:colOff>
          <xdr:row>14</xdr:row>
          <xdr:rowOff>0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9525</xdr:rowOff>
        </xdr:from>
        <xdr:to>
          <xdr:col>4</xdr:col>
          <xdr:colOff>866775</xdr:colOff>
          <xdr:row>21</xdr:row>
          <xdr:rowOff>9525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753" name="Line 705">
          <a:extLst>
            <a:ext uri="{FF2B5EF4-FFF2-40B4-BE49-F238E27FC236}">
              <a16:creationId xmlns:a16="http://schemas.microsoft.com/office/drawing/2014/main" id="{00000000-0008-0000-0100-0000C10A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444499</xdr:colOff>
      <xdr:row>67</xdr:row>
      <xdr:rowOff>25400</xdr:rowOff>
    </xdr:from>
    <xdr:to>
      <xdr:col>1</xdr:col>
      <xdr:colOff>190500</xdr:colOff>
      <xdr:row>75</xdr:row>
      <xdr:rowOff>50800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 flipV="1">
          <a:off x="444499" y="11087100"/>
          <a:ext cx="457201" cy="134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63501</xdr:colOff>
      <xdr:row>57</xdr:row>
      <xdr:rowOff>101600</xdr:rowOff>
    </xdr:from>
    <xdr:to>
      <xdr:col>11</xdr:col>
      <xdr:colOff>685800</xdr:colOff>
      <xdr:row>57</xdr:row>
      <xdr:rowOff>101600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V="1">
          <a:off x="5753101" y="9512300"/>
          <a:ext cx="2755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68</xdr:row>
          <xdr:rowOff>9525</xdr:rowOff>
        </xdr:from>
        <xdr:to>
          <xdr:col>15</xdr:col>
          <xdr:colOff>638175</xdr:colOff>
          <xdr:row>70</xdr:row>
          <xdr:rowOff>104775</xdr:rowOff>
        </xdr:to>
        <xdr:sp macro="" textlink="">
          <xdr:nvSpPr>
            <xdr:cNvPr id="2293" name="Object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33</xdr:row>
          <xdr:rowOff>152400</xdr:rowOff>
        </xdr:from>
        <xdr:to>
          <xdr:col>13</xdr:col>
          <xdr:colOff>638175</xdr:colOff>
          <xdr:row>40</xdr:row>
          <xdr:rowOff>142875</xdr:rowOff>
        </xdr:to>
        <xdr:grpSp>
          <xdr:nvGrpSpPr>
            <xdr:cNvPr id="2458" name="Group 410">
              <a:extLst>
                <a:ext uri="{FF2B5EF4-FFF2-40B4-BE49-F238E27FC236}">
                  <a16:creationId xmlns:a16="http://schemas.microsoft.com/office/drawing/2014/main" id="{00000000-0008-0000-0100-00009A0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934325" y="5495925"/>
              <a:ext cx="1990725" cy="1123950"/>
              <a:chOff x="741" y="577"/>
              <a:chExt cx="213" cy="118"/>
            </a:xfrm>
          </xdr:grpSpPr>
          <xdr:sp macro="" textlink="">
            <xdr:nvSpPr>
              <xdr:cNvPr id="2049" name="Object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94" name="Object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2296" name="Object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" name="Line 70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457201</xdr:colOff>
      <xdr:row>69</xdr:row>
      <xdr:rowOff>38100</xdr:rowOff>
    </xdr:from>
    <xdr:to>
      <xdr:col>11</xdr:col>
      <xdr:colOff>114301</xdr:colOff>
      <xdr:row>73</xdr:row>
      <xdr:rowOff>25400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 flipV="1">
          <a:off x="7569201" y="11430000"/>
          <a:ext cx="36830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215901</xdr:colOff>
      <xdr:row>68</xdr:row>
      <xdr:rowOff>38100</xdr:rowOff>
    </xdr:from>
    <xdr:to>
      <xdr:col>1</xdr:col>
      <xdr:colOff>215901</xdr:colOff>
      <xdr:row>73</xdr:row>
      <xdr:rowOff>57150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 flipV="1">
          <a:off x="215901" y="11264900"/>
          <a:ext cx="711200" cy="844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33</xdr:row>
          <xdr:rowOff>152400</xdr:rowOff>
        </xdr:from>
        <xdr:to>
          <xdr:col>13</xdr:col>
          <xdr:colOff>666750</xdr:colOff>
          <xdr:row>40</xdr:row>
          <xdr:rowOff>142875</xdr:rowOff>
        </xdr:to>
        <xdr:grpSp>
          <xdr:nvGrpSpPr>
            <xdr:cNvPr id="4098" name="Group 2">
              <a:extLs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962900" y="5495925"/>
              <a:ext cx="1990725" cy="1123950"/>
              <a:chOff x="741" y="577"/>
              <a:chExt cx="213" cy="118"/>
            </a:xfrm>
          </xdr:grpSpPr>
          <xdr:sp macro="" textlink="">
            <xdr:nvSpPr>
              <xdr:cNvPr id="4099" name="Object 3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200-00000310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100" name="Object 4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200-00000410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4101" name="Object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88900</xdr:rowOff>
    </xdr:from>
    <xdr:to>
      <xdr:col>15</xdr:col>
      <xdr:colOff>0</xdr:colOff>
      <xdr:row>82</xdr:row>
      <xdr:rowOff>19050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00000000-0008-0000-0300-00000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079" name="Tekst 1">
          <a:extLst>
            <a:ext uri="{FF2B5EF4-FFF2-40B4-BE49-F238E27FC236}">
              <a16:creationId xmlns:a16="http://schemas.microsoft.com/office/drawing/2014/main" id="{00000000-0008-0000-0300-0000070C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00000000-0008-0000-0300-00000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1</xdr:col>
      <xdr:colOff>12700</xdr:colOff>
      <xdr:row>44</xdr:row>
      <xdr:rowOff>88900</xdr:rowOff>
    </xdr:from>
    <xdr:to>
      <xdr:col>15</xdr:col>
      <xdr:colOff>12700</xdr:colOff>
      <xdr:row>82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15</xdr:col>
      <xdr:colOff>0</xdr:colOff>
      <xdr:row>82</xdr:row>
      <xdr:rowOff>95250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22</xdr:col>
      <xdr:colOff>266700</xdr:colOff>
      <xdr:row>2</xdr:row>
      <xdr:rowOff>50800</xdr:rowOff>
    </xdr:from>
    <xdr:to>
      <xdr:col>33</xdr:col>
      <xdr:colOff>61913</xdr:colOff>
      <xdr:row>32</xdr:row>
      <xdr:rowOff>51594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190500</xdr:colOff>
      <xdr:row>3</xdr:row>
      <xdr:rowOff>127000</xdr:rowOff>
    </xdr:from>
    <xdr:to>
      <xdr:col>19</xdr:col>
      <xdr:colOff>244475</xdr:colOff>
      <xdr:row>37</xdr:row>
      <xdr:rowOff>52388</xdr:rowOff>
    </xdr:to>
    <xdr:pic>
      <xdr:nvPicPr>
        <xdr:cNvPr id="7" name="Picture 116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144000" y="698500"/>
          <a:ext cx="1882775" cy="5538788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ijn%20documenten\VENTILATOREN\prog%20patri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DEM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Fan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usvG/Desktop/EOS%20calculation%20of%20gas%20constants%20rev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er"/>
      <sheetName val="Klant"/>
      <sheetName val="Grafiek"/>
      <sheetName val="Uitvoer"/>
      <sheetName val="Calculatie"/>
      <sheetName val="Tabellen"/>
      <sheetName val="Berekening"/>
      <sheetName val="Spanning"/>
      <sheetName val="Dynamica"/>
      <sheetName val="Geluid"/>
      <sheetName val="Cases"/>
      <sheetName val="Zuigkast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250</v>
          </cell>
          <cell r="C6">
            <v>184.57499999999999</v>
          </cell>
          <cell r="D6">
            <v>1426.25</v>
          </cell>
          <cell r="E6">
            <v>10</v>
          </cell>
          <cell r="F6">
            <v>9</v>
          </cell>
          <cell r="G6">
            <v>9.9</v>
          </cell>
          <cell r="I6">
            <v>4</v>
          </cell>
          <cell r="J6">
            <v>8</v>
          </cell>
          <cell r="K6">
            <v>8</v>
          </cell>
          <cell r="L6">
            <v>4</v>
          </cell>
          <cell r="M6">
            <v>8</v>
          </cell>
          <cell r="N6">
            <v>7</v>
          </cell>
          <cell r="O6">
            <v>4</v>
          </cell>
          <cell r="P6">
            <v>2</v>
          </cell>
          <cell r="Q6">
            <v>3</v>
          </cell>
          <cell r="R6">
            <v>2.5</v>
          </cell>
          <cell r="S6">
            <v>0.922875</v>
          </cell>
          <cell r="U6">
            <v>44</v>
          </cell>
          <cell r="V6">
            <v>43</v>
          </cell>
        </row>
        <row r="7">
          <cell r="A7">
            <v>300</v>
          </cell>
          <cell r="C7">
            <v>221.49</v>
          </cell>
          <cell r="D7">
            <v>1711.5</v>
          </cell>
          <cell r="E7">
            <v>11</v>
          </cell>
          <cell r="F7">
            <v>10</v>
          </cell>
          <cell r="G7">
            <v>11</v>
          </cell>
          <cell r="I7">
            <v>4</v>
          </cell>
          <cell r="J7">
            <v>8</v>
          </cell>
          <cell r="K7">
            <v>8</v>
          </cell>
          <cell r="L7">
            <v>4</v>
          </cell>
          <cell r="M7">
            <v>8</v>
          </cell>
          <cell r="N7">
            <v>7</v>
          </cell>
          <cell r="O7">
            <v>4</v>
          </cell>
          <cell r="P7">
            <v>2</v>
          </cell>
          <cell r="Q7">
            <v>3</v>
          </cell>
          <cell r="R7">
            <v>3</v>
          </cell>
          <cell r="S7">
            <v>1.1074499999999998</v>
          </cell>
          <cell r="T7">
            <v>38</v>
          </cell>
          <cell r="U7">
            <v>46</v>
          </cell>
          <cell r="V7">
            <v>45</v>
          </cell>
        </row>
        <row r="8">
          <cell r="A8">
            <v>350</v>
          </cell>
          <cell r="C8">
            <v>258.40499999999997</v>
          </cell>
          <cell r="D8">
            <v>1996.75</v>
          </cell>
          <cell r="E8">
            <v>11</v>
          </cell>
          <cell r="F8">
            <v>11</v>
          </cell>
          <cell r="G8">
            <v>12.1</v>
          </cell>
          <cell r="I8">
            <v>5</v>
          </cell>
          <cell r="J8">
            <v>8</v>
          </cell>
          <cell r="K8">
            <v>9</v>
          </cell>
          <cell r="L8">
            <v>4</v>
          </cell>
          <cell r="M8">
            <v>8</v>
          </cell>
          <cell r="N8">
            <v>7</v>
          </cell>
          <cell r="O8">
            <v>5</v>
          </cell>
          <cell r="P8">
            <v>2</v>
          </cell>
          <cell r="Q8">
            <v>3</v>
          </cell>
          <cell r="R8">
            <v>3.5</v>
          </cell>
          <cell r="S8">
            <v>1.292025</v>
          </cell>
          <cell r="T8">
            <v>41</v>
          </cell>
          <cell r="U8">
            <v>48</v>
          </cell>
          <cell r="V8">
            <v>48</v>
          </cell>
        </row>
        <row r="9">
          <cell r="A9">
            <v>400</v>
          </cell>
          <cell r="C9">
            <v>295.32</v>
          </cell>
          <cell r="D9">
            <v>2282</v>
          </cell>
          <cell r="E9">
            <v>13</v>
          </cell>
          <cell r="F9">
            <v>12</v>
          </cell>
          <cell r="G9">
            <v>13.2</v>
          </cell>
          <cell r="I9">
            <v>5</v>
          </cell>
          <cell r="J9">
            <v>8</v>
          </cell>
          <cell r="K9">
            <v>10</v>
          </cell>
          <cell r="L9">
            <v>4</v>
          </cell>
          <cell r="M9">
            <v>8</v>
          </cell>
          <cell r="N9">
            <v>7</v>
          </cell>
          <cell r="O9">
            <v>5</v>
          </cell>
          <cell r="P9">
            <v>2</v>
          </cell>
          <cell r="Q9">
            <v>4</v>
          </cell>
          <cell r="R9">
            <v>4</v>
          </cell>
          <cell r="S9">
            <v>1.4765999999999999</v>
          </cell>
          <cell r="T9">
            <v>45</v>
          </cell>
          <cell r="U9">
            <v>52</v>
          </cell>
          <cell r="V9">
            <v>53</v>
          </cell>
        </row>
        <row r="10">
          <cell r="A10">
            <v>500</v>
          </cell>
          <cell r="C10">
            <v>369.15</v>
          </cell>
          <cell r="D10">
            <v>2852.5</v>
          </cell>
          <cell r="E10">
            <v>15</v>
          </cell>
          <cell r="F10">
            <v>13</v>
          </cell>
          <cell r="G10">
            <v>14.3</v>
          </cell>
          <cell r="I10">
            <v>7</v>
          </cell>
          <cell r="J10">
            <v>10</v>
          </cell>
          <cell r="K10">
            <v>12</v>
          </cell>
          <cell r="L10">
            <v>5</v>
          </cell>
          <cell r="M10">
            <v>8</v>
          </cell>
          <cell r="N10">
            <v>8</v>
          </cell>
          <cell r="O10">
            <v>5</v>
          </cell>
          <cell r="P10">
            <v>3</v>
          </cell>
          <cell r="Q10">
            <v>4</v>
          </cell>
          <cell r="R10">
            <v>5</v>
          </cell>
          <cell r="S10">
            <v>1.84575</v>
          </cell>
          <cell r="T10">
            <v>52</v>
          </cell>
          <cell r="U10">
            <v>58</v>
          </cell>
          <cell r="V10">
            <v>60</v>
          </cell>
        </row>
        <row r="11">
          <cell r="A11">
            <v>600</v>
          </cell>
          <cell r="C11">
            <v>442.98</v>
          </cell>
          <cell r="D11">
            <v>3423</v>
          </cell>
          <cell r="E11">
            <v>16</v>
          </cell>
          <cell r="F11">
            <v>15</v>
          </cell>
          <cell r="G11">
            <v>16.5</v>
          </cell>
          <cell r="I11">
            <v>9</v>
          </cell>
          <cell r="J11">
            <v>13</v>
          </cell>
          <cell r="K11">
            <v>13</v>
          </cell>
          <cell r="L11">
            <v>7</v>
          </cell>
          <cell r="M11">
            <v>10</v>
          </cell>
          <cell r="N11">
            <v>9</v>
          </cell>
          <cell r="O11">
            <v>6</v>
          </cell>
          <cell r="P11">
            <v>3</v>
          </cell>
          <cell r="Q11">
            <v>4</v>
          </cell>
          <cell r="R11">
            <v>6</v>
          </cell>
          <cell r="S11">
            <v>2.2148999999999996</v>
          </cell>
          <cell r="T11">
            <v>60</v>
          </cell>
          <cell r="U11">
            <v>67</v>
          </cell>
          <cell r="V11">
            <v>66</v>
          </cell>
        </row>
        <row r="12">
          <cell r="A12">
            <v>700</v>
          </cell>
          <cell r="C12">
            <v>516.80999999999995</v>
          </cell>
          <cell r="D12">
            <v>3993.5</v>
          </cell>
          <cell r="E12">
            <v>19</v>
          </cell>
          <cell r="F12">
            <v>18</v>
          </cell>
          <cell r="G12">
            <v>19.8</v>
          </cell>
          <cell r="I12">
            <v>12</v>
          </cell>
          <cell r="J12">
            <v>15</v>
          </cell>
          <cell r="K12">
            <v>16</v>
          </cell>
          <cell r="L12">
            <v>7</v>
          </cell>
          <cell r="M12">
            <v>12</v>
          </cell>
          <cell r="N12">
            <v>9</v>
          </cell>
          <cell r="O12">
            <v>6</v>
          </cell>
          <cell r="P12">
            <v>3</v>
          </cell>
          <cell r="Q12">
            <v>4</v>
          </cell>
          <cell r="R12">
            <v>7</v>
          </cell>
          <cell r="S12">
            <v>2.58405</v>
          </cell>
          <cell r="T12">
            <v>69</v>
          </cell>
          <cell r="U12">
            <v>77</v>
          </cell>
          <cell r="V12">
            <v>75</v>
          </cell>
        </row>
        <row r="13">
          <cell r="A13">
            <v>800</v>
          </cell>
          <cell r="C13">
            <v>590.64</v>
          </cell>
          <cell r="D13">
            <v>4564</v>
          </cell>
          <cell r="E13">
            <v>21</v>
          </cell>
          <cell r="F13">
            <v>21</v>
          </cell>
          <cell r="G13">
            <v>23.1</v>
          </cell>
          <cell r="I13">
            <v>12</v>
          </cell>
          <cell r="J13">
            <v>17</v>
          </cell>
          <cell r="K13">
            <v>17</v>
          </cell>
          <cell r="L13">
            <v>7</v>
          </cell>
          <cell r="M13">
            <v>13</v>
          </cell>
          <cell r="N13">
            <v>10</v>
          </cell>
          <cell r="O13">
            <v>6</v>
          </cell>
          <cell r="P13">
            <v>4</v>
          </cell>
          <cell r="Q13">
            <v>5</v>
          </cell>
          <cell r="R13">
            <v>8</v>
          </cell>
          <cell r="S13">
            <v>2.9531999999999998</v>
          </cell>
          <cell r="T13">
            <v>76</v>
          </cell>
          <cell r="U13">
            <v>87</v>
          </cell>
          <cell r="V13">
            <v>84</v>
          </cell>
        </row>
        <row r="14">
          <cell r="A14">
            <v>900</v>
          </cell>
          <cell r="C14">
            <v>664.47</v>
          </cell>
          <cell r="D14">
            <v>5134.5</v>
          </cell>
          <cell r="E14">
            <v>25</v>
          </cell>
          <cell r="F14">
            <v>25</v>
          </cell>
          <cell r="G14">
            <v>27.5</v>
          </cell>
          <cell r="I14">
            <v>16</v>
          </cell>
          <cell r="J14">
            <v>20</v>
          </cell>
          <cell r="K14">
            <v>20</v>
          </cell>
          <cell r="L14">
            <v>7</v>
          </cell>
          <cell r="M14">
            <v>14</v>
          </cell>
          <cell r="N14">
            <v>9</v>
          </cell>
          <cell r="O14">
            <v>7</v>
          </cell>
          <cell r="P14">
            <v>4</v>
          </cell>
          <cell r="Q14">
            <v>5</v>
          </cell>
          <cell r="R14">
            <v>9</v>
          </cell>
          <cell r="S14">
            <v>3.3223500000000001</v>
          </cell>
          <cell r="T14">
            <v>89</v>
          </cell>
          <cell r="U14">
            <v>100</v>
          </cell>
          <cell r="V14">
            <v>95</v>
          </cell>
        </row>
        <row r="15">
          <cell r="A15">
            <v>1000</v>
          </cell>
          <cell r="C15">
            <v>738.3</v>
          </cell>
          <cell r="D15">
            <v>5705</v>
          </cell>
          <cell r="E15">
            <v>29</v>
          </cell>
          <cell r="F15">
            <v>29</v>
          </cell>
          <cell r="G15">
            <v>31.9</v>
          </cell>
          <cell r="I15">
            <v>16</v>
          </cell>
          <cell r="J15">
            <v>22</v>
          </cell>
          <cell r="K15">
            <v>23</v>
          </cell>
          <cell r="L15">
            <v>7</v>
          </cell>
          <cell r="M15">
            <v>13</v>
          </cell>
          <cell r="N15">
            <v>9</v>
          </cell>
          <cell r="O15">
            <v>8</v>
          </cell>
          <cell r="P15">
            <v>4</v>
          </cell>
          <cell r="Q15">
            <v>5</v>
          </cell>
          <cell r="R15">
            <v>10</v>
          </cell>
          <cell r="S15">
            <v>3.6915</v>
          </cell>
          <cell r="T15">
            <v>98</v>
          </cell>
          <cell r="U15">
            <v>110</v>
          </cell>
          <cell r="V15">
            <v>107</v>
          </cell>
        </row>
        <row r="16">
          <cell r="A16">
            <v>1100</v>
          </cell>
          <cell r="C16">
            <v>812.13</v>
          </cell>
          <cell r="D16">
            <v>6275.5</v>
          </cell>
          <cell r="E16">
            <v>32</v>
          </cell>
          <cell r="F16">
            <v>33</v>
          </cell>
          <cell r="G16">
            <v>36.299999999999997</v>
          </cell>
          <cell r="I16">
            <v>18</v>
          </cell>
          <cell r="J16">
            <v>24</v>
          </cell>
          <cell r="K16">
            <v>25</v>
          </cell>
          <cell r="L16">
            <v>8</v>
          </cell>
          <cell r="M16">
            <v>14</v>
          </cell>
          <cell r="N16">
            <v>9</v>
          </cell>
          <cell r="O16">
            <v>9</v>
          </cell>
          <cell r="P16">
            <v>5</v>
          </cell>
          <cell r="Q16">
            <v>6</v>
          </cell>
          <cell r="R16">
            <v>11</v>
          </cell>
          <cell r="S16">
            <v>4.0606499999999999</v>
          </cell>
          <cell r="T16">
            <v>111</v>
          </cell>
          <cell r="U16">
            <v>123</v>
          </cell>
          <cell r="V16">
            <v>119</v>
          </cell>
        </row>
        <row r="17">
          <cell r="A17">
            <v>1200</v>
          </cell>
          <cell r="C17">
            <v>885.96</v>
          </cell>
          <cell r="D17">
            <v>6846</v>
          </cell>
          <cell r="E17">
            <v>36</v>
          </cell>
          <cell r="F17">
            <v>37</v>
          </cell>
          <cell r="G17">
            <v>40.700000000000003</v>
          </cell>
          <cell r="J17">
            <v>27</v>
          </cell>
          <cell r="K17">
            <v>28</v>
          </cell>
          <cell r="M17">
            <v>14</v>
          </cell>
          <cell r="N17">
            <v>10</v>
          </cell>
          <cell r="O17">
            <v>10</v>
          </cell>
          <cell r="P17">
            <v>5</v>
          </cell>
          <cell r="Q17">
            <v>6</v>
          </cell>
          <cell r="R17">
            <v>12</v>
          </cell>
          <cell r="S17">
            <v>4.4297999999999993</v>
          </cell>
          <cell r="U17">
            <v>135</v>
          </cell>
          <cell r="V17">
            <v>132</v>
          </cell>
        </row>
        <row r="18">
          <cell r="A18">
            <v>1300</v>
          </cell>
          <cell r="C18">
            <v>959.79</v>
          </cell>
          <cell r="D18">
            <v>7416.5</v>
          </cell>
          <cell r="E18">
            <v>39</v>
          </cell>
          <cell r="F18">
            <v>41</v>
          </cell>
          <cell r="G18">
            <v>45.1</v>
          </cell>
          <cell r="J18">
            <v>29</v>
          </cell>
          <cell r="K18">
            <v>31</v>
          </cell>
          <cell r="M18">
            <v>17</v>
          </cell>
          <cell r="N18">
            <v>12</v>
          </cell>
          <cell r="O18">
            <v>11</v>
          </cell>
          <cell r="P18">
            <v>6</v>
          </cell>
          <cell r="Q18">
            <v>7</v>
          </cell>
          <cell r="R18">
            <v>13</v>
          </cell>
          <cell r="S18">
            <v>4.7989499999999996</v>
          </cell>
          <cell r="U18">
            <v>150</v>
          </cell>
          <cell r="V18">
            <v>147</v>
          </cell>
        </row>
        <row r="19">
          <cell r="A19">
            <v>1400</v>
          </cell>
          <cell r="C19">
            <v>1033.6199999999999</v>
          </cell>
          <cell r="D19">
            <v>7987</v>
          </cell>
          <cell r="E19">
            <v>44</v>
          </cell>
          <cell r="F19">
            <v>46</v>
          </cell>
          <cell r="G19">
            <v>50.6</v>
          </cell>
          <cell r="J19">
            <v>34</v>
          </cell>
          <cell r="K19">
            <v>35</v>
          </cell>
          <cell r="M19">
            <v>18</v>
          </cell>
          <cell r="N19">
            <v>14</v>
          </cell>
          <cell r="O19">
            <v>11</v>
          </cell>
          <cell r="P19">
            <v>7</v>
          </cell>
          <cell r="Q19">
            <v>8</v>
          </cell>
          <cell r="R19">
            <v>14</v>
          </cell>
          <cell r="S19">
            <v>5.1680999999999999</v>
          </cell>
          <cell r="U19">
            <v>168</v>
          </cell>
          <cell r="V19">
            <v>165</v>
          </cell>
        </row>
        <row r="20">
          <cell r="A20">
            <v>1500</v>
          </cell>
          <cell r="C20">
            <v>1107.45</v>
          </cell>
          <cell r="D20">
            <v>8557.5</v>
          </cell>
          <cell r="E20">
            <v>49</v>
          </cell>
          <cell r="F20">
            <v>50</v>
          </cell>
          <cell r="G20">
            <v>55</v>
          </cell>
          <cell r="J20">
            <v>37</v>
          </cell>
          <cell r="K20">
            <v>39</v>
          </cell>
          <cell r="M20">
            <v>20</v>
          </cell>
          <cell r="N20">
            <v>16</v>
          </cell>
          <cell r="O20">
            <v>12</v>
          </cell>
          <cell r="P20">
            <v>8</v>
          </cell>
          <cell r="Q20">
            <v>9</v>
          </cell>
          <cell r="R20">
            <v>15</v>
          </cell>
          <cell r="S20">
            <v>5.5372499999999993</v>
          </cell>
          <cell r="U20">
            <v>185</v>
          </cell>
          <cell r="V20">
            <v>183</v>
          </cell>
        </row>
        <row r="21">
          <cell r="A21">
            <v>1600</v>
          </cell>
          <cell r="C21">
            <v>1181.28</v>
          </cell>
          <cell r="D21">
            <v>9128</v>
          </cell>
          <cell r="E21">
            <v>55</v>
          </cell>
          <cell r="F21">
            <v>54</v>
          </cell>
          <cell r="G21">
            <v>59.4</v>
          </cell>
          <cell r="J21">
            <v>40</v>
          </cell>
          <cell r="K21">
            <v>44</v>
          </cell>
          <cell r="M21">
            <v>22</v>
          </cell>
          <cell r="N21">
            <v>19</v>
          </cell>
          <cell r="O21">
            <v>13</v>
          </cell>
          <cell r="P21">
            <v>9</v>
          </cell>
          <cell r="Q21">
            <v>10</v>
          </cell>
          <cell r="R21">
            <v>16</v>
          </cell>
          <cell r="S21">
            <v>5.9063999999999997</v>
          </cell>
          <cell r="U21">
            <v>203</v>
          </cell>
          <cell r="V21">
            <v>204</v>
          </cell>
        </row>
        <row r="22">
          <cell r="A22">
            <v>1700</v>
          </cell>
          <cell r="C22">
            <v>1255.1099999999999</v>
          </cell>
          <cell r="D22">
            <v>9698.5</v>
          </cell>
          <cell r="E22">
            <v>61</v>
          </cell>
          <cell r="F22">
            <v>59</v>
          </cell>
          <cell r="G22">
            <v>64.900000000000006</v>
          </cell>
          <cell r="K22">
            <v>48</v>
          </cell>
          <cell r="N22">
            <v>21</v>
          </cell>
          <cell r="O22">
            <v>14</v>
          </cell>
          <cell r="P22">
            <v>10</v>
          </cell>
          <cell r="Q22">
            <v>11</v>
          </cell>
          <cell r="R22">
            <v>17</v>
          </cell>
          <cell r="S22">
            <v>6.27555</v>
          </cell>
          <cell r="V22">
            <v>224</v>
          </cell>
        </row>
        <row r="23">
          <cell r="A23">
            <v>1800</v>
          </cell>
          <cell r="C23">
            <v>1328.94</v>
          </cell>
          <cell r="D23">
            <v>10269</v>
          </cell>
          <cell r="E23">
            <v>67</v>
          </cell>
          <cell r="F23">
            <v>64</v>
          </cell>
          <cell r="G23">
            <v>70.400000000000006</v>
          </cell>
          <cell r="K23">
            <v>54</v>
          </cell>
          <cell r="N23">
            <v>23</v>
          </cell>
          <cell r="O23">
            <v>15</v>
          </cell>
          <cell r="P23">
            <v>11</v>
          </cell>
          <cell r="Q23">
            <v>12</v>
          </cell>
          <cell r="R23">
            <v>18</v>
          </cell>
          <cell r="S23">
            <v>6.6447000000000003</v>
          </cell>
          <cell r="V23">
            <v>246</v>
          </cell>
        </row>
        <row r="24">
          <cell r="A24">
            <v>1900</v>
          </cell>
          <cell r="C24">
            <v>1402.77</v>
          </cell>
          <cell r="D24">
            <v>10839.5</v>
          </cell>
          <cell r="E24">
            <v>74</v>
          </cell>
          <cell r="F24">
            <v>70</v>
          </cell>
          <cell r="G24">
            <v>77</v>
          </cell>
          <cell r="K24">
            <v>60</v>
          </cell>
          <cell r="N24">
            <v>30</v>
          </cell>
          <cell r="O24">
            <v>16</v>
          </cell>
          <cell r="P24">
            <v>12</v>
          </cell>
          <cell r="Q24">
            <v>13</v>
          </cell>
          <cell r="R24">
            <v>19</v>
          </cell>
          <cell r="S24">
            <v>7.0138499999999988</v>
          </cell>
          <cell r="V24">
            <v>275</v>
          </cell>
        </row>
        <row r="25">
          <cell r="A25">
            <v>2000</v>
          </cell>
          <cell r="C25">
            <v>1476.6</v>
          </cell>
          <cell r="D25">
            <v>11410</v>
          </cell>
          <cell r="E25">
            <v>84</v>
          </cell>
          <cell r="F25">
            <v>75</v>
          </cell>
          <cell r="G25">
            <v>82.5</v>
          </cell>
          <cell r="K25">
            <v>67</v>
          </cell>
          <cell r="N25">
            <v>42</v>
          </cell>
          <cell r="O25">
            <v>18</v>
          </cell>
          <cell r="P25">
            <v>14</v>
          </cell>
          <cell r="Q25">
            <v>14</v>
          </cell>
          <cell r="R25">
            <v>20</v>
          </cell>
          <cell r="S25">
            <v>7.383</v>
          </cell>
          <cell r="V25">
            <v>314</v>
          </cell>
        </row>
        <row r="67">
          <cell r="B67" t="str">
            <v>Isol.</v>
          </cell>
          <cell r="C67" t="str">
            <v>Plaat</v>
          </cell>
          <cell r="D67" t="str">
            <v>Folie</v>
          </cell>
          <cell r="E67" t="str">
            <v>Demping</v>
          </cell>
        </row>
        <row r="68">
          <cell r="B68" t="str">
            <v>dikte</v>
          </cell>
          <cell r="C68" t="str">
            <v>Mat.</v>
          </cell>
          <cell r="D68" t="str">
            <v>dikte</v>
          </cell>
          <cell r="E68">
            <v>63</v>
          </cell>
          <cell r="F68">
            <v>125</v>
          </cell>
          <cell r="G68">
            <v>250</v>
          </cell>
          <cell r="H68">
            <v>500</v>
          </cell>
          <cell r="I68">
            <v>1000</v>
          </cell>
          <cell r="J68">
            <v>2000</v>
          </cell>
          <cell r="K68">
            <v>4000</v>
          </cell>
          <cell r="L68">
            <v>8000</v>
          </cell>
        </row>
        <row r="69">
          <cell r="A69">
            <v>3</v>
          </cell>
          <cell r="B69">
            <v>100</v>
          </cell>
          <cell r="C69" t="str">
            <v>Al</v>
          </cell>
          <cell r="D69">
            <v>0</v>
          </cell>
          <cell r="E69">
            <v>0</v>
          </cell>
          <cell r="F69">
            <v>1</v>
          </cell>
          <cell r="G69">
            <v>5</v>
          </cell>
          <cell r="H69">
            <v>10</v>
          </cell>
          <cell r="I69">
            <v>15</v>
          </cell>
          <cell r="J69">
            <v>15</v>
          </cell>
          <cell r="K69">
            <v>15</v>
          </cell>
          <cell r="L69">
            <v>15</v>
          </cell>
        </row>
        <row r="70">
          <cell r="A70">
            <v>1</v>
          </cell>
          <cell r="B70">
            <v>50</v>
          </cell>
          <cell r="C70" t="str">
            <v>Al</v>
          </cell>
          <cell r="D70">
            <v>0</v>
          </cell>
          <cell r="E70">
            <v>0</v>
          </cell>
          <cell r="F70">
            <v>0</v>
          </cell>
          <cell r="G70">
            <v>2</v>
          </cell>
          <cell r="H70">
            <v>7</v>
          </cell>
          <cell r="I70">
            <v>12</v>
          </cell>
          <cell r="J70">
            <v>12</v>
          </cell>
          <cell r="K70">
            <v>12</v>
          </cell>
          <cell r="L70">
            <v>12</v>
          </cell>
        </row>
        <row r="71">
          <cell r="A71">
            <v>2</v>
          </cell>
          <cell r="B71">
            <v>75</v>
          </cell>
          <cell r="C71" t="str">
            <v>Al</v>
          </cell>
          <cell r="D71">
            <v>0</v>
          </cell>
          <cell r="E71">
            <v>0</v>
          </cell>
          <cell r="F71">
            <v>0</v>
          </cell>
          <cell r="G71">
            <v>3</v>
          </cell>
          <cell r="H71">
            <v>8</v>
          </cell>
          <cell r="I71">
            <v>13</v>
          </cell>
          <cell r="J71">
            <v>13</v>
          </cell>
          <cell r="K71">
            <v>13</v>
          </cell>
          <cell r="L71">
            <v>13</v>
          </cell>
        </row>
        <row r="72">
          <cell r="A72">
            <v>3</v>
          </cell>
          <cell r="B72">
            <v>100</v>
          </cell>
          <cell r="C72" t="str">
            <v>Al</v>
          </cell>
          <cell r="D72">
            <v>0</v>
          </cell>
          <cell r="E72">
            <v>0</v>
          </cell>
          <cell r="F72">
            <v>1</v>
          </cell>
          <cell r="G72">
            <v>5</v>
          </cell>
          <cell r="H72">
            <v>10</v>
          </cell>
          <cell r="I72">
            <v>15</v>
          </cell>
          <cell r="J72">
            <v>15</v>
          </cell>
          <cell r="K72">
            <v>15</v>
          </cell>
          <cell r="L72">
            <v>15</v>
          </cell>
        </row>
        <row r="73">
          <cell r="A73">
            <v>4</v>
          </cell>
          <cell r="B73">
            <v>100</v>
          </cell>
          <cell r="C73" t="str">
            <v>Fe</v>
          </cell>
          <cell r="D73">
            <v>0</v>
          </cell>
          <cell r="E73">
            <v>0</v>
          </cell>
          <cell r="F73">
            <v>2</v>
          </cell>
          <cell r="G73">
            <v>6</v>
          </cell>
          <cell r="H73">
            <v>14</v>
          </cell>
          <cell r="I73">
            <v>21</v>
          </cell>
          <cell r="J73">
            <v>21</v>
          </cell>
          <cell r="K73">
            <v>21</v>
          </cell>
          <cell r="L73">
            <v>21</v>
          </cell>
        </row>
        <row r="74">
          <cell r="A74">
            <v>5</v>
          </cell>
          <cell r="B74">
            <v>125</v>
          </cell>
          <cell r="C74" t="str">
            <v>Al</v>
          </cell>
          <cell r="D74">
            <v>0</v>
          </cell>
          <cell r="E74">
            <v>1</v>
          </cell>
          <cell r="F74">
            <v>3</v>
          </cell>
          <cell r="G74">
            <v>7</v>
          </cell>
          <cell r="H74">
            <v>12</v>
          </cell>
          <cell r="I74">
            <v>17</v>
          </cell>
          <cell r="J74">
            <v>17</v>
          </cell>
          <cell r="K74">
            <v>17</v>
          </cell>
          <cell r="L74">
            <v>17</v>
          </cell>
        </row>
        <row r="75">
          <cell r="A75">
            <v>6</v>
          </cell>
          <cell r="B75">
            <v>125</v>
          </cell>
          <cell r="C75" t="str">
            <v>Fe</v>
          </cell>
          <cell r="D75">
            <v>0</v>
          </cell>
          <cell r="E75">
            <v>2</v>
          </cell>
          <cell r="F75">
            <v>4</v>
          </cell>
          <cell r="G75">
            <v>9</v>
          </cell>
          <cell r="H75">
            <v>16</v>
          </cell>
          <cell r="I75">
            <v>22</v>
          </cell>
          <cell r="J75">
            <v>22</v>
          </cell>
          <cell r="K75">
            <v>22</v>
          </cell>
          <cell r="L75">
            <v>22</v>
          </cell>
        </row>
        <row r="76">
          <cell r="A76">
            <v>7</v>
          </cell>
          <cell r="B76">
            <v>150</v>
          </cell>
          <cell r="C76" t="str">
            <v>Al</v>
          </cell>
          <cell r="D76">
            <v>0</v>
          </cell>
          <cell r="E76">
            <v>3</v>
          </cell>
          <cell r="F76">
            <v>7</v>
          </cell>
          <cell r="G76">
            <v>12</v>
          </cell>
          <cell r="H76">
            <v>17</v>
          </cell>
          <cell r="I76">
            <v>21</v>
          </cell>
          <cell r="J76">
            <v>21</v>
          </cell>
          <cell r="K76">
            <v>21</v>
          </cell>
          <cell r="L76">
            <v>21</v>
          </cell>
        </row>
        <row r="77">
          <cell r="A77">
            <v>8</v>
          </cell>
          <cell r="B77">
            <v>150</v>
          </cell>
          <cell r="C77" t="str">
            <v>Fe</v>
          </cell>
          <cell r="D77">
            <v>0</v>
          </cell>
          <cell r="E77">
            <v>5</v>
          </cell>
          <cell r="F77">
            <v>9</v>
          </cell>
          <cell r="G77">
            <v>14</v>
          </cell>
          <cell r="H77">
            <v>19</v>
          </cell>
          <cell r="I77">
            <v>23</v>
          </cell>
          <cell r="J77">
            <v>23</v>
          </cell>
          <cell r="K77">
            <v>23</v>
          </cell>
          <cell r="L77">
            <v>23</v>
          </cell>
        </row>
        <row r="78">
          <cell r="A78">
            <v>9</v>
          </cell>
          <cell r="B78">
            <v>175</v>
          </cell>
          <cell r="C78" t="str">
            <v>Al</v>
          </cell>
          <cell r="D78">
            <v>0</v>
          </cell>
          <cell r="E78">
            <v>4</v>
          </cell>
          <cell r="F78">
            <v>9</v>
          </cell>
          <cell r="G78">
            <v>15</v>
          </cell>
          <cell r="H78">
            <v>21</v>
          </cell>
          <cell r="I78">
            <v>23</v>
          </cell>
          <cell r="J78">
            <v>23</v>
          </cell>
          <cell r="K78">
            <v>23</v>
          </cell>
          <cell r="L78">
            <v>23</v>
          </cell>
        </row>
        <row r="79">
          <cell r="A79">
            <v>10</v>
          </cell>
          <cell r="B79">
            <v>175</v>
          </cell>
          <cell r="C79" t="str">
            <v>Fe</v>
          </cell>
          <cell r="D79">
            <v>0</v>
          </cell>
          <cell r="E79">
            <v>7</v>
          </cell>
          <cell r="F79">
            <v>12</v>
          </cell>
          <cell r="G79">
            <v>17</v>
          </cell>
          <cell r="H79">
            <v>22</v>
          </cell>
          <cell r="I79">
            <v>24</v>
          </cell>
          <cell r="J79">
            <v>24</v>
          </cell>
          <cell r="K79">
            <v>24</v>
          </cell>
          <cell r="L79">
            <v>24</v>
          </cell>
        </row>
        <row r="80">
          <cell r="A80">
            <v>11</v>
          </cell>
          <cell r="B80">
            <v>125</v>
          </cell>
          <cell r="C80" t="str">
            <v>Al</v>
          </cell>
          <cell r="D80" t="str">
            <v>Folie</v>
          </cell>
          <cell r="E80">
            <v>2</v>
          </cell>
          <cell r="F80">
            <v>7</v>
          </cell>
          <cell r="G80">
            <v>13</v>
          </cell>
          <cell r="H80">
            <v>19</v>
          </cell>
          <cell r="I80">
            <v>22</v>
          </cell>
          <cell r="J80">
            <v>23</v>
          </cell>
          <cell r="K80">
            <v>23</v>
          </cell>
          <cell r="L80">
            <v>23</v>
          </cell>
        </row>
        <row r="81">
          <cell r="A81">
            <v>12</v>
          </cell>
          <cell r="B81">
            <v>125</v>
          </cell>
          <cell r="C81" t="str">
            <v>Fe</v>
          </cell>
          <cell r="D81" t="str">
            <v>Folie</v>
          </cell>
          <cell r="E81">
            <v>6</v>
          </cell>
          <cell r="F81">
            <v>14</v>
          </cell>
          <cell r="G81">
            <v>19</v>
          </cell>
          <cell r="H81">
            <v>22</v>
          </cell>
          <cell r="I81">
            <v>23</v>
          </cell>
          <cell r="J81">
            <v>23</v>
          </cell>
          <cell r="K81">
            <v>23</v>
          </cell>
          <cell r="L81">
            <v>23</v>
          </cell>
        </row>
        <row r="82">
          <cell r="A82">
            <v>13</v>
          </cell>
          <cell r="B82">
            <v>150</v>
          </cell>
          <cell r="C82" t="str">
            <v>Al</v>
          </cell>
          <cell r="D82" t="str">
            <v>Folie</v>
          </cell>
          <cell r="E82">
            <v>4</v>
          </cell>
          <cell r="F82">
            <v>10</v>
          </cell>
          <cell r="G82">
            <v>15</v>
          </cell>
          <cell r="H82">
            <v>20</v>
          </cell>
          <cell r="I82">
            <v>23</v>
          </cell>
          <cell r="J82">
            <v>24</v>
          </cell>
          <cell r="K82">
            <v>24</v>
          </cell>
          <cell r="L82">
            <v>24</v>
          </cell>
        </row>
        <row r="83">
          <cell r="A83">
            <v>14</v>
          </cell>
          <cell r="B83">
            <v>150</v>
          </cell>
          <cell r="C83" t="str">
            <v>Fe</v>
          </cell>
          <cell r="D83" t="str">
            <v>Folie</v>
          </cell>
          <cell r="E83">
            <v>8</v>
          </cell>
          <cell r="F83">
            <v>15</v>
          </cell>
          <cell r="G83">
            <v>21</v>
          </cell>
          <cell r="H83">
            <v>24</v>
          </cell>
          <cell r="I83">
            <v>25</v>
          </cell>
          <cell r="J83">
            <v>25</v>
          </cell>
          <cell r="K83">
            <v>25</v>
          </cell>
          <cell r="L83">
            <v>25</v>
          </cell>
        </row>
        <row r="84">
          <cell r="A84">
            <v>15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pings waarden"/>
    </sheetNames>
    <sheetDataSet>
      <sheetData sheetId="0">
        <row r="3">
          <cell r="D3">
            <v>63</v>
          </cell>
          <cell r="E3">
            <v>125</v>
          </cell>
          <cell r="F3">
            <v>250</v>
          </cell>
          <cell r="G3">
            <v>500</v>
          </cell>
          <cell r="H3">
            <v>1000</v>
          </cell>
          <cell r="I3">
            <v>2000</v>
          </cell>
          <cell r="J3">
            <v>4000</v>
          </cell>
          <cell r="K3">
            <v>8000</v>
          </cell>
        </row>
        <row r="4">
          <cell r="A4">
            <v>500</v>
          </cell>
          <cell r="D4">
            <v>-3</v>
          </cell>
          <cell r="E4">
            <v>-5</v>
          </cell>
          <cell r="F4">
            <v>-10</v>
          </cell>
          <cell r="G4">
            <v>-17</v>
          </cell>
          <cell r="H4">
            <v>-24</v>
          </cell>
          <cell r="I4">
            <v>-20</v>
          </cell>
          <cell r="J4">
            <v>-14</v>
          </cell>
          <cell r="K4">
            <v>-11</v>
          </cell>
        </row>
        <row r="5">
          <cell r="A5">
            <v>750</v>
          </cell>
          <cell r="D5">
            <v>-3</v>
          </cell>
          <cell r="E5">
            <v>-6</v>
          </cell>
          <cell r="F5">
            <v>-13</v>
          </cell>
          <cell r="G5">
            <v>-24</v>
          </cell>
          <cell r="H5">
            <v>-32</v>
          </cell>
          <cell r="I5">
            <v>-26</v>
          </cell>
          <cell r="J5">
            <v>-16</v>
          </cell>
          <cell r="K5">
            <v>-12</v>
          </cell>
        </row>
        <row r="6">
          <cell r="A6">
            <v>1000</v>
          </cell>
          <cell r="D6">
            <v>-4</v>
          </cell>
          <cell r="E6">
            <v>-8</v>
          </cell>
          <cell r="F6">
            <v>-17</v>
          </cell>
          <cell r="G6">
            <v>-30</v>
          </cell>
          <cell r="H6">
            <v>-40</v>
          </cell>
          <cell r="I6">
            <v>-32</v>
          </cell>
          <cell r="J6">
            <v>-19</v>
          </cell>
          <cell r="K6">
            <v>-13</v>
          </cell>
        </row>
        <row r="7">
          <cell r="A7">
            <v>1250</v>
          </cell>
          <cell r="D7">
            <v>-5</v>
          </cell>
          <cell r="E7">
            <v>-10</v>
          </cell>
          <cell r="F7">
            <v>-20</v>
          </cell>
          <cell r="G7">
            <v>-35</v>
          </cell>
          <cell r="H7">
            <v>-49</v>
          </cell>
          <cell r="I7">
            <v>-38</v>
          </cell>
          <cell r="J7">
            <v>-22</v>
          </cell>
          <cell r="K7">
            <v>-15</v>
          </cell>
        </row>
        <row r="8">
          <cell r="A8">
            <v>1500</v>
          </cell>
          <cell r="D8">
            <v>-6</v>
          </cell>
          <cell r="E8">
            <v>-14</v>
          </cell>
          <cell r="F8">
            <v>-23</v>
          </cell>
          <cell r="G8">
            <v>-41</v>
          </cell>
          <cell r="H8">
            <v>-50</v>
          </cell>
          <cell r="I8">
            <v>-44</v>
          </cell>
          <cell r="J8">
            <v>-25</v>
          </cell>
          <cell r="K8">
            <v>-17</v>
          </cell>
        </row>
        <row r="9">
          <cell r="A9">
            <v>1750</v>
          </cell>
          <cell r="D9">
            <v>-7</v>
          </cell>
          <cell r="E9">
            <v>-16</v>
          </cell>
          <cell r="F9">
            <v>-27</v>
          </cell>
          <cell r="G9">
            <v>-47</v>
          </cell>
          <cell r="H9">
            <v>-50</v>
          </cell>
          <cell r="I9">
            <v>-50</v>
          </cell>
          <cell r="J9">
            <v>-27</v>
          </cell>
          <cell r="K9">
            <v>-18</v>
          </cell>
        </row>
        <row r="10">
          <cell r="A10">
            <v>2000</v>
          </cell>
          <cell r="D10">
            <v>-7</v>
          </cell>
          <cell r="E10">
            <v>-17</v>
          </cell>
          <cell r="F10">
            <v>-30</v>
          </cell>
          <cell r="G10">
            <v>-50</v>
          </cell>
          <cell r="H10">
            <v>-50</v>
          </cell>
          <cell r="I10">
            <v>-50</v>
          </cell>
          <cell r="J10">
            <v>-30</v>
          </cell>
          <cell r="K10">
            <v>-20</v>
          </cell>
        </row>
        <row r="11">
          <cell r="A11">
            <v>2250</v>
          </cell>
          <cell r="D11">
            <v>-8</v>
          </cell>
          <cell r="E11">
            <v>-18</v>
          </cell>
          <cell r="F11">
            <v>-33</v>
          </cell>
          <cell r="G11">
            <v>-50</v>
          </cell>
          <cell r="H11">
            <v>-50</v>
          </cell>
          <cell r="I11">
            <v>-50</v>
          </cell>
          <cell r="J11">
            <v>-32</v>
          </cell>
          <cell r="K11">
            <v>-21</v>
          </cell>
        </row>
        <row r="12">
          <cell r="A12">
            <v>2500</v>
          </cell>
          <cell r="D12">
            <v>-8</v>
          </cell>
          <cell r="E12">
            <v>-19</v>
          </cell>
          <cell r="F12">
            <v>-36</v>
          </cell>
          <cell r="G12">
            <v>-50</v>
          </cell>
          <cell r="H12">
            <v>-50</v>
          </cell>
          <cell r="I12">
            <v>-50</v>
          </cell>
          <cell r="J12">
            <v>-35</v>
          </cell>
          <cell r="K12">
            <v>-22</v>
          </cell>
        </row>
        <row r="13">
          <cell r="A13">
            <v>2750</v>
          </cell>
          <cell r="D13">
            <v>-8</v>
          </cell>
          <cell r="E13">
            <v>-20</v>
          </cell>
          <cell r="F13">
            <v>-38</v>
          </cell>
          <cell r="G13">
            <v>-50</v>
          </cell>
          <cell r="H13">
            <v>-50</v>
          </cell>
          <cell r="I13">
            <v>-50</v>
          </cell>
          <cell r="J13">
            <v>-37</v>
          </cell>
          <cell r="K13">
            <v>-23</v>
          </cell>
        </row>
        <row r="14">
          <cell r="A14">
            <v>3000</v>
          </cell>
          <cell r="D14">
            <v>-9</v>
          </cell>
          <cell r="E14">
            <v>-21</v>
          </cell>
          <cell r="F14">
            <v>-39</v>
          </cell>
          <cell r="G14">
            <v>-50</v>
          </cell>
          <cell r="H14">
            <v>-50</v>
          </cell>
          <cell r="I14">
            <v>-50</v>
          </cell>
          <cell r="J14">
            <v>-38</v>
          </cell>
          <cell r="K14">
            <v>-23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Blad1"/>
    </sheetNames>
    <sheetDataSet>
      <sheetData sheetId="0">
        <row r="3">
          <cell r="E3" t="str">
            <v>T1A</v>
          </cell>
          <cell r="F3" t="str">
            <v>T1B</v>
          </cell>
          <cell r="G3" t="str">
            <v>T1E</v>
          </cell>
          <cell r="H3" t="str">
            <v>T12A</v>
          </cell>
          <cell r="I3" t="str">
            <v>T16B</v>
          </cell>
          <cell r="J3" t="str">
            <v>T17B</v>
          </cell>
          <cell r="K3" t="str">
            <v>T20B</v>
          </cell>
          <cell r="L3" t="str">
            <v>T21E</v>
          </cell>
          <cell r="M3" t="str">
            <v>T21F</v>
          </cell>
          <cell r="N3" t="str">
            <v>T22B</v>
          </cell>
          <cell r="O3" t="str">
            <v>T22C</v>
          </cell>
          <cell r="P3" t="str">
            <v>T25B</v>
          </cell>
          <cell r="Q3" t="str">
            <v>T26</v>
          </cell>
          <cell r="R3" t="str">
            <v>T27</v>
          </cell>
          <cell r="S3" t="str">
            <v>T28</v>
          </cell>
          <cell r="T3" t="str">
            <v>T31A</v>
          </cell>
          <cell r="U3" t="str">
            <v>T31B</v>
          </cell>
          <cell r="V3" t="str">
            <v>T31C</v>
          </cell>
          <cell r="W3" t="str">
            <v>T31D</v>
          </cell>
          <cell r="X3" t="str">
            <v>T31E</v>
          </cell>
          <cell r="Y3" t="str">
            <v>T32</v>
          </cell>
          <cell r="Z3" t="str">
            <v>T33</v>
          </cell>
          <cell r="AA3" t="str">
            <v>T34</v>
          </cell>
          <cell r="AB3" t="str">
            <v>T35A</v>
          </cell>
          <cell r="AC3" t="str">
            <v>T35B</v>
          </cell>
          <cell r="AD3" t="str">
            <v>T35C</v>
          </cell>
          <cell r="AE3" t="str">
            <v>T35D</v>
          </cell>
          <cell r="AF3" t="str">
            <v>T36</v>
          </cell>
          <cell r="AG3" t="str">
            <v>T36A</v>
          </cell>
          <cell r="AH3" t="str">
            <v>Gal</v>
          </cell>
          <cell r="AI3" t="str">
            <v>GalS</v>
          </cell>
          <cell r="AJ3" t="str">
            <v>GW</v>
          </cell>
        </row>
        <row r="4">
          <cell r="E4">
            <v>1000</v>
          </cell>
          <cell r="F4">
            <v>1000</v>
          </cell>
          <cell r="G4">
            <v>1000</v>
          </cell>
          <cell r="H4">
            <v>1000</v>
          </cell>
          <cell r="I4">
            <v>1000</v>
          </cell>
          <cell r="J4">
            <v>1000</v>
          </cell>
          <cell r="K4">
            <v>1000</v>
          </cell>
          <cell r="L4">
            <v>1000</v>
          </cell>
          <cell r="M4">
            <v>1000</v>
          </cell>
          <cell r="N4">
            <v>1000</v>
          </cell>
          <cell r="O4">
            <v>1000</v>
          </cell>
          <cell r="P4">
            <v>758</v>
          </cell>
          <cell r="Q4">
            <v>1000</v>
          </cell>
          <cell r="R4">
            <v>1000</v>
          </cell>
          <cell r="S4">
            <v>1000</v>
          </cell>
          <cell r="T4">
            <v>1000</v>
          </cell>
          <cell r="U4">
            <v>1000</v>
          </cell>
          <cell r="V4">
            <v>1000</v>
          </cell>
          <cell r="W4">
            <v>1000</v>
          </cell>
          <cell r="X4">
            <v>1000</v>
          </cell>
          <cell r="Y4">
            <v>1000</v>
          </cell>
          <cell r="Z4">
            <v>1000</v>
          </cell>
          <cell r="AA4">
            <v>1000</v>
          </cell>
          <cell r="AB4">
            <v>1000</v>
          </cell>
          <cell r="AC4">
            <v>1000</v>
          </cell>
          <cell r="AD4">
            <v>1000</v>
          </cell>
          <cell r="AE4">
            <v>1000</v>
          </cell>
          <cell r="AF4">
            <v>1000</v>
          </cell>
          <cell r="AG4">
            <v>1000</v>
          </cell>
          <cell r="AH4">
            <v>1200</v>
          </cell>
          <cell r="AI4">
            <v>1200</v>
          </cell>
          <cell r="AJ4">
            <v>1000</v>
          </cell>
        </row>
        <row r="5">
          <cell r="E5">
            <v>1480</v>
          </cell>
          <cell r="F5">
            <v>1480</v>
          </cell>
          <cell r="G5">
            <v>1480</v>
          </cell>
          <cell r="H5">
            <v>1480</v>
          </cell>
          <cell r="I5">
            <v>1480</v>
          </cell>
          <cell r="J5">
            <v>1480</v>
          </cell>
          <cell r="K5">
            <v>1480</v>
          </cell>
          <cell r="L5">
            <v>1480</v>
          </cell>
          <cell r="M5">
            <v>1480</v>
          </cell>
          <cell r="N5">
            <v>1480</v>
          </cell>
          <cell r="O5">
            <v>1480</v>
          </cell>
          <cell r="P5">
            <v>1465</v>
          </cell>
          <cell r="Q5">
            <v>1480</v>
          </cell>
          <cell r="R5">
            <v>1480</v>
          </cell>
          <cell r="S5">
            <v>1480</v>
          </cell>
          <cell r="T5">
            <v>1480</v>
          </cell>
          <cell r="U5">
            <v>1480</v>
          </cell>
          <cell r="V5">
            <v>1480</v>
          </cell>
          <cell r="W5">
            <v>1480</v>
          </cell>
          <cell r="X5">
            <v>1480</v>
          </cell>
          <cell r="Y5">
            <v>1480</v>
          </cell>
          <cell r="Z5">
            <v>1480</v>
          </cell>
          <cell r="AA5">
            <v>1480</v>
          </cell>
          <cell r="AB5">
            <v>1480</v>
          </cell>
          <cell r="AC5">
            <v>1480</v>
          </cell>
          <cell r="AD5">
            <v>1480</v>
          </cell>
          <cell r="AE5">
            <v>1480</v>
          </cell>
          <cell r="AF5">
            <v>1480</v>
          </cell>
          <cell r="AG5">
            <v>1480</v>
          </cell>
          <cell r="AH5">
            <v>1465</v>
          </cell>
          <cell r="AI5">
            <v>1465</v>
          </cell>
          <cell r="AJ5">
            <v>1480</v>
          </cell>
        </row>
        <row r="6">
          <cell r="E6">
            <v>1.2050000000000001</v>
          </cell>
          <cell r="F6">
            <v>1.2050000000000001</v>
          </cell>
          <cell r="G6">
            <v>1.2050000000000001</v>
          </cell>
          <cell r="H6">
            <v>1.2050000000000001</v>
          </cell>
          <cell r="I6">
            <v>1.2050000000000001</v>
          </cell>
          <cell r="J6">
            <v>1.2050000000000001</v>
          </cell>
          <cell r="K6">
            <v>1.2050000000000001</v>
          </cell>
          <cell r="L6">
            <v>1.2050000000000001</v>
          </cell>
          <cell r="M6">
            <v>1.2050000000000001</v>
          </cell>
          <cell r="N6">
            <v>1.2050000000000001</v>
          </cell>
          <cell r="O6">
            <v>1.2050000000000001</v>
          </cell>
          <cell r="P6">
            <v>1.2050000000000001</v>
          </cell>
          <cell r="Q6">
            <v>1.2050000000000001</v>
          </cell>
          <cell r="R6">
            <v>1.2050000000000001</v>
          </cell>
          <cell r="S6">
            <v>1.2050000000000001</v>
          </cell>
          <cell r="T6">
            <v>1.2050000000000001</v>
          </cell>
          <cell r="U6">
            <v>1.2050000000000001</v>
          </cell>
          <cell r="V6">
            <v>1.2050000000000001</v>
          </cell>
          <cell r="W6">
            <v>1.2050000000000001</v>
          </cell>
          <cell r="X6">
            <v>1.2050000000000001</v>
          </cell>
          <cell r="Y6">
            <v>1.2050000000000001</v>
          </cell>
          <cell r="Z6">
            <v>1.2050000000000001</v>
          </cell>
          <cell r="AA6">
            <v>1.2050000000000001</v>
          </cell>
          <cell r="AB6">
            <v>1.2050000000000001</v>
          </cell>
          <cell r="AC6">
            <v>1.2050000000000001</v>
          </cell>
          <cell r="AD6">
            <v>1.2050000000000001</v>
          </cell>
          <cell r="AE6">
            <v>1.2050000000000001</v>
          </cell>
          <cell r="AF6">
            <v>1.2050000000000001</v>
          </cell>
          <cell r="AG6">
            <v>1.2050000000000001</v>
          </cell>
          <cell r="AH6">
            <v>1.2</v>
          </cell>
          <cell r="AI6">
            <v>1.2</v>
          </cell>
          <cell r="AJ6">
            <v>1.2050000000000001</v>
          </cell>
        </row>
        <row r="7">
          <cell r="E7">
            <v>605.40540540540542</v>
          </cell>
          <cell r="F7">
            <v>679.01234567901236</v>
          </cell>
          <cell r="G7">
            <v>617.28395061728395</v>
          </cell>
          <cell r="H7">
            <v>897.22675367047304</v>
          </cell>
          <cell r="I7">
            <v>291.26213592233012</v>
          </cell>
          <cell r="J7">
            <v>738.255033557047</v>
          </cell>
          <cell r="K7">
            <v>472.44094488188978</v>
          </cell>
          <cell r="L7">
            <v>755.55555555555554</v>
          </cell>
          <cell r="M7">
            <v>755.55555555555554</v>
          </cell>
          <cell r="N7">
            <v>964.91228070175441</v>
          </cell>
          <cell r="O7">
            <v>964.91228070175441</v>
          </cell>
          <cell r="P7">
            <v>584</v>
          </cell>
          <cell r="Q7">
            <v>349.92887624466573</v>
          </cell>
          <cell r="R7">
            <v>285.71428571428572</v>
          </cell>
          <cell r="S7">
            <v>477.27272727272725</v>
          </cell>
          <cell r="T7">
            <v>770.44854881266485</v>
          </cell>
          <cell r="U7">
            <v>770.44854881266485</v>
          </cell>
          <cell r="V7">
            <v>770.44854881266485</v>
          </cell>
          <cell r="W7">
            <v>770.44854881266485</v>
          </cell>
          <cell r="X7">
            <v>770.44854881266485</v>
          </cell>
          <cell r="Y7">
            <v>730</v>
          </cell>
          <cell r="Z7">
            <v>1013.1926121372031</v>
          </cell>
          <cell r="AA7">
            <v>1013.1926121372031</v>
          </cell>
          <cell r="AB7">
            <v>233.3</v>
          </cell>
          <cell r="AC7">
            <v>233.3</v>
          </cell>
          <cell r="AD7">
            <v>233.3</v>
          </cell>
          <cell r="AE7">
            <v>303.33300000000003</v>
          </cell>
          <cell r="AF7">
            <v>523.68421052631584</v>
          </cell>
          <cell r="AG7">
            <v>523.68421052631584</v>
          </cell>
          <cell r="AH7">
            <v>500</v>
          </cell>
          <cell r="AI7">
            <v>500</v>
          </cell>
          <cell r="AJ7">
            <v>127.83505154639175</v>
          </cell>
        </row>
        <row r="8">
          <cell r="E8">
            <v>832.43243243243239</v>
          </cell>
          <cell r="F8">
            <v>814.81481481481478</v>
          </cell>
          <cell r="G8">
            <v>814.81481481481478</v>
          </cell>
          <cell r="H8">
            <v>978.79282218597064</v>
          </cell>
          <cell r="I8">
            <v>359.22330097087377</v>
          </cell>
          <cell r="J8">
            <v>872.48322147651004</v>
          </cell>
          <cell r="K8">
            <v>570.0787401574803</v>
          </cell>
          <cell r="L8">
            <v>673.33333333333337</v>
          </cell>
          <cell r="M8">
            <v>673.33333333333337</v>
          </cell>
          <cell r="N8">
            <v>905.26315789473688</v>
          </cell>
          <cell r="O8">
            <v>905.26315789473688</v>
          </cell>
          <cell r="P8">
            <v>650</v>
          </cell>
          <cell r="Q8">
            <v>438.12233285917495</v>
          </cell>
          <cell r="R8">
            <v>347.82608695652175</v>
          </cell>
          <cell r="S8">
            <v>477.27272727272725</v>
          </cell>
          <cell r="T8">
            <v>857.51978891820579</v>
          </cell>
          <cell r="U8">
            <v>857.51978891820579</v>
          </cell>
          <cell r="V8">
            <v>857.51978891820579</v>
          </cell>
          <cell r="W8">
            <v>857.51978891820579</v>
          </cell>
          <cell r="X8">
            <v>857.51978891820579</v>
          </cell>
          <cell r="Y8">
            <v>812.5</v>
          </cell>
          <cell r="Z8">
            <v>857.51978891820579</v>
          </cell>
          <cell r="AA8">
            <v>857.51978891820579</v>
          </cell>
          <cell r="AB8">
            <v>333.33300000000003</v>
          </cell>
          <cell r="AC8">
            <v>333.33300000000003</v>
          </cell>
          <cell r="AD8">
            <v>333.33300000000003</v>
          </cell>
          <cell r="AE8">
            <v>333.33300000000003</v>
          </cell>
          <cell r="AF8">
            <v>572.36842105263156</v>
          </cell>
          <cell r="AG8">
            <v>572.36842105263156</v>
          </cell>
          <cell r="AH8">
            <v>665</v>
          </cell>
          <cell r="AI8">
            <v>665</v>
          </cell>
          <cell r="AJ8">
            <v>156.70103092783506</v>
          </cell>
        </row>
        <row r="9">
          <cell r="E9">
            <v>372.97297297297297</v>
          </cell>
          <cell r="F9">
            <v>370.37037037037032</v>
          </cell>
          <cell r="G9">
            <v>370.37037037037032</v>
          </cell>
          <cell r="H9">
            <v>489.39641109298532</v>
          </cell>
          <cell r="I9">
            <v>184.46601941747574</v>
          </cell>
          <cell r="J9">
            <v>402.68456375838929</v>
          </cell>
          <cell r="K9">
            <v>275.59055118110234</v>
          </cell>
          <cell r="L9">
            <v>500</v>
          </cell>
          <cell r="M9">
            <v>500</v>
          </cell>
          <cell r="N9">
            <v>659.64912280701753</v>
          </cell>
          <cell r="O9">
            <v>659.64912280701753</v>
          </cell>
          <cell r="P9">
            <v>345</v>
          </cell>
          <cell r="Q9">
            <v>213.37126600284495</v>
          </cell>
          <cell r="R9">
            <v>183.85093167701862</v>
          </cell>
          <cell r="S9">
            <v>378.78787878787881</v>
          </cell>
          <cell r="T9">
            <v>422.16358839050133</v>
          </cell>
          <cell r="U9">
            <v>422.16358839050133</v>
          </cell>
          <cell r="V9">
            <v>455.14511873350921</v>
          </cell>
          <cell r="W9">
            <v>521.10817941952507</v>
          </cell>
          <cell r="X9">
            <v>521.10817941952507</v>
          </cell>
          <cell r="Y9">
            <v>431.25</v>
          </cell>
          <cell r="Z9">
            <v>637.20316622691291</v>
          </cell>
          <cell r="AA9">
            <v>693.93139841688651</v>
          </cell>
          <cell r="AB9">
            <v>175</v>
          </cell>
          <cell r="AC9">
            <v>175</v>
          </cell>
          <cell r="AD9">
            <v>175</v>
          </cell>
          <cell r="AE9">
            <v>175</v>
          </cell>
          <cell r="AF9">
            <v>328.94736842105266</v>
          </cell>
          <cell r="AG9">
            <v>328.94736842105266</v>
          </cell>
          <cell r="AH9">
            <v>300</v>
          </cell>
          <cell r="AI9">
            <v>300</v>
          </cell>
          <cell r="AJ9">
            <v>82.474226804123717</v>
          </cell>
        </row>
        <row r="10">
          <cell r="E10">
            <v>6075.6756756756758</v>
          </cell>
          <cell r="F10">
            <v>5679.0123456790125</v>
          </cell>
          <cell r="G10">
            <v>5679.0123456790125</v>
          </cell>
          <cell r="H10">
            <v>6107.6672104404561</v>
          </cell>
          <cell r="I10">
            <v>4708.7378640776697</v>
          </cell>
          <cell r="J10">
            <v>5704.6979865771818</v>
          </cell>
          <cell r="K10">
            <v>5275.5905511811025</v>
          </cell>
          <cell r="L10">
            <v>5044.4444444444443</v>
          </cell>
          <cell r="M10">
            <v>5044.4444444444443</v>
          </cell>
          <cell r="N10">
            <v>4666.6666666666661</v>
          </cell>
          <cell r="O10">
            <v>4666.6666666666661</v>
          </cell>
          <cell r="P10">
            <v>4766</v>
          </cell>
          <cell r="Q10">
            <v>5689.9004267425316</v>
          </cell>
          <cell r="R10">
            <v>4596.2732919254659</v>
          </cell>
          <cell r="S10">
            <v>4742.424242424242</v>
          </cell>
          <cell r="T10">
            <v>6229.5514511873353</v>
          </cell>
          <cell r="U10">
            <v>6229.5514511873353</v>
          </cell>
          <cell r="V10">
            <v>6229.5514511873353</v>
          </cell>
          <cell r="W10">
            <v>6229.5514511873353</v>
          </cell>
          <cell r="X10">
            <v>6229.5514511873353</v>
          </cell>
          <cell r="Y10">
            <v>5902.5</v>
          </cell>
          <cell r="Z10">
            <v>6229.5514511873353</v>
          </cell>
          <cell r="AA10">
            <v>6229.5514511873353</v>
          </cell>
          <cell r="AB10">
            <v>5016.66</v>
          </cell>
          <cell r="AC10">
            <v>5016.66</v>
          </cell>
          <cell r="AD10">
            <v>5016.66</v>
          </cell>
          <cell r="AE10">
            <v>5016.66</v>
          </cell>
          <cell r="AF10">
            <v>5657.8947368421059</v>
          </cell>
          <cell r="AG10">
            <v>5657.8947368421059</v>
          </cell>
          <cell r="AH10">
            <v>5500</v>
          </cell>
          <cell r="AI10">
            <v>5500</v>
          </cell>
          <cell r="AJ10">
            <v>4117.5257731958754</v>
          </cell>
        </row>
        <row r="11">
          <cell r="E11">
            <v>702.70270270270271</v>
          </cell>
          <cell r="F11">
            <v>685.18518518518511</v>
          </cell>
          <cell r="G11">
            <v>685.18518518518511</v>
          </cell>
          <cell r="H11">
            <v>685.1549755301794</v>
          </cell>
          <cell r="I11">
            <v>689.32038834951459</v>
          </cell>
          <cell r="J11">
            <v>617.44966442953023</v>
          </cell>
          <cell r="K11">
            <v>708.66141732283461</v>
          </cell>
          <cell r="L11">
            <v>622.22222222222217</v>
          </cell>
          <cell r="M11">
            <v>622.22222222222217</v>
          </cell>
          <cell r="N11">
            <v>666.66666666666663</v>
          </cell>
          <cell r="O11">
            <v>666.66666666666663</v>
          </cell>
          <cell r="P11">
            <v>600</v>
          </cell>
          <cell r="Q11">
            <v>625.88904694167854</v>
          </cell>
          <cell r="R11">
            <v>677.01863354037266</v>
          </cell>
          <cell r="S11">
            <v>643.93939393939399</v>
          </cell>
          <cell r="T11">
            <v>791.55672823218993</v>
          </cell>
          <cell r="U11">
            <v>791.55672823218993</v>
          </cell>
          <cell r="V11">
            <v>791.55672823218993</v>
          </cell>
          <cell r="W11">
            <v>791.55672823218993</v>
          </cell>
          <cell r="X11">
            <v>791.55672823218993</v>
          </cell>
          <cell r="Y11">
            <v>750</v>
          </cell>
          <cell r="Z11">
            <v>791.55672823218993</v>
          </cell>
          <cell r="AA11">
            <v>791.55672823218993</v>
          </cell>
          <cell r="AB11">
            <v>792</v>
          </cell>
          <cell r="AC11">
            <v>792</v>
          </cell>
          <cell r="AD11">
            <v>792</v>
          </cell>
          <cell r="AE11">
            <v>1208.3330000000001</v>
          </cell>
          <cell r="AF11">
            <v>710.52631578947364</v>
          </cell>
          <cell r="AG11">
            <v>710.52631578947364</v>
          </cell>
          <cell r="AH11">
            <v>820</v>
          </cell>
          <cell r="AI11">
            <v>820</v>
          </cell>
          <cell r="AJ11">
            <v>618.5567010309278</v>
          </cell>
        </row>
        <row r="12">
          <cell r="E12">
            <v>881.08108108108104</v>
          </cell>
          <cell r="F12">
            <v>850.61728395061721</v>
          </cell>
          <cell r="G12">
            <v>866.66666666666663</v>
          </cell>
          <cell r="H12">
            <v>913.53996737357261</v>
          </cell>
          <cell r="I12">
            <v>666.01941747572812</v>
          </cell>
          <cell r="J12">
            <v>735.57046979865777</v>
          </cell>
          <cell r="K12">
            <v>749.6062992125984</v>
          </cell>
          <cell r="L12">
            <v>706.66666666666663</v>
          </cell>
          <cell r="M12">
            <v>706.66666666666663</v>
          </cell>
          <cell r="N12">
            <v>731.57894736842104</v>
          </cell>
          <cell r="O12">
            <v>731.57894736842104</v>
          </cell>
          <cell r="P12">
            <v>665.6</v>
          </cell>
          <cell r="Q12">
            <v>694.16785206258885</v>
          </cell>
          <cell r="R12">
            <v>648.94409937888202</v>
          </cell>
          <cell r="S12">
            <v>706.06060606060601</v>
          </cell>
          <cell r="T12">
            <v>878.62796833773086</v>
          </cell>
          <cell r="U12">
            <v>878.62796833773086</v>
          </cell>
          <cell r="V12">
            <v>878.62796833773086</v>
          </cell>
          <cell r="W12">
            <v>878.62796833773086</v>
          </cell>
          <cell r="X12">
            <v>878.62796833773086</v>
          </cell>
          <cell r="Y12">
            <v>832.5</v>
          </cell>
          <cell r="Z12">
            <v>877.30870712401054</v>
          </cell>
          <cell r="AA12">
            <v>877.30870712401054</v>
          </cell>
          <cell r="AB12">
            <v>736.66600000000005</v>
          </cell>
          <cell r="AC12">
            <v>736.66600000000005</v>
          </cell>
          <cell r="AD12">
            <v>736.66600000000005</v>
          </cell>
          <cell r="AE12">
            <v>736.66600000000005</v>
          </cell>
          <cell r="AF12">
            <v>750</v>
          </cell>
          <cell r="AG12">
            <v>750</v>
          </cell>
          <cell r="AH12">
            <v>886</v>
          </cell>
          <cell r="AI12">
            <v>886</v>
          </cell>
          <cell r="AJ12">
            <v>573.19587628865975</v>
          </cell>
        </row>
        <row r="13">
          <cell r="E13">
            <v>1063.7837837837837</v>
          </cell>
          <cell r="F13">
            <v>1043.2098765432099</v>
          </cell>
          <cell r="G13">
            <v>1045.679012345679</v>
          </cell>
          <cell r="H13">
            <v>1151.7128874388254</v>
          </cell>
          <cell r="I13">
            <v>728.15533980582529</v>
          </cell>
          <cell r="J13">
            <v>974.49664429530196</v>
          </cell>
          <cell r="K13">
            <v>859.05511811023621</v>
          </cell>
          <cell r="L13">
            <v>844.44444444444446</v>
          </cell>
          <cell r="M13">
            <v>844.44444444444446</v>
          </cell>
          <cell r="N13">
            <v>912.28070175438597</v>
          </cell>
          <cell r="O13">
            <v>912.28070175438597</v>
          </cell>
          <cell r="P13">
            <v>804.2</v>
          </cell>
          <cell r="Q13">
            <v>768.13655761024177</v>
          </cell>
          <cell r="R13">
            <v>701.86335403726707</v>
          </cell>
          <cell r="S13">
            <v>792.42424242424238</v>
          </cell>
          <cell r="T13">
            <v>1060.6860158311345</v>
          </cell>
          <cell r="U13">
            <v>1060.6860158311345</v>
          </cell>
          <cell r="V13">
            <v>1060.6860158311345</v>
          </cell>
          <cell r="W13">
            <v>1060.6860158311345</v>
          </cell>
          <cell r="X13">
            <v>1060.6860158311345</v>
          </cell>
          <cell r="Y13">
            <v>1005</v>
          </cell>
          <cell r="Z13">
            <v>1060.6860158311345</v>
          </cell>
          <cell r="AA13">
            <v>1060.6860158311345</v>
          </cell>
          <cell r="AB13">
            <v>760</v>
          </cell>
          <cell r="AC13">
            <v>760</v>
          </cell>
          <cell r="AD13">
            <v>760</v>
          </cell>
          <cell r="AE13">
            <v>760</v>
          </cell>
          <cell r="AF13">
            <v>859.21052631578948</v>
          </cell>
          <cell r="AG13">
            <v>859.21052631578948</v>
          </cell>
          <cell r="AH13">
            <v>1018</v>
          </cell>
          <cell r="AI13">
            <v>1018</v>
          </cell>
          <cell r="AJ13">
            <v>573.19587628865975</v>
          </cell>
        </row>
        <row r="14">
          <cell r="E14">
            <v>878.91891891891896</v>
          </cell>
          <cell r="F14">
            <v>861.72839506172829</v>
          </cell>
          <cell r="G14">
            <v>859.25925925925924</v>
          </cell>
          <cell r="H14">
            <v>901.30505709624799</v>
          </cell>
          <cell r="I14">
            <v>631.55339805825247</v>
          </cell>
          <cell r="J14">
            <v>837.58389261744969</v>
          </cell>
          <cell r="K14">
            <v>733.85826771653547</v>
          </cell>
          <cell r="L14">
            <v>736.88888888888891</v>
          </cell>
          <cell r="M14">
            <v>736.88888888888891</v>
          </cell>
          <cell r="N14">
            <v>649.12280701754389</v>
          </cell>
          <cell r="O14">
            <v>649.12280701754389</v>
          </cell>
          <cell r="P14">
            <v>665</v>
          </cell>
          <cell r="Q14">
            <v>666.42958748221906</v>
          </cell>
          <cell r="R14">
            <v>618.63354037267084</v>
          </cell>
          <cell r="S14">
            <v>643.93939393939399</v>
          </cell>
          <cell r="T14">
            <v>877.30870712401054</v>
          </cell>
          <cell r="U14">
            <v>877.30870712401054</v>
          </cell>
          <cell r="V14">
            <v>877.30870712401054</v>
          </cell>
          <cell r="W14">
            <v>877.30870712401054</v>
          </cell>
          <cell r="X14">
            <v>877.30870712401054</v>
          </cell>
          <cell r="Y14">
            <v>831.25</v>
          </cell>
          <cell r="Z14">
            <v>877.30870712401054</v>
          </cell>
          <cell r="AA14">
            <v>877.30870712401054</v>
          </cell>
          <cell r="AB14">
            <v>650</v>
          </cell>
          <cell r="AC14">
            <v>650</v>
          </cell>
          <cell r="AD14">
            <v>650</v>
          </cell>
          <cell r="AE14">
            <v>650</v>
          </cell>
          <cell r="AF14">
            <v>733.5526315789474</v>
          </cell>
          <cell r="AG14">
            <v>733.5526315789474</v>
          </cell>
          <cell r="AH14">
            <v>875</v>
          </cell>
          <cell r="AI14">
            <v>875</v>
          </cell>
          <cell r="AJ14">
            <v>536.08247422680415</v>
          </cell>
        </row>
        <row r="15">
          <cell r="E15">
            <v>1295.1351351351352</v>
          </cell>
          <cell r="F15">
            <v>1269.1358024691358</v>
          </cell>
          <cell r="G15">
            <v>1044.4444444444443</v>
          </cell>
          <cell r="H15">
            <v>1390.7014681892333</v>
          </cell>
          <cell r="I15">
            <v>811.16504854368941</v>
          </cell>
          <cell r="J15">
            <v>1273.8255033557048</v>
          </cell>
          <cell r="K15">
            <v>1018.8976377952756</v>
          </cell>
          <cell r="L15">
            <v>1073.5555555555557</v>
          </cell>
          <cell r="M15">
            <v>1073.5555555555557</v>
          </cell>
          <cell r="N15">
            <v>1101.7543859649122</v>
          </cell>
          <cell r="O15">
            <v>1101.7543859649122</v>
          </cell>
          <cell r="P15">
            <v>990</v>
          </cell>
          <cell r="Q15">
            <v>885.49075391180656</v>
          </cell>
          <cell r="R15">
            <v>792.54658385093171</v>
          </cell>
          <cell r="S15">
            <v>882.57575757575762</v>
          </cell>
          <cell r="T15">
            <v>1306.0686015831134</v>
          </cell>
          <cell r="U15">
            <v>1306.0686015831134</v>
          </cell>
          <cell r="V15">
            <v>1306.0686015831134</v>
          </cell>
          <cell r="W15">
            <v>1306.0686015831134</v>
          </cell>
          <cell r="X15">
            <v>1306.0686015831134</v>
          </cell>
          <cell r="Y15">
            <v>1237.5</v>
          </cell>
          <cell r="Z15">
            <v>1306.0686015831134</v>
          </cell>
          <cell r="AA15">
            <v>1306.0686015831134</v>
          </cell>
          <cell r="AB15">
            <v>816.66600000000005</v>
          </cell>
          <cell r="AC15">
            <v>816.66600000000005</v>
          </cell>
          <cell r="AD15">
            <v>816.66600000000005</v>
          </cell>
          <cell r="AE15">
            <v>816.66600000000005</v>
          </cell>
          <cell r="AF15">
            <v>1019.7368421052631</v>
          </cell>
          <cell r="AG15">
            <v>1019.7368421052631</v>
          </cell>
          <cell r="AH15">
            <v>1208</v>
          </cell>
          <cell r="AI15">
            <v>1208</v>
          </cell>
          <cell r="AJ15">
            <v>614.43298969072168</v>
          </cell>
        </row>
        <row r="16">
          <cell r="E16">
            <v>364.32432432432432</v>
          </cell>
          <cell r="F16">
            <v>416.04938271604937</v>
          </cell>
          <cell r="G16">
            <v>385.18518518518516</v>
          </cell>
          <cell r="H16">
            <v>243.06688417618273</v>
          </cell>
          <cell r="I16">
            <v>469.41747572815535</v>
          </cell>
          <cell r="J16">
            <v>351.67785234899333</v>
          </cell>
          <cell r="K16">
            <v>433.07086614173232</v>
          </cell>
          <cell r="L16">
            <v>242.22222222222223</v>
          </cell>
          <cell r="M16">
            <v>242.22222222222223</v>
          </cell>
          <cell r="N16">
            <v>243.85964912280701</v>
          </cell>
          <cell r="O16">
            <v>243.85964912280701</v>
          </cell>
          <cell r="P16">
            <v>220</v>
          </cell>
          <cell r="Q16">
            <v>470.83926031294448</v>
          </cell>
          <cell r="R16">
            <v>414.28571428571428</v>
          </cell>
          <cell r="S16">
            <v>421.21212121212119</v>
          </cell>
          <cell r="T16">
            <v>403.03430079155669</v>
          </cell>
          <cell r="U16">
            <v>403.03430079155669</v>
          </cell>
          <cell r="V16">
            <v>403.03430079155669</v>
          </cell>
          <cell r="W16">
            <v>403.03430079155669</v>
          </cell>
          <cell r="X16">
            <v>403.03430079155669</v>
          </cell>
          <cell r="Y16">
            <v>431.25</v>
          </cell>
          <cell r="Z16">
            <v>411.6</v>
          </cell>
          <cell r="AA16">
            <v>411.6</v>
          </cell>
          <cell r="AB16">
            <v>433.33300000000003</v>
          </cell>
          <cell r="AC16">
            <v>433.33300000000003</v>
          </cell>
          <cell r="AD16">
            <v>433.33300000000003</v>
          </cell>
          <cell r="AE16">
            <v>433.33300000000003</v>
          </cell>
          <cell r="AF16">
            <v>425.00000000000006</v>
          </cell>
          <cell r="AG16">
            <v>425.00000000000006</v>
          </cell>
          <cell r="AH16">
            <v>408</v>
          </cell>
          <cell r="AI16">
            <v>408</v>
          </cell>
          <cell r="AJ16">
            <v>416.49484536082468</v>
          </cell>
        </row>
        <row r="17"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10</v>
          </cell>
          <cell r="J17">
            <v>12</v>
          </cell>
          <cell r="K17">
            <v>10</v>
          </cell>
          <cell r="L17">
            <v>8</v>
          </cell>
          <cell r="M17">
            <v>16</v>
          </cell>
          <cell r="N17">
            <v>24</v>
          </cell>
          <cell r="O17">
            <v>12</v>
          </cell>
          <cell r="P17">
            <v>12</v>
          </cell>
          <cell r="Q17">
            <v>10</v>
          </cell>
          <cell r="R17">
            <v>16</v>
          </cell>
          <cell r="S17">
            <v>8</v>
          </cell>
          <cell r="T17">
            <v>8</v>
          </cell>
          <cell r="U17">
            <v>8</v>
          </cell>
          <cell r="V17">
            <v>8</v>
          </cell>
          <cell r="W17">
            <v>8</v>
          </cell>
          <cell r="X17">
            <v>8</v>
          </cell>
          <cell r="Y17">
            <v>12</v>
          </cell>
          <cell r="Z17">
            <v>8</v>
          </cell>
          <cell r="AA17">
            <v>8</v>
          </cell>
          <cell r="AB17">
            <v>8</v>
          </cell>
          <cell r="AC17">
            <v>8</v>
          </cell>
          <cell r="AD17">
            <v>8</v>
          </cell>
          <cell r="AE17">
            <v>8</v>
          </cell>
          <cell r="AF17">
            <v>10</v>
          </cell>
          <cell r="AG17">
            <v>10</v>
          </cell>
          <cell r="AH17">
            <v>16</v>
          </cell>
          <cell r="AI17">
            <v>16</v>
          </cell>
          <cell r="AJ17">
            <v>12</v>
          </cell>
        </row>
        <row r="18">
          <cell r="E18">
            <v>132.97297297297297</v>
          </cell>
          <cell r="F18">
            <v>129.62962962962962</v>
          </cell>
          <cell r="G18">
            <v>129.62962962962962</v>
          </cell>
          <cell r="H18">
            <v>187.60195758564439</v>
          </cell>
          <cell r="I18">
            <v>32.524271844660191</v>
          </cell>
          <cell r="J18">
            <v>134.2281879194631</v>
          </cell>
          <cell r="K18">
            <v>126.77165354330708</v>
          </cell>
          <cell r="L18">
            <v>160</v>
          </cell>
          <cell r="M18">
            <v>160</v>
          </cell>
          <cell r="N18">
            <v>321.05263157894734</v>
          </cell>
          <cell r="O18">
            <v>321.05263157894734</v>
          </cell>
          <cell r="P18">
            <v>194</v>
          </cell>
          <cell r="Q18">
            <v>60.73968705547653</v>
          </cell>
          <cell r="R18">
            <v>54.658385093167702</v>
          </cell>
          <cell r="S18">
            <v>234.84848484848484</v>
          </cell>
          <cell r="T18">
            <v>197.88918205804748</v>
          </cell>
          <cell r="U18">
            <v>213.72031662269129</v>
          </cell>
          <cell r="V18">
            <v>246.70184696569922</v>
          </cell>
          <cell r="W18">
            <v>278.3641160949868</v>
          </cell>
          <cell r="X18">
            <v>310.02638522427441</v>
          </cell>
          <cell r="Y18">
            <v>190.625</v>
          </cell>
          <cell r="Z18">
            <v>313.98416886543538</v>
          </cell>
          <cell r="AA18">
            <v>370.71240105540898</v>
          </cell>
          <cell r="AB18">
            <v>108.333</v>
          </cell>
          <cell r="AC18">
            <v>108.333</v>
          </cell>
          <cell r="AD18">
            <v>108.333</v>
          </cell>
          <cell r="AE18">
            <v>108.333</v>
          </cell>
          <cell r="AF18">
            <v>156.57894736842104</v>
          </cell>
          <cell r="AG18">
            <v>133.55263157894737</v>
          </cell>
          <cell r="AH18">
            <v>120</v>
          </cell>
          <cell r="AI18">
            <v>72</v>
          </cell>
          <cell r="AJ18">
            <v>20.618556701030929</v>
          </cell>
        </row>
        <row r="19">
          <cell r="E19">
            <v>132.97297297297297</v>
          </cell>
          <cell r="F19">
            <v>129.62962962962962</v>
          </cell>
          <cell r="G19">
            <v>129.62962962962962</v>
          </cell>
          <cell r="H19">
            <v>187.60195758564439</v>
          </cell>
          <cell r="I19">
            <v>14.563106796116505</v>
          </cell>
          <cell r="J19">
            <v>134.2281879194631</v>
          </cell>
          <cell r="K19">
            <v>71.653543307086608</v>
          </cell>
          <cell r="L19">
            <v>124.44444444444444</v>
          </cell>
          <cell r="M19">
            <v>124.44444444444444</v>
          </cell>
          <cell r="N19">
            <v>271.92982456140351</v>
          </cell>
          <cell r="O19">
            <v>271.92982456140351</v>
          </cell>
          <cell r="P19">
            <v>122</v>
          </cell>
          <cell r="Q19">
            <v>28.87624466571835</v>
          </cell>
          <cell r="R19">
            <v>23.602484472049689</v>
          </cell>
          <cell r="S19">
            <v>151.5151515151515</v>
          </cell>
          <cell r="T19">
            <v>102.9023746701847</v>
          </cell>
          <cell r="U19">
            <v>118.7335092348285</v>
          </cell>
          <cell r="V19">
            <v>151.71503957783642</v>
          </cell>
          <cell r="W19">
            <v>183.377308707124</v>
          </cell>
          <cell r="X19">
            <v>215.03957783641161</v>
          </cell>
          <cell r="Y19">
            <v>88.75</v>
          </cell>
          <cell r="Z19">
            <v>233.50923482849603</v>
          </cell>
          <cell r="AA19">
            <v>290.23746701846966</v>
          </cell>
          <cell r="AB19">
            <v>33.332999999999998</v>
          </cell>
          <cell r="AC19">
            <v>50</v>
          </cell>
          <cell r="AD19">
            <v>75</v>
          </cell>
          <cell r="AE19">
            <v>50</v>
          </cell>
          <cell r="AF19">
            <v>62.5</v>
          </cell>
          <cell r="AG19">
            <v>62.5</v>
          </cell>
          <cell r="AH19">
            <v>60</v>
          </cell>
          <cell r="AI19">
            <v>36</v>
          </cell>
          <cell r="AJ19">
            <v>8.2474226804123703</v>
          </cell>
        </row>
        <row r="20">
          <cell r="E20">
            <v>524.32432432432438</v>
          </cell>
          <cell r="F20">
            <v>596.2962962962963</v>
          </cell>
          <cell r="G20">
            <v>512.34567901234561</v>
          </cell>
          <cell r="H20">
            <v>758.56443719412721</v>
          </cell>
          <cell r="I20">
            <v>240.77669902912621</v>
          </cell>
          <cell r="J20">
            <v>624.16107382550331</v>
          </cell>
          <cell r="K20">
            <v>388.97637795275591</v>
          </cell>
          <cell r="L20">
            <v>626.66666666666663</v>
          </cell>
          <cell r="M20">
            <v>626.66666666666663</v>
          </cell>
          <cell r="N20">
            <v>800</v>
          </cell>
          <cell r="O20">
            <v>800</v>
          </cell>
          <cell r="P20">
            <v>430</v>
          </cell>
          <cell r="Q20">
            <v>290.18492176386911</v>
          </cell>
          <cell r="R20">
            <v>288.19875776397515</v>
          </cell>
          <cell r="S20">
            <v>643.93939393939399</v>
          </cell>
          <cell r="T20">
            <v>567.28232189973619</v>
          </cell>
          <cell r="U20">
            <v>567.28232189973619</v>
          </cell>
          <cell r="V20">
            <v>567.28232189973619</v>
          </cell>
          <cell r="W20">
            <v>567.28232189973619</v>
          </cell>
          <cell r="X20">
            <v>567.28232189973619</v>
          </cell>
          <cell r="Y20">
            <v>537.5</v>
          </cell>
          <cell r="Z20">
            <v>659.63060686015831</v>
          </cell>
          <cell r="AA20">
            <v>659.63060686015831</v>
          </cell>
          <cell r="AB20">
            <v>375</v>
          </cell>
          <cell r="AC20">
            <v>375</v>
          </cell>
          <cell r="AD20">
            <v>375</v>
          </cell>
          <cell r="AE20">
            <v>375</v>
          </cell>
          <cell r="AF20">
            <v>442.10526315789474</v>
          </cell>
          <cell r="AG20">
            <v>442.10526315789474</v>
          </cell>
          <cell r="AH20">
            <v>455</v>
          </cell>
          <cell r="AI20">
            <v>455</v>
          </cell>
          <cell r="AJ20">
            <v>127.83505154639175</v>
          </cell>
        </row>
        <row r="21">
          <cell r="E21">
            <v>605.40540540540542</v>
          </cell>
          <cell r="G21">
            <v>592.59259259259261</v>
          </cell>
          <cell r="H21">
            <v>783.03425774877655</v>
          </cell>
          <cell r="I21">
            <v>289.32038834951459</v>
          </cell>
          <cell r="J21">
            <v>644.29530201342277</v>
          </cell>
          <cell r="K21">
            <v>442.51968503937007</v>
          </cell>
          <cell r="L21">
            <v>640</v>
          </cell>
          <cell r="M21">
            <v>640</v>
          </cell>
          <cell r="N21">
            <v>800</v>
          </cell>
          <cell r="O21">
            <v>800</v>
          </cell>
          <cell r="P21">
            <v>460</v>
          </cell>
          <cell r="Q21">
            <v>331.4366998577525</v>
          </cell>
          <cell r="R21">
            <v>511.80124223602485</v>
          </cell>
          <cell r="S21">
            <v>369.69696969696969</v>
          </cell>
          <cell r="T21">
            <v>606.86015831134569</v>
          </cell>
          <cell r="U21">
            <v>606.86015831134569</v>
          </cell>
          <cell r="V21">
            <v>606.86015831134569</v>
          </cell>
          <cell r="W21">
            <v>606.86015831134569</v>
          </cell>
          <cell r="X21">
            <v>606.86015831134569</v>
          </cell>
          <cell r="Y21">
            <v>575</v>
          </cell>
          <cell r="Z21">
            <v>688.65435356200533</v>
          </cell>
          <cell r="AA21">
            <v>688.65435356200533</v>
          </cell>
          <cell r="AB21">
            <v>133.333</v>
          </cell>
          <cell r="AC21">
            <v>133.333</v>
          </cell>
          <cell r="AD21">
            <v>133.333</v>
          </cell>
          <cell r="AE21">
            <v>133.333</v>
          </cell>
          <cell r="AF21">
            <v>464.4736842105263</v>
          </cell>
          <cell r="AG21">
            <v>464.4736842105263</v>
          </cell>
          <cell r="AH21">
            <v>500</v>
          </cell>
          <cell r="AI21">
            <v>500</v>
          </cell>
          <cell r="AJ21">
            <v>167.01030927835052</v>
          </cell>
        </row>
        <row r="22">
          <cell r="E22">
            <v>30</v>
          </cell>
          <cell r="G22">
            <v>30</v>
          </cell>
          <cell r="H22">
            <v>21</v>
          </cell>
          <cell r="I22">
            <v>45</v>
          </cell>
          <cell r="J22">
            <v>27</v>
          </cell>
          <cell r="K22">
            <v>28.5</v>
          </cell>
          <cell r="L22">
            <v>35</v>
          </cell>
          <cell r="M22">
            <v>35</v>
          </cell>
          <cell r="N22">
            <v>20</v>
          </cell>
          <cell r="O22">
            <v>20</v>
          </cell>
          <cell r="P22">
            <v>30</v>
          </cell>
          <cell r="Q22">
            <v>40</v>
          </cell>
          <cell r="R22">
            <v>44</v>
          </cell>
          <cell r="S22">
            <v>1E-4</v>
          </cell>
          <cell r="T22">
            <v>20</v>
          </cell>
          <cell r="U22">
            <v>20</v>
          </cell>
          <cell r="V22">
            <v>20</v>
          </cell>
          <cell r="W22">
            <v>20</v>
          </cell>
          <cell r="X22">
            <v>20</v>
          </cell>
          <cell r="Y22">
            <v>10</v>
          </cell>
          <cell r="Z22">
            <v>10</v>
          </cell>
          <cell r="AA22">
            <v>10</v>
          </cell>
          <cell r="AB22">
            <v>1E-4</v>
          </cell>
          <cell r="AC22">
            <v>1E-4</v>
          </cell>
          <cell r="AD22">
            <v>1E-4</v>
          </cell>
          <cell r="AE22">
            <v>1E-4</v>
          </cell>
          <cell r="AF22">
            <v>29</v>
          </cell>
          <cell r="AG22">
            <v>29</v>
          </cell>
          <cell r="AH22">
            <v>38.4</v>
          </cell>
          <cell r="AI22">
            <v>38.4</v>
          </cell>
          <cell r="AJ22">
            <v>65</v>
          </cell>
        </row>
        <row r="23">
          <cell r="E23">
            <v>30</v>
          </cell>
          <cell r="G23">
            <v>30</v>
          </cell>
          <cell r="H23">
            <v>30</v>
          </cell>
          <cell r="I23">
            <v>40</v>
          </cell>
          <cell r="J23">
            <v>30</v>
          </cell>
          <cell r="K23">
            <v>40</v>
          </cell>
          <cell r="L23">
            <v>58.5</v>
          </cell>
          <cell r="M23">
            <v>58.5</v>
          </cell>
          <cell r="N23">
            <v>25</v>
          </cell>
          <cell r="O23">
            <v>25</v>
          </cell>
          <cell r="P23">
            <v>31</v>
          </cell>
          <cell r="Q23">
            <v>40</v>
          </cell>
          <cell r="R23">
            <v>60</v>
          </cell>
          <cell r="S23">
            <v>1E-4</v>
          </cell>
          <cell r="T23">
            <v>30</v>
          </cell>
          <cell r="U23">
            <v>30</v>
          </cell>
          <cell r="V23">
            <v>30</v>
          </cell>
          <cell r="W23">
            <v>30</v>
          </cell>
          <cell r="X23">
            <v>30</v>
          </cell>
          <cell r="Y23">
            <v>34.5</v>
          </cell>
          <cell r="Z23">
            <v>30</v>
          </cell>
          <cell r="AA23">
            <v>30</v>
          </cell>
          <cell r="AB23">
            <v>1E-4</v>
          </cell>
          <cell r="AC23">
            <v>1E-4</v>
          </cell>
          <cell r="AD23">
            <v>1E-4</v>
          </cell>
          <cell r="AE23">
            <v>1E-4</v>
          </cell>
          <cell r="AF23">
            <v>40</v>
          </cell>
          <cell r="AG23">
            <v>40</v>
          </cell>
          <cell r="AH23">
            <v>71</v>
          </cell>
          <cell r="AI23">
            <v>71</v>
          </cell>
          <cell r="AJ23">
            <v>90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E25">
            <v>3.83</v>
          </cell>
          <cell r="G25">
            <v>2.8514141019882615</v>
          </cell>
          <cell r="H25">
            <v>6.58</v>
          </cell>
          <cell r="I25">
            <v>0.23</v>
          </cell>
          <cell r="J25">
            <v>4.6399999999999997</v>
          </cell>
          <cell r="K25">
            <v>1.68</v>
          </cell>
          <cell r="L25">
            <v>2.77</v>
          </cell>
          <cell r="M25">
            <v>4.99</v>
          </cell>
          <cell r="N25">
            <v>3.7855555555555553</v>
          </cell>
          <cell r="O25">
            <v>4.2061111111111114</v>
          </cell>
          <cell r="P25">
            <v>0.5</v>
          </cell>
          <cell r="Q25">
            <v>0.39</v>
          </cell>
          <cell r="R25">
            <v>0.7</v>
          </cell>
          <cell r="S25">
            <v>1.93</v>
          </cell>
          <cell r="T25">
            <v>2.0876562174896227</v>
          </cell>
          <cell r="U25">
            <v>2.5515798213762055</v>
          </cell>
          <cell r="V25">
            <v>3.2474652272060798</v>
          </cell>
          <cell r="W25">
            <v>2.3196180194329141</v>
          </cell>
          <cell r="X25">
            <v>3.0155034252627884</v>
          </cell>
          <cell r="Y25">
            <v>4.6399999999999997</v>
          </cell>
          <cell r="Z25">
            <v>4.6399999999999997</v>
          </cell>
          <cell r="AA25">
            <v>6.03</v>
          </cell>
          <cell r="AB25">
            <v>0.42</v>
          </cell>
          <cell r="AC25">
            <v>0.47</v>
          </cell>
          <cell r="AD25">
            <v>0.47</v>
          </cell>
          <cell r="AE25">
            <v>0.47</v>
          </cell>
          <cell r="AF25">
            <v>1.61</v>
          </cell>
          <cell r="AG25">
            <v>1.5</v>
          </cell>
          <cell r="AH25">
            <v>1</v>
          </cell>
          <cell r="AI25">
            <v>5.0599999999999999E-2</v>
          </cell>
          <cell r="AJ25">
            <v>5.0599999999999999E-2</v>
          </cell>
        </row>
        <row r="26">
          <cell r="E26">
            <v>4.47</v>
          </cell>
          <cell r="F26">
            <v>0.95047136732942039</v>
          </cell>
          <cell r="G26">
            <v>3.8018854693176816</v>
          </cell>
          <cell r="H26">
            <v>8.33</v>
          </cell>
          <cell r="I26">
            <v>0.46</v>
          </cell>
          <cell r="J26">
            <v>5.86</v>
          </cell>
          <cell r="K26">
            <v>1.97</v>
          </cell>
          <cell r="L26">
            <v>4.43</v>
          </cell>
          <cell r="M26">
            <v>5.54</v>
          </cell>
          <cell r="N26">
            <v>6.309166666666667</v>
          </cell>
          <cell r="O26">
            <v>6.309166666666667</v>
          </cell>
          <cell r="P26">
            <v>1</v>
          </cell>
          <cell r="Q26">
            <v>0.76</v>
          </cell>
          <cell r="R26">
            <v>0.8</v>
          </cell>
          <cell r="S26">
            <v>3.16</v>
          </cell>
          <cell r="T26">
            <v>2.7835416233194969</v>
          </cell>
          <cell r="U26">
            <v>3.2474652272060798</v>
          </cell>
          <cell r="V26">
            <v>3.943350633035954</v>
          </cell>
          <cell r="W26">
            <v>3.2474652272060798</v>
          </cell>
          <cell r="X26">
            <v>3.943350633035954</v>
          </cell>
          <cell r="Y26">
            <v>8.1199999999999992</v>
          </cell>
          <cell r="Z26">
            <v>8.1199999999999992</v>
          </cell>
          <cell r="AA26">
            <v>9.2799999999999994</v>
          </cell>
          <cell r="AB26">
            <v>0.82</v>
          </cell>
          <cell r="AC26">
            <v>0.7</v>
          </cell>
          <cell r="AD26">
            <v>0.94</v>
          </cell>
          <cell r="AE26">
            <v>0.94</v>
          </cell>
          <cell r="AF26">
            <v>2.2999999999999998</v>
          </cell>
          <cell r="AG26">
            <v>2.2999999999999998</v>
          </cell>
          <cell r="AH26">
            <v>2</v>
          </cell>
          <cell r="AI26">
            <v>0.1012</v>
          </cell>
          <cell r="AJ26">
            <v>0.1012</v>
          </cell>
        </row>
        <row r="27">
          <cell r="E27">
            <v>4.82</v>
          </cell>
          <cell r="F27">
            <v>1.9009427346588408</v>
          </cell>
          <cell r="G27">
            <v>4.2771211529823914</v>
          </cell>
          <cell r="H27">
            <v>8.9</v>
          </cell>
          <cell r="I27">
            <v>0.52</v>
          </cell>
          <cell r="J27">
            <v>6.21</v>
          </cell>
          <cell r="K27">
            <v>2.25</v>
          </cell>
          <cell r="L27">
            <v>5.21</v>
          </cell>
          <cell r="M27">
            <v>6.1</v>
          </cell>
          <cell r="N27">
            <v>7.5711111111111107</v>
          </cell>
          <cell r="O27">
            <v>8.4122222222222227</v>
          </cell>
          <cell r="P27">
            <v>1.5</v>
          </cell>
          <cell r="Q27">
            <v>0.92</v>
          </cell>
          <cell r="R27">
            <v>0.85</v>
          </cell>
          <cell r="S27">
            <v>3.58</v>
          </cell>
          <cell r="T27">
            <v>3.4794270291493712</v>
          </cell>
          <cell r="U27">
            <v>3.943350633035954</v>
          </cell>
          <cell r="V27">
            <v>4.6392360388658282</v>
          </cell>
          <cell r="W27">
            <v>4.1753124349792454</v>
          </cell>
          <cell r="X27">
            <v>4.8711978408091197</v>
          </cell>
          <cell r="Y27">
            <v>8.7200000000000006</v>
          </cell>
          <cell r="Z27">
            <v>8.7200000000000006</v>
          </cell>
          <cell r="AA27">
            <v>9.9700000000000006</v>
          </cell>
          <cell r="AB27">
            <v>0.94</v>
          </cell>
          <cell r="AC27">
            <v>0.89</v>
          </cell>
          <cell r="AD27">
            <v>1.08</v>
          </cell>
          <cell r="AE27">
            <v>1.08</v>
          </cell>
          <cell r="AF27">
            <v>2.65</v>
          </cell>
          <cell r="AG27">
            <v>2.5499999999999998</v>
          </cell>
          <cell r="AH27">
            <v>3</v>
          </cell>
          <cell r="AI27">
            <v>0.12640000000000001</v>
          </cell>
          <cell r="AJ27">
            <v>0.12640000000000001</v>
          </cell>
        </row>
        <row r="28">
          <cell r="E28">
            <v>5.21</v>
          </cell>
          <cell r="F28">
            <v>2.8514141019882611</v>
          </cell>
          <cell r="G28">
            <v>4.7523568366471025</v>
          </cell>
          <cell r="H28">
            <v>9.52</v>
          </cell>
          <cell r="I28">
            <v>0.59</v>
          </cell>
          <cell r="J28">
            <v>6.57</v>
          </cell>
          <cell r="K28">
            <v>2.54</v>
          </cell>
          <cell r="L28">
            <v>6.04</v>
          </cell>
          <cell r="M28">
            <v>6.71</v>
          </cell>
          <cell r="N28">
            <v>8.4122222222222227</v>
          </cell>
          <cell r="O28">
            <v>9.4638888888888886</v>
          </cell>
          <cell r="P28">
            <v>2</v>
          </cell>
          <cell r="Q28">
            <v>1.0900000000000001</v>
          </cell>
          <cell r="R28">
            <v>0.91</v>
          </cell>
          <cell r="S28">
            <v>4.04</v>
          </cell>
          <cell r="T28">
            <v>4.1753124349792454</v>
          </cell>
          <cell r="U28">
            <v>4.6392360388658282</v>
          </cell>
          <cell r="V28">
            <v>5.3351214446957025</v>
          </cell>
          <cell r="W28">
            <v>5.1031596427524111</v>
          </cell>
          <cell r="X28">
            <v>5.7990450485822853</v>
          </cell>
          <cell r="Y28">
            <v>9.42</v>
          </cell>
          <cell r="Z28">
            <v>9.42</v>
          </cell>
          <cell r="AA28">
            <v>10.72</v>
          </cell>
          <cell r="AB28">
            <v>1.08</v>
          </cell>
          <cell r="AC28">
            <v>1.1000000000000001</v>
          </cell>
          <cell r="AD28">
            <v>1.26</v>
          </cell>
          <cell r="AE28">
            <v>1.26</v>
          </cell>
          <cell r="AF28">
            <v>3.01</v>
          </cell>
          <cell r="AG28">
            <v>2.83</v>
          </cell>
          <cell r="AH28">
            <v>4</v>
          </cell>
          <cell r="AI28">
            <v>0.1517</v>
          </cell>
          <cell r="AJ28">
            <v>0.1517</v>
          </cell>
        </row>
        <row r="29">
          <cell r="E29">
            <v>5.59</v>
          </cell>
          <cell r="F29">
            <v>3.8018854693176816</v>
          </cell>
          <cell r="G29">
            <v>5.25</v>
          </cell>
          <cell r="H29">
            <v>10.130000000000001</v>
          </cell>
          <cell r="I29">
            <v>0.65</v>
          </cell>
          <cell r="J29">
            <v>6.94</v>
          </cell>
          <cell r="K29">
            <v>2.84</v>
          </cell>
          <cell r="L29">
            <v>6.87</v>
          </cell>
          <cell r="M29">
            <v>7.32</v>
          </cell>
          <cell r="N29">
            <v>9.6741666666666664</v>
          </cell>
          <cell r="O29">
            <v>10.515277777777778</v>
          </cell>
          <cell r="P29">
            <v>2.5</v>
          </cell>
          <cell r="Q29">
            <v>1.27</v>
          </cell>
          <cell r="R29">
            <v>0.98</v>
          </cell>
          <cell r="S29">
            <v>4.5</v>
          </cell>
          <cell r="T29">
            <v>4.8711978408091197</v>
          </cell>
          <cell r="U29">
            <v>5.3351214446957025</v>
          </cell>
          <cell r="V29">
            <v>6.0310068505255767</v>
          </cell>
          <cell r="W29">
            <v>6.0310068505255767</v>
          </cell>
          <cell r="X29">
            <v>6.726892256355451</v>
          </cell>
          <cell r="Y29">
            <v>9.9700000000000006</v>
          </cell>
          <cell r="Z29">
            <v>9.9700000000000006</v>
          </cell>
          <cell r="AA29">
            <v>11.46</v>
          </cell>
          <cell r="AB29">
            <v>1.2</v>
          </cell>
          <cell r="AC29">
            <v>1.31</v>
          </cell>
          <cell r="AD29">
            <v>1.43</v>
          </cell>
          <cell r="AE29">
            <v>1.43</v>
          </cell>
          <cell r="AF29">
            <v>3.38</v>
          </cell>
          <cell r="AG29">
            <v>3.08</v>
          </cell>
          <cell r="AH29">
            <v>4.5</v>
          </cell>
          <cell r="AI29">
            <v>0.17699999999999999</v>
          </cell>
          <cell r="AJ29">
            <v>0.17699999999999999</v>
          </cell>
        </row>
        <row r="30">
          <cell r="E30">
            <v>6.05</v>
          </cell>
          <cell r="F30">
            <v>4.7523568366471016</v>
          </cell>
          <cell r="G30">
            <v>5.702828203976523</v>
          </cell>
          <cell r="H30">
            <v>10.75</v>
          </cell>
          <cell r="I30">
            <v>0.72</v>
          </cell>
          <cell r="J30">
            <v>7.33</v>
          </cell>
          <cell r="K30">
            <v>3.16</v>
          </cell>
          <cell r="L30">
            <v>7.76</v>
          </cell>
          <cell r="M30">
            <v>8.0399999999999991</v>
          </cell>
          <cell r="N30">
            <v>10.515277777777778</v>
          </cell>
          <cell r="O30">
            <v>11.566944444444445</v>
          </cell>
          <cell r="P30">
            <v>3</v>
          </cell>
          <cell r="Q30">
            <v>1.45</v>
          </cell>
          <cell r="R30">
            <v>1.05</v>
          </cell>
          <cell r="S30">
            <v>4.92</v>
          </cell>
          <cell r="T30">
            <v>5.5670832466389939</v>
          </cell>
          <cell r="U30">
            <v>6.0310068505255767</v>
          </cell>
          <cell r="V30">
            <v>6.726892256355451</v>
          </cell>
          <cell r="W30">
            <v>6.9588540582987424</v>
          </cell>
          <cell r="X30">
            <v>7.6547394641286166</v>
          </cell>
          <cell r="Y30">
            <v>10.72</v>
          </cell>
          <cell r="Z30">
            <v>10.72</v>
          </cell>
          <cell r="AA30">
            <v>12.2</v>
          </cell>
          <cell r="AB30">
            <v>1.34</v>
          </cell>
          <cell r="AC30">
            <v>1.52</v>
          </cell>
          <cell r="AD30">
            <v>1.64</v>
          </cell>
          <cell r="AE30">
            <v>1.64</v>
          </cell>
          <cell r="AF30">
            <v>3.75</v>
          </cell>
          <cell r="AG30">
            <v>3.34</v>
          </cell>
          <cell r="AH30">
            <v>5</v>
          </cell>
          <cell r="AI30">
            <v>0.20230000000000001</v>
          </cell>
          <cell r="AJ30">
            <v>0.20230000000000001</v>
          </cell>
        </row>
        <row r="31">
          <cell r="E31">
            <v>6.48</v>
          </cell>
          <cell r="F31">
            <v>5.7028282039765221</v>
          </cell>
          <cell r="G31">
            <v>6.25</v>
          </cell>
          <cell r="H31">
            <v>11.4</v>
          </cell>
          <cell r="I31">
            <v>0.8</v>
          </cell>
          <cell r="J31">
            <v>7.67</v>
          </cell>
          <cell r="K31">
            <v>3.47</v>
          </cell>
          <cell r="L31">
            <v>8.5399999999999991</v>
          </cell>
          <cell r="M31">
            <v>8.81</v>
          </cell>
          <cell r="N31">
            <v>12.197777777777778</v>
          </cell>
          <cell r="O31">
            <v>12.618333333333334</v>
          </cell>
          <cell r="P31">
            <v>3.5</v>
          </cell>
          <cell r="Q31">
            <v>1.65</v>
          </cell>
          <cell r="R31">
            <v>1.1100000000000001</v>
          </cell>
          <cell r="S31">
            <v>5.34</v>
          </cell>
          <cell r="T31">
            <v>6.2629686524688681</v>
          </cell>
          <cell r="U31">
            <v>6.726892256355451</v>
          </cell>
          <cell r="V31">
            <v>7.4227776621853252</v>
          </cell>
          <cell r="W31">
            <v>7.886701266071908</v>
          </cell>
          <cell r="X31">
            <v>8.5825866719017831</v>
          </cell>
          <cell r="Y31">
            <v>11.64</v>
          </cell>
          <cell r="Z31">
            <v>11.64</v>
          </cell>
          <cell r="AA31">
            <v>12.94</v>
          </cell>
          <cell r="AB31">
            <v>1.48</v>
          </cell>
          <cell r="AC31">
            <v>1.94</v>
          </cell>
          <cell r="AD31">
            <v>1.89</v>
          </cell>
          <cell r="AE31">
            <v>1.89</v>
          </cell>
          <cell r="AF31">
            <v>4.1900000000000004</v>
          </cell>
          <cell r="AG31">
            <v>3.77</v>
          </cell>
          <cell r="AH31">
            <v>5.5</v>
          </cell>
          <cell r="AI31">
            <v>0.2276</v>
          </cell>
          <cell r="AJ31">
            <v>0.2276</v>
          </cell>
        </row>
        <row r="32">
          <cell r="E32">
            <v>6.92</v>
          </cell>
          <cell r="F32">
            <v>6.6532995713059426</v>
          </cell>
          <cell r="G32">
            <v>6.6532995713059426</v>
          </cell>
          <cell r="H32">
            <v>12.06</v>
          </cell>
          <cell r="I32">
            <v>0.87</v>
          </cell>
          <cell r="J32">
            <v>8.14</v>
          </cell>
          <cell r="K32">
            <v>3.79</v>
          </cell>
          <cell r="L32">
            <v>9.31</v>
          </cell>
          <cell r="M32">
            <v>9.59</v>
          </cell>
          <cell r="N32">
            <v>12.618333333333334</v>
          </cell>
          <cell r="O32">
            <v>13.67</v>
          </cell>
          <cell r="P32">
            <v>4</v>
          </cell>
          <cell r="Q32">
            <v>1.86</v>
          </cell>
          <cell r="R32">
            <v>1.17</v>
          </cell>
          <cell r="S32">
            <v>5.8</v>
          </cell>
          <cell r="T32">
            <v>6.9588540582987424</v>
          </cell>
          <cell r="U32">
            <v>7.4227776621853252</v>
          </cell>
          <cell r="V32">
            <v>8.1186630680152003</v>
          </cell>
          <cell r="W32">
            <v>8.8145484738450737</v>
          </cell>
          <cell r="X32">
            <v>9.510433879674947</v>
          </cell>
          <cell r="Y32">
            <v>12.34</v>
          </cell>
          <cell r="Z32">
            <v>12.34</v>
          </cell>
          <cell r="AA32">
            <v>13.64</v>
          </cell>
          <cell r="AB32">
            <v>1.64</v>
          </cell>
          <cell r="AC32">
            <v>2.2400000000000002</v>
          </cell>
          <cell r="AD32">
            <v>2.15</v>
          </cell>
          <cell r="AE32">
            <v>2.15</v>
          </cell>
          <cell r="AF32">
            <v>4.63</v>
          </cell>
          <cell r="AG32">
            <v>4.21</v>
          </cell>
          <cell r="AH32">
            <v>6</v>
          </cell>
          <cell r="AI32">
            <v>0.25290000000000001</v>
          </cell>
          <cell r="AJ32">
            <v>0.25290000000000001</v>
          </cell>
        </row>
        <row r="33">
          <cell r="E33">
            <v>7.33</v>
          </cell>
          <cell r="F33">
            <v>7.6037709386353631</v>
          </cell>
          <cell r="G33">
            <v>7.6037709386353631</v>
          </cell>
          <cell r="H33">
            <v>12.72</v>
          </cell>
          <cell r="I33">
            <v>0.96</v>
          </cell>
          <cell r="J33">
            <v>8.6</v>
          </cell>
          <cell r="K33">
            <v>4.0999999999999996</v>
          </cell>
          <cell r="L33">
            <v>9.92</v>
          </cell>
          <cell r="M33">
            <v>10.37</v>
          </cell>
          <cell r="N33">
            <v>13.880277777777778</v>
          </cell>
          <cell r="O33">
            <v>14.721388888888889</v>
          </cell>
          <cell r="P33">
            <v>4.5</v>
          </cell>
          <cell r="Q33">
            <v>2.06</v>
          </cell>
          <cell r="R33">
            <v>1.23</v>
          </cell>
          <cell r="S33">
            <v>6.22</v>
          </cell>
          <cell r="T33">
            <v>7.6547394641286166</v>
          </cell>
          <cell r="U33">
            <v>8.1186630680152003</v>
          </cell>
          <cell r="V33">
            <v>8.8145484738450737</v>
          </cell>
          <cell r="W33">
            <v>9.7423956816182393</v>
          </cell>
          <cell r="X33">
            <v>10.438281087448114</v>
          </cell>
          <cell r="Y33">
            <v>13.18</v>
          </cell>
          <cell r="Z33">
            <v>13.18</v>
          </cell>
          <cell r="AA33">
            <v>14.38</v>
          </cell>
          <cell r="AB33">
            <v>1.78</v>
          </cell>
          <cell r="AC33">
            <v>2.57</v>
          </cell>
          <cell r="AD33">
            <v>2.4300000000000002</v>
          </cell>
          <cell r="AE33">
            <v>2.4300000000000002</v>
          </cell>
          <cell r="AF33">
            <v>5.0599999999999996</v>
          </cell>
          <cell r="AG33">
            <v>4.67</v>
          </cell>
          <cell r="AH33">
            <v>6.5</v>
          </cell>
          <cell r="AI33">
            <v>0.2782</v>
          </cell>
          <cell r="AJ33">
            <v>0.2782</v>
          </cell>
        </row>
        <row r="34">
          <cell r="E34">
            <v>7.79</v>
          </cell>
          <cell r="F34">
            <v>8.5542423059647827</v>
          </cell>
          <cell r="G34">
            <v>8.5542423059647827</v>
          </cell>
          <cell r="H34">
            <v>13.38</v>
          </cell>
          <cell r="I34">
            <v>1.04</v>
          </cell>
          <cell r="J34">
            <v>9.0399999999999991</v>
          </cell>
          <cell r="K34">
            <v>4.4400000000000004</v>
          </cell>
          <cell r="L34">
            <v>10.53</v>
          </cell>
          <cell r="M34">
            <v>11.09</v>
          </cell>
          <cell r="N34">
            <v>14.721388888888889</v>
          </cell>
          <cell r="O34">
            <v>15.983333333333333</v>
          </cell>
          <cell r="P34">
            <v>5</v>
          </cell>
          <cell r="Q34">
            <v>2.27</v>
          </cell>
          <cell r="R34">
            <v>1.28</v>
          </cell>
          <cell r="S34">
            <v>6.68</v>
          </cell>
          <cell r="T34">
            <v>8.3506248699584908</v>
          </cell>
          <cell r="U34">
            <v>8.8145484738450737</v>
          </cell>
          <cell r="V34">
            <v>9.510433879674947</v>
          </cell>
          <cell r="W34">
            <v>10.670242889391405</v>
          </cell>
          <cell r="X34">
            <v>11.36612829522128</v>
          </cell>
          <cell r="Y34">
            <v>13.92</v>
          </cell>
          <cell r="Z34">
            <v>13.92</v>
          </cell>
          <cell r="AA34">
            <v>15.08</v>
          </cell>
          <cell r="AB34">
            <v>1.96</v>
          </cell>
          <cell r="AC34">
            <v>2.92</v>
          </cell>
          <cell r="AD34">
            <v>2.69</v>
          </cell>
          <cell r="AE34">
            <v>2.69</v>
          </cell>
          <cell r="AF34">
            <v>5.52</v>
          </cell>
          <cell r="AG34">
            <v>5.0599999999999996</v>
          </cell>
          <cell r="AH34">
            <v>7</v>
          </cell>
          <cell r="AI34">
            <v>0.30349999999999999</v>
          </cell>
          <cell r="AJ34">
            <v>0.30349999999999999</v>
          </cell>
        </row>
        <row r="35">
          <cell r="E35">
            <v>8.17</v>
          </cell>
          <cell r="F35">
            <v>9.5047136732942032</v>
          </cell>
          <cell r="G35">
            <v>9.504713673294205</v>
          </cell>
          <cell r="H35">
            <v>15.35</v>
          </cell>
          <cell r="I35">
            <v>1.34</v>
          </cell>
          <cell r="J35">
            <v>10.02</v>
          </cell>
          <cell r="K35">
            <v>4.7300000000000004</v>
          </cell>
          <cell r="L35">
            <v>11.09</v>
          </cell>
          <cell r="M35">
            <v>12.09</v>
          </cell>
          <cell r="N35">
            <v>15.983333333333333</v>
          </cell>
          <cell r="O35">
            <v>17.665833333333332</v>
          </cell>
          <cell r="P35">
            <v>5.4</v>
          </cell>
          <cell r="Q35">
            <v>2.62</v>
          </cell>
          <cell r="R35">
            <v>1.6</v>
          </cell>
          <cell r="S35">
            <v>7.38</v>
          </cell>
          <cell r="T35">
            <v>9.0465102757883642</v>
          </cell>
          <cell r="U35">
            <v>9.510433879674947</v>
          </cell>
          <cell r="V35">
            <v>10.206319285504822</v>
          </cell>
          <cell r="W35">
            <v>11.598090097164571</v>
          </cell>
          <cell r="X35">
            <v>12.293975502994444</v>
          </cell>
          <cell r="Y35">
            <v>15.08</v>
          </cell>
          <cell r="Z35">
            <v>15.08</v>
          </cell>
          <cell r="AA35">
            <v>18.559999999999999</v>
          </cell>
          <cell r="AB35">
            <v>2.57</v>
          </cell>
          <cell r="AC35">
            <v>3.04</v>
          </cell>
          <cell r="AD35">
            <v>3.27</v>
          </cell>
          <cell r="AE35">
            <v>3.27</v>
          </cell>
          <cell r="AF35">
            <v>6.9</v>
          </cell>
          <cell r="AG35">
            <v>5.75</v>
          </cell>
          <cell r="AH35">
            <v>7.5</v>
          </cell>
          <cell r="AI35">
            <v>0.32869999999999999</v>
          </cell>
          <cell r="AJ35">
            <v>0.32869999999999999</v>
          </cell>
        </row>
        <row r="36">
          <cell r="E36">
            <v>3240.3</v>
          </cell>
          <cell r="F36">
            <v>3179.5894912581994</v>
          </cell>
          <cell r="G36">
            <v>3179.5894912581984</v>
          </cell>
          <cell r="H36">
            <v>2325.6999999999998</v>
          </cell>
          <cell r="I36">
            <v>3976.8</v>
          </cell>
          <cell r="J36">
            <v>2850.5</v>
          </cell>
          <cell r="K36">
            <v>3799.1</v>
          </cell>
          <cell r="L36">
            <v>3199.6</v>
          </cell>
          <cell r="M36">
            <v>3125.2</v>
          </cell>
          <cell r="N36">
            <v>2213</v>
          </cell>
          <cell r="O36">
            <v>2345</v>
          </cell>
          <cell r="P36">
            <v>1766.7809999999999</v>
          </cell>
          <cell r="Q36">
            <v>4166.8</v>
          </cell>
          <cell r="R36">
            <v>3884</v>
          </cell>
          <cell r="S36">
            <v>4450.7</v>
          </cell>
          <cell r="T36">
            <v>3139.1483682629173</v>
          </cell>
          <cell r="U36">
            <v>3156.5880814199336</v>
          </cell>
          <cell r="V36">
            <v>3231.5788479951034</v>
          </cell>
          <cell r="W36">
            <v>3351.9128687785151</v>
          </cell>
          <cell r="X36">
            <v>3435.6234919321928</v>
          </cell>
          <cell r="Y36">
            <v>2902.2</v>
          </cell>
          <cell r="Z36">
            <v>2902.2</v>
          </cell>
          <cell r="AA36">
            <v>2954.7</v>
          </cell>
          <cell r="AB36">
            <v>4325</v>
          </cell>
          <cell r="AC36">
            <v>4429.7</v>
          </cell>
          <cell r="AD36">
            <v>4813.3</v>
          </cell>
          <cell r="AE36">
            <v>4813.3</v>
          </cell>
          <cell r="AF36">
            <v>3930.4</v>
          </cell>
          <cell r="AG36">
            <v>3826.1</v>
          </cell>
          <cell r="AH36">
            <v>5258.16</v>
          </cell>
          <cell r="AI36">
            <v>3953</v>
          </cell>
          <cell r="AJ36">
            <v>3953</v>
          </cell>
        </row>
        <row r="37">
          <cell r="E37">
            <v>3835</v>
          </cell>
          <cell r="G37">
            <v>3509.0409325210967</v>
          </cell>
          <cell r="H37">
            <v>2878.2</v>
          </cell>
          <cell r="I37">
            <v>4256.2</v>
          </cell>
          <cell r="J37">
            <v>3198</v>
          </cell>
          <cell r="K37">
            <v>4520.3</v>
          </cell>
          <cell r="L37">
            <v>3636.5</v>
          </cell>
          <cell r="M37">
            <v>3974.2</v>
          </cell>
          <cell r="N37">
            <v>2638</v>
          </cell>
          <cell r="O37">
            <v>2726</v>
          </cell>
          <cell r="P37">
            <v>1866.8430000000003</v>
          </cell>
          <cell r="Q37">
            <v>4278.8999999999996</v>
          </cell>
          <cell r="R37">
            <v>4578.3</v>
          </cell>
          <cell r="S37">
            <v>4829.7</v>
          </cell>
          <cell r="T37">
            <v>3339.7050695686039</v>
          </cell>
          <cell r="U37">
            <v>3456.5511477206119</v>
          </cell>
          <cell r="V37">
            <v>3632.6922506064761</v>
          </cell>
          <cell r="W37">
            <v>3613.508566133758</v>
          </cell>
          <cell r="X37">
            <v>3749.5383287584846</v>
          </cell>
          <cell r="Y37">
            <v>3346.9</v>
          </cell>
          <cell r="Z37">
            <v>3346.9</v>
          </cell>
          <cell r="AA37">
            <v>3400</v>
          </cell>
          <cell r="AB37">
            <v>4530.2</v>
          </cell>
          <cell r="AC37">
            <v>4767.6000000000004</v>
          </cell>
          <cell r="AD37">
            <v>4781.5</v>
          </cell>
          <cell r="AE37">
            <v>4781.5</v>
          </cell>
          <cell r="AF37">
            <v>4312.8</v>
          </cell>
          <cell r="AG37">
            <v>4289.5</v>
          </cell>
          <cell r="AH37">
            <v>5670.18</v>
          </cell>
          <cell r="AI37">
            <v>4089</v>
          </cell>
          <cell r="AJ37">
            <v>4089</v>
          </cell>
        </row>
        <row r="38">
          <cell r="E38">
            <v>3638.5</v>
          </cell>
          <cell r="F38">
            <v>3302.1760740536961</v>
          </cell>
          <cell r="G38">
            <v>3555.0109010694077</v>
          </cell>
          <cell r="H38">
            <v>2670.2</v>
          </cell>
          <cell r="I38">
            <v>4070.9</v>
          </cell>
          <cell r="J38">
            <v>3125.4</v>
          </cell>
          <cell r="K38">
            <v>4401.7</v>
          </cell>
          <cell r="L38">
            <v>3432.3</v>
          </cell>
          <cell r="M38">
            <v>3818.5</v>
          </cell>
          <cell r="N38">
            <v>2711</v>
          </cell>
          <cell r="O38">
            <v>2719</v>
          </cell>
          <cell r="P38">
            <v>1895.2919999999999</v>
          </cell>
          <cell r="Q38">
            <v>4185.1000000000004</v>
          </cell>
          <cell r="R38">
            <v>4475.3999999999996</v>
          </cell>
          <cell r="S38">
            <v>4654.5</v>
          </cell>
          <cell r="T38">
            <v>3409.4639221966686</v>
          </cell>
          <cell r="U38">
            <v>3487.9426314032416</v>
          </cell>
          <cell r="V38">
            <v>3669.3156482362101</v>
          </cell>
          <cell r="W38">
            <v>3721.634787707259</v>
          </cell>
          <cell r="X38">
            <v>3828.0170379650576</v>
          </cell>
          <cell r="Y38">
            <v>3137.5</v>
          </cell>
          <cell r="Z38">
            <v>3137.5</v>
          </cell>
          <cell r="AA38">
            <v>3017.8</v>
          </cell>
          <cell r="AB38">
            <v>4322.7</v>
          </cell>
          <cell r="AC38">
            <v>4689.5</v>
          </cell>
          <cell r="AD38">
            <v>4581.5</v>
          </cell>
          <cell r="AE38">
            <v>4581.5</v>
          </cell>
          <cell r="AF38">
            <v>4210</v>
          </cell>
          <cell r="AG38">
            <v>4149.1000000000004</v>
          </cell>
          <cell r="AH38">
            <v>6042.96</v>
          </cell>
          <cell r="AI38">
            <v>4058</v>
          </cell>
          <cell r="AJ38">
            <v>4058</v>
          </cell>
        </row>
        <row r="39">
          <cell r="E39">
            <v>3522.6</v>
          </cell>
          <cell r="F39">
            <v>3417.1009954244741</v>
          </cell>
          <cell r="G39">
            <v>3510</v>
          </cell>
          <cell r="H39">
            <v>2591.3000000000002</v>
          </cell>
          <cell r="I39">
            <v>3970.9</v>
          </cell>
          <cell r="J39">
            <v>3072.8</v>
          </cell>
          <cell r="K39">
            <v>4321.2</v>
          </cell>
          <cell r="L39">
            <v>3327.4</v>
          </cell>
          <cell r="M39">
            <v>3765.4</v>
          </cell>
          <cell r="N39">
            <v>2755</v>
          </cell>
          <cell r="O39">
            <v>2689</v>
          </cell>
          <cell r="P39">
            <v>1959.057</v>
          </cell>
          <cell r="Q39">
            <v>4089.7</v>
          </cell>
          <cell r="R39">
            <v>4445.8</v>
          </cell>
          <cell r="S39">
            <v>4569.8</v>
          </cell>
          <cell r="T39">
            <v>3453.0632050892091</v>
          </cell>
          <cell r="U39">
            <v>3510.6142585073626</v>
          </cell>
          <cell r="V39">
            <v>3679.7794761304199</v>
          </cell>
          <cell r="W39">
            <v>3787.9056977039199</v>
          </cell>
          <cell r="X39">
            <v>3861.1524929633883</v>
          </cell>
          <cell r="Y39">
            <v>3038.7</v>
          </cell>
          <cell r="Z39">
            <v>3038.7</v>
          </cell>
          <cell r="AA39">
            <v>2954.5</v>
          </cell>
          <cell r="AB39">
            <v>4232.7</v>
          </cell>
          <cell r="AC39">
            <v>4596</v>
          </cell>
          <cell r="AD39">
            <v>4503.5</v>
          </cell>
          <cell r="AE39">
            <v>4503.5</v>
          </cell>
          <cell r="AF39">
            <v>4151.5</v>
          </cell>
          <cell r="AG39">
            <v>4072.2</v>
          </cell>
          <cell r="AH39">
            <v>6317.64</v>
          </cell>
          <cell r="AI39">
            <v>3978</v>
          </cell>
          <cell r="AJ39">
            <v>3978</v>
          </cell>
        </row>
        <row r="40">
          <cell r="E40">
            <v>3387.7</v>
          </cell>
          <cell r="F40">
            <v>3509.0409325210971</v>
          </cell>
          <cell r="G40">
            <v>3432.4243182739106</v>
          </cell>
          <cell r="H40">
            <v>2494.6999999999998</v>
          </cell>
          <cell r="I40">
            <v>3862.7</v>
          </cell>
          <cell r="J40">
            <v>2993.9</v>
          </cell>
          <cell r="K40">
            <v>4214.3999999999996</v>
          </cell>
          <cell r="L40">
            <v>3192.6</v>
          </cell>
          <cell r="M40">
            <v>3706.8</v>
          </cell>
          <cell r="N40">
            <v>2741</v>
          </cell>
          <cell r="O40">
            <v>2645</v>
          </cell>
          <cell r="P40">
            <v>2010.0690000000002</v>
          </cell>
          <cell r="Q40">
            <v>3973.2</v>
          </cell>
          <cell r="R40">
            <v>4407.2</v>
          </cell>
          <cell r="S40">
            <v>4480.6000000000004</v>
          </cell>
          <cell r="T40">
            <v>3400.7440656181602</v>
          </cell>
          <cell r="U40">
            <v>3507.1263158759593</v>
          </cell>
          <cell r="V40">
            <v>3641.4121071849845</v>
          </cell>
          <cell r="W40">
            <v>3787.9056977039199</v>
          </cell>
          <cell r="X40">
            <v>3854.1766077005818</v>
          </cell>
          <cell r="Y40">
            <v>2901.1</v>
          </cell>
          <cell r="Z40">
            <v>2901.1</v>
          </cell>
          <cell r="AA40">
            <v>2886.3</v>
          </cell>
          <cell r="AB40">
            <v>4114.3</v>
          </cell>
          <cell r="AC40">
            <v>4444</v>
          </cell>
          <cell r="AD40">
            <v>4384.1000000000004</v>
          </cell>
          <cell r="AE40">
            <v>4384.1000000000004</v>
          </cell>
          <cell r="AF40">
            <v>4034.9</v>
          </cell>
          <cell r="AG40">
            <v>3967.4</v>
          </cell>
          <cell r="AH40">
            <v>6415.74</v>
          </cell>
          <cell r="AI40">
            <v>3863</v>
          </cell>
          <cell r="AJ40">
            <v>3863</v>
          </cell>
        </row>
        <row r="41">
          <cell r="E41">
            <v>3254.5</v>
          </cell>
          <cell r="F41">
            <v>3555.0109010694082</v>
          </cell>
          <cell r="G41">
            <v>3306</v>
          </cell>
          <cell r="H41">
            <v>2376</v>
          </cell>
          <cell r="I41">
            <v>3743.7</v>
          </cell>
          <cell r="J41">
            <v>2892.7</v>
          </cell>
          <cell r="K41">
            <v>4081.3</v>
          </cell>
          <cell r="L41">
            <v>3043.9</v>
          </cell>
          <cell r="M41">
            <v>3622.4</v>
          </cell>
          <cell r="N41">
            <v>2704</v>
          </cell>
          <cell r="O41">
            <v>2580</v>
          </cell>
          <cell r="P41">
            <v>2020.86</v>
          </cell>
          <cell r="Q41">
            <v>3820.1</v>
          </cell>
          <cell r="R41">
            <v>4345.3999999999996</v>
          </cell>
          <cell r="S41">
            <v>4382.7</v>
          </cell>
          <cell r="T41">
            <v>3238.5547332579094</v>
          </cell>
          <cell r="U41">
            <v>3400.7440656181602</v>
          </cell>
          <cell r="V41">
            <v>3524.5660290329756</v>
          </cell>
          <cell r="W41">
            <v>3732.0986156014683</v>
          </cell>
          <cell r="X41">
            <v>3798.3695255981302</v>
          </cell>
          <cell r="Y41">
            <v>2775.6</v>
          </cell>
          <cell r="Z41">
            <v>2775.6</v>
          </cell>
          <cell r="AA41">
            <v>2754.1</v>
          </cell>
          <cell r="AB41">
            <v>3996.4</v>
          </cell>
          <cell r="AC41">
            <v>4279.5</v>
          </cell>
          <cell r="AD41">
            <v>4272.2</v>
          </cell>
          <cell r="AE41">
            <v>4272.2</v>
          </cell>
          <cell r="AF41">
            <v>3879.4</v>
          </cell>
          <cell r="AG41">
            <v>3854.1</v>
          </cell>
          <cell r="AH41">
            <v>6327.45</v>
          </cell>
          <cell r="AI41">
            <v>3710</v>
          </cell>
          <cell r="AJ41">
            <v>3710</v>
          </cell>
        </row>
        <row r="42">
          <cell r="E42">
            <v>3068.9</v>
          </cell>
          <cell r="F42">
            <v>3486.0559482469412</v>
          </cell>
          <cell r="G42">
            <v>3148.9428455593243</v>
          </cell>
          <cell r="H42">
            <v>2235.3000000000002</v>
          </cell>
          <cell r="I42">
            <v>3600.1</v>
          </cell>
          <cell r="J42">
            <v>2763.7</v>
          </cell>
          <cell r="K42">
            <v>3906.7</v>
          </cell>
          <cell r="L42">
            <v>2868.5</v>
          </cell>
          <cell r="M42">
            <v>3486.6</v>
          </cell>
          <cell r="N42">
            <v>2660</v>
          </cell>
          <cell r="O42">
            <v>2492</v>
          </cell>
          <cell r="P42">
            <v>1944.3420000000001</v>
          </cell>
          <cell r="Q42">
            <v>3624.7</v>
          </cell>
          <cell r="R42">
            <v>4272.5</v>
          </cell>
          <cell r="S42">
            <v>4265.3999999999996</v>
          </cell>
          <cell r="T42">
            <v>3008.3505195852958</v>
          </cell>
          <cell r="U42">
            <v>3191.4675077339662</v>
          </cell>
          <cell r="V42">
            <v>3353.6568400942169</v>
          </cell>
          <cell r="W42">
            <v>3592.5809103453389</v>
          </cell>
          <cell r="X42">
            <v>3662.3397629734036</v>
          </cell>
          <cell r="Y42">
            <v>2582.1999999999998</v>
          </cell>
          <cell r="Z42">
            <v>2582.1999999999998</v>
          </cell>
          <cell r="AA42">
            <v>2620.8000000000002</v>
          </cell>
          <cell r="AB42">
            <v>3850.6</v>
          </cell>
          <cell r="AC42">
            <v>4084.2</v>
          </cell>
          <cell r="AD42">
            <v>4120.3999999999996</v>
          </cell>
          <cell r="AE42">
            <v>4120.3999999999996</v>
          </cell>
          <cell r="AF42">
            <v>3705.7</v>
          </cell>
          <cell r="AG42">
            <v>3719.4</v>
          </cell>
          <cell r="AH42">
            <v>6209.73</v>
          </cell>
          <cell r="AI42">
            <v>3509</v>
          </cell>
          <cell r="AJ42">
            <v>3509</v>
          </cell>
        </row>
        <row r="43">
          <cell r="E43">
            <v>2882.7</v>
          </cell>
          <cell r="F43">
            <v>3256.2061055053846</v>
          </cell>
          <cell r="G43">
            <v>2912</v>
          </cell>
          <cell r="H43">
            <v>2064.21</v>
          </cell>
          <cell r="I43">
            <v>3371.1</v>
          </cell>
          <cell r="J43">
            <v>2634.4</v>
          </cell>
          <cell r="K43">
            <v>3685.7</v>
          </cell>
          <cell r="L43">
            <v>2691.3</v>
          </cell>
          <cell r="M43">
            <v>3289.3</v>
          </cell>
          <cell r="N43">
            <v>2550</v>
          </cell>
          <cell r="O43">
            <v>2374</v>
          </cell>
          <cell r="P43">
            <v>1815.8310000000001</v>
          </cell>
          <cell r="Q43">
            <v>3375.5</v>
          </cell>
          <cell r="R43">
            <v>4187.5</v>
          </cell>
          <cell r="S43">
            <v>4145.2</v>
          </cell>
          <cell r="T43">
            <v>2741.5229082829478</v>
          </cell>
          <cell r="U43">
            <v>2950.7994661671419</v>
          </cell>
          <cell r="V43">
            <v>3161.8199953670387</v>
          </cell>
          <cell r="W43">
            <v>3400.7440656181602</v>
          </cell>
          <cell r="X43">
            <v>3484.4546887718384</v>
          </cell>
          <cell r="Y43">
            <v>2341.6999999999998</v>
          </cell>
          <cell r="Z43">
            <v>2341.6999999999998</v>
          </cell>
          <cell r="AA43">
            <v>2452.6</v>
          </cell>
          <cell r="AB43">
            <v>3696.2</v>
          </cell>
          <cell r="AC43">
            <v>3603.2</v>
          </cell>
          <cell r="AD43">
            <v>3901.4</v>
          </cell>
          <cell r="AE43">
            <v>3901.4</v>
          </cell>
          <cell r="AF43">
            <v>3469.7</v>
          </cell>
          <cell r="AG43">
            <v>3457.3</v>
          </cell>
          <cell r="AH43">
            <v>6042.96</v>
          </cell>
          <cell r="AI43">
            <v>3273</v>
          </cell>
          <cell r="AJ43">
            <v>3273</v>
          </cell>
        </row>
        <row r="44">
          <cell r="E44">
            <v>2661.2</v>
          </cell>
          <cell r="F44">
            <v>2873.1230342694571</v>
          </cell>
          <cell r="G44">
            <v>2704.5664829256489</v>
          </cell>
          <cell r="H44">
            <v>1871.4</v>
          </cell>
          <cell r="I44">
            <v>3101.1</v>
          </cell>
          <cell r="J44">
            <v>2432.4</v>
          </cell>
          <cell r="K44">
            <v>3435.1</v>
          </cell>
          <cell r="L44">
            <v>2500.6</v>
          </cell>
          <cell r="M44">
            <v>3066.1</v>
          </cell>
          <cell r="N44">
            <v>2418</v>
          </cell>
          <cell r="O44">
            <v>2220</v>
          </cell>
          <cell r="P44">
            <v>1665.7380000000003</v>
          </cell>
          <cell r="Q44">
            <v>3089.8</v>
          </cell>
          <cell r="R44">
            <v>4091</v>
          </cell>
          <cell r="S44">
            <v>3997.3</v>
          </cell>
          <cell r="T44">
            <v>2424.1201288252528</v>
          </cell>
          <cell r="U44">
            <v>2685.7158261804962</v>
          </cell>
          <cell r="V44">
            <v>2935.1037243258279</v>
          </cell>
          <cell r="W44">
            <v>3156.5880814199336</v>
          </cell>
          <cell r="X44">
            <v>3247.2745898364178</v>
          </cell>
          <cell r="Y44">
            <v>2137</v>
          </cell>
          <cell r="Z44">
            <v>2137</v>
          </cell>
          <cell r="AA44">
            <v>2273.6</v>
          </cell>
          <cell r="AB44">
            <v>3513.5</v>
          </cell>
          <cell r="AC44">
            <v>3221.4</v>
          </cell>
          <cell r="AD44">
            <v>3649.5</v>
          </cell>
          <cell r="AE44">
            <v>3649.5</v>
          </cell>
          <cell r="AF44">
            <v>3206.9</v>
          </cell>
          <cell r="AG44">
            <v>3164.2</v>
          </cell>
          <cell r="AH44">
            <v>5827.14</v>
          </cell>
          <cell r="AI44">
            <v>2953</v>
          </cell>
          <cell r="AJ44">
            <v>2953</v>
          </cell>
        </row>
        <row r="45">
          <cell r="E45">
            <v>2450.3000000000002</v>
          </cell>
          <cell r="F45">
            <v>2382.7767030874697</v>
          </cell>
          <cell r="G45">
            <v>2175.9118446200682</v>
          </cell>
          <cell r="H45">
            <v>1654</v>
          </cell>
          <cell r="I45">
            <v>2780</v>
          </cell>
          <cell r="J45">
            <v>2207.1999999999998</v>
          </cell>
          <cell r="K45">
            <v>3167.5</v>
          </cell>
          <cell r="L45">
            <v>2344.6999999999998</v>
          </cell>
          <cell r="M45">
            <v>2804.5</v>
          </cell>
          <cell r="N45">
            <v>2191</v>
          </cell>
          <cell r="O45">
            <v>2052</v>
          </cell>
          <cell r="P45">
            <v>1475.4240000000002</v>
          </cell>
          <cell r="Q45">
            <v>2735.7</v>
          </cell>
          <cell r="R45">
            <v>3974.8</v>
          </cell>
          <cell r="S45">
            <v>3858.3</v>
          </cell>
          <cell r="T45">
            <v>2066.6060091064205</v>
          </cell>
          <cell r="U45">
            <v>2397.9605590897286</v>
          </cell>
          <cell r="V45">
            <v>2682.2278835490929</v>
          </cell>
          <cell r="W45">
            <v>2856.6250151192548</v>
          </cell>
          <cell r="X45">
            <v>2964.7512366927554</v>
          </cell>
          <cell r="Y45">
            <v>1864.4</v>
          </cell>
          <cell r="Z45">
            <v>1864.4</v>
          </cell>
          <cell r="AA45">
            <v>2084.5</v>
          </cell>
          <cell r="AB45">
            <v>3335.8</v>
          </cell>
          <cell r="AC45">
            <v>2725</v>
          </cell>
          <cell r="AD45">
            <v>3339.7</v>
          </cell>
          <cell r="AE45">
            <v>3339.7</v>
          </cell>
          <cell r="AF45">
            <v>2896.6</v>
          </cell>
          <cell r="AG45">
            <v>2804.5</v>
          </cell>
          <cell r="AH45">
            <v>5562.27</v>
          </cell>
          <cell r="AI45">
            <v>2595</v>
          </cell>
          <cell r="AJ45">
            <v>2595</v>
          </cell>
        </row>
        <row r="46">
          <cell r="E46">
            <v>2208.8000000000002</v>
          </cell>
          <cell r="F46">
            <v>1792.8287733841412</v>
          </cell>
          <cell r="G46">
            <v>1639.5955448897701</v>
          </cell>
          <cell r="H46">
            <v>1422.9</v>
          </cell>
          <cell r="I46">
            <v>2418</v>
          </cell>
          <cell r="J46">
            <v>1972.8</v>
          </cell>
          <cell r="K46">
            <v>2869.2</v>
          </cell>
          <cell r="L46">
            <v>2202.5</v>
          </cell>
          <cell r="M46">
            <v>2525.4</v>
          </cell>
          <cell r="N46">
            <v>1979</v>
          </cell>
          <cell r="O46">
            <v>1810</v>
          </cell>
          <cell r="P46">
            <v>1230.1740000000002</v>
          </cell>
          <cell r="Q46">
            <v>2370</v>
          </cell>
          <cell r="R46">
            <v>3876.7</v>
          </cell>
          <cell r="S46">
            <v>3688</v>
          </cell>
          <cell r="T46">
            <v>1656.7727499165396</v>
          </cell>
          <cell r="U46">
            <v>2092.7655788419447</v>
          </cell>
          <cell r="V46">
            <v>2413.656300931043</v>
          </cell>
          <cell r="W46">
            <v>2495.6229527690193</v>
          </cell>
          <cell r="X46">
            <v>2631.6527153937459</v>
          </cell>
          <cell r="Y46">
            <v>1607</v>
          </cell>
          <cell r="Z46">
            <v>1607</v>
          </cell>
          <cell r="AA46">
            <v>1882.7</v>
          </cell>
          <cell r="AB46">
            <v>3088.9</v>
          </cell>
          <cell r="AC46">
            <v>2041</v>
          </cell>
          <cell r="AD46">
            <v>2999.1</v>
          </cell>
          <cell r="AE46">
            <v>2999.1</v>
          </cell>
          <cell r="AF46">
            <v>2560.4</v>
          </cell>
          <cell r="AG46">
            <v>2463.6</v>
          </cell>
          <cell r="AH46">
            <v>5267.97</v>
          </cell>
          <cell r="AI46">
            <v>2189</v>
          </cell>
          <cell r="AJ46">
            <v>2189</v>
          </cell>
        </row>
        <row r="47">
          <cell r="E47">
            <v>2310.8000000000002</v>
          </cell>
          <cell r="F47">
            <v>1164.57253655722</v>
          </cell>
          <cell r="G47">
            <v>1072.632599460597</v>
          </cell>
          <cell r="H47">
            <v>1221.3</v>
          </cell>
          <cell r="I47">
            <v>833.5</v>
          </cell>
          <cell r="J47">
            <v>1348.8</v>
          </cell>
          <cell r="K47">
            <v>3089.8</v>
          </cell>
          <cell r="L47">
            <v>2054.1999999999998</v>
          </cell>
          <cell r="M47">
            <v>2195.1</v>
          </cell>
          <cell r="N47">
            <v>1649</v>
          </cell>
          <cell r="O47">
            <v>1363</v>
          </cell>
          <cell r="P47">
            <v>1010.43</v>
          </cell>
          <cell r="Q47">
            <v>1804.3</v>
          </cell>
          <cell r="R47">
            <v>3426.9</v>
          </cell>
          <cell r="S47">
            <v>4396.8999999999996</v>
          </cell>
          <cell r="T47">
            <v>1220.7799209911345</v>
          </cell>
          <cell r="U47">
            <v>1749.2032296487255</v>
          </cell>
          <cell r="V47">
            <v>2115.4372059460661</v>
          </cell>
          <cell r="W47">
            <v>2097.9974927890498</v>
          </cell>
          <cell r="X47">
            <v>2249.7229972550908</v>
          </cell>
          <cell r="Y47">
            <v>1236.4000000000001</v>
          </cell>
          <cell r="Z47">
            <v>1236.4000000000001</v>
          </cell>
          <cell r="AA47">
            <v>1334.8</v>
          </cell>
          <cell r="AB47">
            <v>3380.7</v>
          </cell>
          <cell r="AC47">
            <v>1522.3</v>
          </cell>
          <cell r="AD47">
            <v>2016</v>
          </cell>
          <cell r="AE47">
            <v>2016</v>
          </cell>
          <cell r="AF47">
            <v>2237.6</v>
          </cell>
          <cell r="AG47">
            <v>2308</v>
          </cell>
          <cell r="AH47">
            <v>4905</v>
          </cell>
          <cell r="AI47">
            <v>1727</v>
          </cell>
          <cell r="AJ47">
            <v>1727</v>
          </cell>
        </row>
        <row r="48">
          <cell r="E48">
            <v>3240.3</v>
          </cell>
          <cell r="F48">
            <v>3179.5894912581994</v>
          </cell>
          <cell r="G48">
            <v>3179.5894912581984</v>
          </cell>
          <cell r="H48">
            <v>2325.6999999999998</v>
          </cell>
          <cell r="I48">
            <v>3976.8</v>
          </cell>
          <cell r="J48">
            <v>2850.5</v>
          </cell>
          <cell r="K48">
            <v>3799.1</v>
          </cell>
          <cell r="L48">
            <v>3199.6</v>
          </cell>
          <cell r="M48">
            <v>3125.2</v>
          </cell>
          <cell r="N48">
            <v>2213</v>
          </cell>
          <cell r="O48">
            <v>2345</v>
          </cell>
          <cell r="P48">
            <v>1766.7809999999999</v>
          </cell>
          <cell r="Q48">
            <v>4166.8</v>
          </cell>
          <cell r="R48">
            <v>3884</v>
          </cell>
          <cell r="S48">
            <v>4450.7</v>
          </cell>
          <cell r="T48">
            <v>3139.1483682629173</v>
          </cell>
          <cell r="U48">
            <v>3156.5880814199336</v>
          </cell>
          <cell r="V48">
            <v>3231.5788479951034</v>
          </cell>
          <cell r="W48">
            <v>3351.9128687785151</v>
          </cell>
          <cell r="X48">
            <v>3435.6234919321928</v>
          </cell>
          <cell r="Y48">
            <v>2902.2</v>
          </cell>
          <cell r="Z48">
            <v>2902.2</v>
          </cell>
          <cell r="AA48">
            <v>2954.7</v>
          </cell>
          <cell r="AB48">
            <v>4325</v>
          </cell>
          <cell r="AC48">
            <v>4429.7</v>
          </cell>
          <cell r="AD48">
            <v>4813.3</v>
          </cell>
          <cell r="AE48">
            <v>4813.3</v>
          </cell>
          <cell r="AF48">
            <v>3930.4</v>
          </cell>
          <cell r="AG48">
            <v>3826.1</v>
          </cell>
          <cell r="AH48">
            <v>5258.16</v>
          </cell>
          <cell r="AI48">
            <v>3953</v>
          </cell>
          <cell r="AJ48">
            <v>3953</v>
          </cell>
        </row>
        <row r="49">
          <cell r="E49">
            <v>3745.1</v>
          </cell>
          <cell r="G49">
            <v>3455.409302548067</v>
          </cell>
          <cell r="H49">
            <v>2766.8</v>
          </cell>
          <cell r="I49">
            <v>4249</v>
          </cell>
          <cell r="J49">
            <v>3094.9</v>
          </cell>
          <cell r="K49">
            <v>4453.1000000000004</v>
          </cell>
          <cell r="L49">
            <v>3596.4</v>
          </cell>
          <cell r="M49">
            <v>3844.5</v>
          </cell>
          <cell r="N49">
            <v>2616</v>
          </cell>
          <cell r="O49">
            <v>2682</v>
          </cell>
          <cell r="P49">
            <v>1863.9</v>
          </cell>
          <cell r="Q49">
            <v>4268.3999999999996</v>
          </cell>
          <cell r="R49">
            <v>4507.1000000000004</v>
          </cell>
          <cell r="S49">
            <v>4762</v>
          </cell>
          <cell r="T49">
            <v>3319.6684168767215</v>
          </cell>
          <cell r="U49">
            <v>3426.6198517240964</v>
          </cell>
          <cell r="V49">
            <v>3590.9805410955937</v>
          </cell>
          <cell r="W49">
            <v>3597.2738044866751</v>
          </cell>
          <cell r="X49">
            <v>3722.1015815749147</v>
          </cell>
          <cell r="Y49">
            <v>3304.3</v>
          </cell>
          <cell r="Z49">
            <v>3304.3</v>
          </cell>
          <cell r="AA49">
            <v>3339.3</v>
          </cell>
          <cell r="AB49">
            <v>4499.3999999999996</v>
          </cell>
          <cell r="AC49">
            <v>4729.6000000000004</v>
          </cell>
          <cell r="AD49">
            <v>4743.6000000000004</v>
          </cell>
          <cell r="AE49">
            <v>4743.6000000000004</v>
          </cell>
          <cell r="AF49">
            <v>4269.3999999999996</v>
          </cell>
          <cell r="AG49">
            <v>4252.2</v>
          </cell>
          <cell r="AH49">
            <v>5655.1047178095614</v>
          </cell>
          <cell r="AI49">
            <v>4082</v>
          </cell>
          <cell r="AJ49">
            <v>4082</v>
          </cell>
        </row>
        <row r="50">
          <cell r="E50">
            <v>3516.2</v>
          </cell>
          <cell r="F50">
            <v>3296.046744913921</v>
          </cell>
          <cell r="G50">
            <v>3452.344637978179</v>
          </cell>
          <cell r="H50">
            <v>2491.5</v>
          </cell>
          <cell r="I50">
            <v>4042.1</v>
          </cell>
          <cell r="J50">
            <v>2960.9</v>
          </cell>
          <cell r="K50">
            <v>4308.6000000000004</v>
          </cell>
          <cell r="L50">
            <v>3329.8</v>
          </cell>
          <cell r="M50">
            <v>3658.5</v>
          </cell>
          <cell r="N50">
            <v>2645</v>
          </cell>
          <cell r="O50">
            <v>2638</v>
          </cell>
          <cell r="P50">
            <v>1883.52</v>
          </cell>
          <cell r="Q50">
            <v>4146.5</v>
          </cell>
          <cell r="R50">
            <v>4382.5</v>
          </cell>
          <cell r="S50">
            <v>4473.8</v>
          </cell>
          <cell r="T50">
            <v>3373.8432062999887</v>
          </cell>
          <cell r="U50">
            <v>3439.4588792105387</v>
          </cell>
          <cell r="V50">
            <v>3607.8121581921027</v>
          </cell>
          <cell r="W50">
            <v>3689.8146548789759</v>
          </cell>
          <cell r="X50">
            <v>3781.0985768049882</v>
          </cell>
          <cell r="Y50">
            <v>3007.1</v>
          </cell>
          <cell r="Z50">
            <v>3007.1</v>
          </cell>
          <cell r="AA50">
            <v>2874.2</v>
          </cell>
          <cell r="AB50">
            <v>4206.3999999999996</v>
          </cell>
          <cell r="AC50">
            <v>4604.1000000000004</v>
          </cell>
          <cell r="AD50">
            <v>4429.7</v>
          </cell>
          <cell r="AE50">
            <v>4429.7</v>
          </cell>
          <cell r="AF50">
            <v>4121.7</v>
          </cell>
          <cell r="AG50">
            <v>4060.9</v>
          </cell>
          <cell r="AH50">
            <v>5982.6588712382463</v>
          </cell>
          <cell r="AI50">
            <v>4030</v>
          </cell>
          <cell r="AJ50">
            <v>4030</v>
          </cell>
        </row>
        <row r="51">
          <cell r="E51">
            <v>3380</v>
          </cell>
          <cell r="F51">
            <v>3392.5836788653751</v>
          </cell>
          <cell r="G51">
            <v>3389</v>
          </cell>
          <cell r="H51">
            <v>2387.1999999999998</v>
          </cell>
          <cell r="I51">
            <v>3934.2</v>
          </cell>
          <cell r="J51">
            <v>2888.6</v>
          </cell>
          <cell r="K51">
            <v>4200.2</v>
          </cell>
          <cell r="L51">
            <v>3186</v>
          </cell>
          <cell r="M51">
            <v>3571.6</v>
          </cell>
          <cell r="N51">
            <v>2660</v>
          </cell>
          <cell r="O51">
            <v>2536</v>
          </cell>
          <cell r="P51">
            <v>1932.57</v>
          </cell>
          <cell r="Q51">
            <v>4032.7</v>
          </cell>
          <cell r="R51">
            <v>4341</v>
          </cell>
          <cell r="S51">
            <v>4337.7</v>
          </cell>
          <cell r="T51">
            <v>3397.4058365006472</v>
          </cell>
          <cell r="U51">
            <v>3439.1254606313878</v>
          </cell>
          <cell r="V51">
            <v>3594.6535383531086</v>
          </cell>
          <cell r="W51">
            <v>3735.3050699673713</v>
          </cell>
          <cell r="X51">
            <v>3789.5571940997529</v>
          </cell>
          <cell r="Y51">
            <v>2888.2</v>
          </cell>
          <cell r="Z51">
            <v>2888.2</v>
          </cell>
          <cell r="AA51">
            <v>2788.6</v>
          </cell>
          <cell r="AB51">
            <v>4080.9</v>
          </cell>
          <cell r="AC51">
            <v>4459</v>
          </cell>
          <cell r="AD51">
            <v>4302.7</v>
          </cell>
          <cell r="AE51">
            <v>4302.7</v>
          </cell>
          <cell r="AF51">
            <v>4034.8</v>
          </cell>
          <cell r="AG51">
            <v>3963.5</v>
          </cell>
          <cell r="AH51">
            <v>6181.962460286054</v>
          </cell>
          <cell r="AI51">
            <v>3936</v>
          </cell>
          <cell r="AJ51">
            <v>3936</v>
          </cell>
        </row>
        <row r="52">
          <cell r="E52">
            <v>3221.5</v>
          </cell>
          <cell r="F52">
            <v>3455.409302548067</v>
          </cell>
          <cell r="G52">
            <v>3279.1910897795401</v>
          </cell>
          <cell r="H52">
            <v>2261.6</v>
          </cell>
          <cell r="I52">
            <v>3816.3</v>
          </cell>
          <cell r="J52">
            <v>2787.2</v>
          </cell>
          <cell r="K52">
            <v>4059.4</v>
          </cell>
          <cell r="L52">
            <v>3002.4</v>
          </cell>
          <cell r="M52">
            <v>3472.4</v>
          </cell>
          <cell r="N52">
            <v>2623</v>
          </cell>
          <cell r="O52">
            <v>2470</v>
          </cell>
          <cell r="P52">
            <v>1962</v>
          </cell>
          <cell r="Q52">
            <v>3892.4</v>
          </cell>
          <cell r="R52">
            <v>4287</v>
          </cell>
          <cell r="S52">
            <v>4185.5</v>
          </cell>
          <cell r="T52">
            <v>3320.5974548506315</v>
          </cell>
          <cell r="U52">
            <v>3408.1798828296269</v>
          </cell>
          <cell r="V52">
            <v>3528.8330544744908</v>
          </cell>
          <cell r="W52">
            <v>3709.3294513320388</v>
          </cell>
          <cell r="X52">
            <v>3752.7093474063136</v>
          </cell>
          <cell r="Y52">
            <v>2725.6</v>
          </cell>
          <cell r="Z52">
            <v>2725.6</v>
          </cell>
          <cell r="AA52">
            <v>2694.8</v>
          </cell>
          <cell r="AB52">
            <v>3913.5</v>
          </cell>
          <cell r="AC52">
            <v>4234.3</v>
          </cell>
          <cell r="AD52">
            <v>4107.3999999999996</v>
          </cell>
          <cell r="AE52">
            <v>4107.3999999999996</v>
          </cell>
          <cell r="AF52">
            <v>3883.5</v>
          </cell>
          <cell r="AG52">
            <v>3833.9</v>
          </cell>
          <cell r="AH52">
            <v>6174.5354849529849</v>
          </cell>
          <cell r="AI52">
            <v>3804</v>
          </cell>
          <cell r="AJ52">
            <v>3804</v>
          </cell>
        </row>
        <row r="53">
          <cell r="E53">
            <v>3063</v>
          </cell>
          <cell r="F53">
            <v>3460.0062994028985</v>
          </cell>
          <cell r="G53">
            <v>3121.7</v>
          </cell>
          <cell r="H53">
            <v>2111.9</v>
          </cell>
          <cell r="I53">
            <v>3686.6</v>
          </cell>
          <cell r="J53">
            <v>2662.3</v>
          </cell>
          <cell r="K53">
            <v>3888.2</v>
          </cell>
          <cell r="L53">
            <v>2797.8</v>
          </cell>
          <cell r="M53">
            <v>3343.5</v>
          </cell>
          <cell r="N53">
            <v>2550</v>
          </cell>
          <cell r="O53">
            <v>2382</v>
          </cell>
          <cell r="P53">
            <v>1946.3040000000001</v>
          </cell>
          <cell r="Q53">
            <v>3711.5</v>
          </cell>
          <cell r="R53">
            <v>4206</v>
          </cell>
          <cell r="S53">
            <v>4017.2</v>
          </cell>
          <cell r="T53">
            <v>3129.4662908243281</v>
          </cell>
          <cell r="U53">
            <v>3269.8874079143861</v>
          </cell>
          <cell r="V53">
            <v>3380.7031941893206</v>
          </cell>
          <cell r="W53">
            <v>3622.3516268671883</v>
          </cell>
          <cell r="X53">
            <v>3661.8351801461631</v>
          </cell>
          <cell r="Y53">
            <v>2578.8000000000002</v>
          </cell>
          <cell r="Z53">
            <v>2578.8000000000002</v>
          </cell>
          <cell r="AA53">
            <v>2535.6999999999998</v>
          </cell>
          <cell r="AB53">
            <v>3744.6</v>
          </cell>
          <cell r="AC53">
            <v>3981.8</v>
          </cell>
          <cell r="AD53">
            <v>3919</v>
          </cell>
          <cell r="AE53">
            <v>3919</v>
          </cell>
          <cell r="AF53">
            <v>3688.7</v>
          </cell>
          <cell r="AG53">
            <v>3695.7</v>
          </cell>
          <cell r="AH53">
            <v>6022.1755356436206</v>
          </cell>
          <cell r="AI53">
            <v>3630</v>
          </cell>
          <cell r="AJ53">
            <v>3630</v>
          </cell>
        </row>
        <row r="54">
          <cell r="E54">
            <v>2844.7</v>
          </cell>
          <cell r="F54">
            <v>3334.3550520375138</v>
          </cell>
          <cell r="G54">
            <v>2934.416325667205</v>
          </cell>
          <cell r="H54">
            <v>1938.1</v>
          </cell>
          <cell r="I54">
            <v>3531.1</v>
          </cell>
          <cell r="J54">
            <v>2506.6999999999998</v>
          </cell>
          <cell r="K54">
            <v>3668.3</v>
          </cell>
          <cell r="L54">
            <v>2554.6999999999998</v>
          </cell>
          <cell r="M54">
            <v>3150</v>
          </cell>
          <cell r="N54">
            <v>2477</v>
          </cell>
          <cell r="O54">
            <v>2250</v>
          </cell>
          <cell r="P54">
            <v>1836.432</v>
          </cell>
          <cell r="Q54">
            <v>3481.8</v>
          </cell>
          <cell r="R54">
            <v>4112.5</v>
          </cell>
          <cell r="S54">
            <v>3828.1</v>
          </cell>
          <cell r="T54">
            <v>2865.8676559985774</v>
          </cell>
          <cell r="U54">
            <v>3024.2480358856646</v>
          </cell>
          <cell r="V54">
            <v>3174.6795559174211</v>
          </cell>
          <cell r="W54">
            <v>3446.4680555215928</v>
          </cell>
          <cell r="X54">
            <v>3485.5432086366714</v>
          </cell>
          <cell r="Y54">
            <v>2355</v>
          </cell>
          <cell r="Z54">
            <v>2355</v>
          </cell>
          <cell r="AA54">
            <v>2372.5</v>
          </cell>
          <cell r="AB54">
            <v>3536.8</v>
          </cell>
          <cell r="AC54">
            <v>3683.3</v>
          </cell>
          <cell r="AD54">
            <v>3655.4</v>
          </cell>
          <cell r="AE54">
            <v>3655.4</v>
          </cell>
          <cell r="AF54">
            <v>3471.3</v>
          </cell>
          <cell r="AG54">
            <v>3533.9</v>
          </cell>
          <cell r="AH54">
            <v>5832.8479452390375</v>
          </cell>
          <cell r="AI54">
            <v>3405</v>
          </cell>
          <cell r="AJ54">
            <v>3405</v>
          </cell>
        </row>
        <row r="55">
          <cell r="E55">
            <v>2625.1</v>
          </cell>
          <cell r="F55">
            <v>3041.6795856132653</v>
          </cell>
          <cell r="G55">
            <v>2654.5</v>
          </cell>
          <cell r="H55">
            <v>1729.1</v>
          </cell>
          <cell r="I55">
            <v>3286.1</v>
          </cell>
          <cell r="J55">
            <v>2352.8000000000002</v>
          </cell>
          <cell r="K55">
            <v>3397.3</v>
          </cell>
          <cell r="L55">
            <v>2311.6</v>
          </cell>
          <cell r="M55">
            <v>2884.6</v>
          </cell>
          <cell r="N55">
            <v>2323</v>
          </cell>
          <cell r="O55">
            <v>2089</v>
          </cell>
          <cell r="P55">
            <v>1669.662</v>
          </cell>
          <cell r="Q55">
            <v>3191.2</v>
          </cell>
          <cell r="R55">
            <v>4008.6</v>
          </cell>
          <cell r="S55">
            <v>3629.8</v>
          </cell>
          <cell r="T55">
            <v>2561.1930340560075</v>
          </cell>
          <cell r="U55">
            <v>2742.764590687229</v>
          </cell>
          <cell r="V55">
            <v>2943.8975946571227</v>
          </cell>
          <cell r="W55">
            <v>3213.0702209778829</v>
          </cell>
          <cell r="X55">
            <v>3262.2008018232741</v>
          </cell>
          <cell r="Y55">
            <v>2073.5</v>
          </cell>
          <cell r="Z55">
            <v>2073.5</v>
          </cell>
          <cell r="AA55">
            <v>2173.1999999999998</v>
          </cell>
          <cell r="AB55">
            <v>3313.5</v>
          </cell>
          <cell r="AC55">
            <v>2949.4</v>
          </cell>
          <cell r="AD55">
            <v>3278.7</v>
          </cell>
          <cell r="AE55">
            <v>3278.7</v>
          </cell>
          <cell r="AF55">
            <v>3177.4</v>
          </cell>
          <cell r="AG55">
            <v>3220</v>
          </cell>
          <cell r="AH55">
            <v>5586.9327137392356</v>
          </cell>
          <cell r="AI55">
            <v>3141</v>
          </cell>
          <cell r="AJ55">
            <v>3141</v>
          </cell>
        </row>
        <row r="56">
          <cell r="E56">
            <v>2368</v>
          </cell>
          <cell r="F56">
            <v>2580.4475678452086</v>
          </cell>
          <cell r="G56">
            <v>2413.4233487863435</v>
          </cell>
          <cell r="H56">
            <v>1497</v>
          </cell>
          <cell r="I56">
            <v>2998.5</v>
          </cell>
          <cell r="J56">
            <v>2115.6999999999998</v>
          </cell>
          <cell r="K56">
            <v>3091.9</v>
          </cell>
          <cell r="L56">
            <v>2048.6999999999998</v>
          </cell>
          <cell r="M56">
            <v>2587</v>
          </cell>
          <cell r="N56">
            <v>2154</v>
          </cell>
          <cell r="O56">
            <v>1891</v>
          </cell>
          <cell r="P56">
            <v>1474.4430000000002</v>
          </cell>
          <cell r="Q56">
            <v>2855.8</v>
          </cell>
          <cell r="R56">
            <v>3892.3</v>
          </cell>
          <cell r="S56">
            <v>3389.9</v>
          </cell>
          <cell r="T56">
            <v>2201.4906544710057</v>
          </cell>
          <cell r="U56">
            <v>2432.4129575818856</v>
          </cell>
          <cell r="V56">
            <v>2674.4055398828136</v>
          </cell>
          <cell r="W56">
            <v>2922.1581232360568</v>
          </cell>
          <cell r="X56">
            <v>2974.3682465489546</v>
          </cell>
          <cell r="Y56">
            <v>1835.7</v>
          </cell>
          <cell r="Z56">
            <v>1835.7</v>
          </cell>
          <cell r="AA56">
            <v>1963.4</v>
          </cell>
          <cell r="AB56">
            <v>3048.5</v>
          </cell>
          <cell r="AC56">
            <v>2346.6999999999998</v>
          </cell>
          <cell r="AD56">
            <v>2846.2</v>
          </cell>
          <cell r="AE56">
            <v>2846.2</v>
          </cell>
          <cell r="AF56">
            <v>2805.4</v>
          </cell>
          <cell r="AG56">
            <v>2868.7</v>
          </cell>
          <cell r="AH56">
            <v>5284.4298411442142</v>
          </cell>
          <cell r="AI56">
            <v>2793</v>
          </cell>
          <cell r="AJ56">
            <v>2793</v>
          </cell>
        </row>
        <row r="57">
          <cell r="E57">
            <v>2121.5</v>
          </cell>
          <cell r="F57">
            <v>1999.6936318515422</v>
          </cell>
          <cell r="G57">
            <v>1792.828773384141</v>
          </cell>
          <cell r="H57">
            <v>1237.7</v>
          </cell>
          <cell r="I57">
            <v>2656.9</v>
          </cell>
          <cell r="J57">
            <v>1853.3</v>
          </cell>
          <cell r="K57">
            <v>2764.6</v>
          </cell>
          <cell r="L57">
            <v>1831.7</v>
          </cell>
          <cell r="M57">
            <v>2244.6999999999998</v>
          </cell>
          <cell r="N57">
            <v>1883</v>
          </cell>
          <cell r="O57">
            <v>1744</v>
          </cell>
          <cell r="P57">
            <v>1234.098</v>
          </cell>
          <cell r="Q57">
            <v>2449.3000000000002</v>
          </cell>
          <cell r="R57">
            <v>3755.3</v>
          </cell>
          <cell r="S57">
            <v>3159.3</v>
          </cell>
          <cell r="T57">
            <v>1797.2243451377813</v>
          </cell>
          <cell r="U57">
            <v>2094.937107885336</v>
          </cell>
          <cell r="V57">
            <v>2374.923248173001</v>
          </cell>
          <cell r="W57">
            <v>2570.2438196647131</v>
          </cell>
          <cell r="X57">
            <v>2635.9973133393273</v>
          </cell>
          <cell r="Y57">
            <v>1521</v>
          </cell>
          <cell r="Z57">
            <v>1521</v>
          </cell>
          <cell r="AA57">
            <v>1739.6</v>
          </cell>
          <cell r="AB57">
            <v>2787.6</v>
          </cell>
          <cell r="AC57">
            <v>1576.5</v>
          </cell>
          <cell r="AD57">
            <v>2323.1999999999998</v>
          </cell>
          <cell r="AE57">
            <v>2323.1999999999998</v>
          </cell>
          <cell r="AF57">
            <v>2469.6</v>
          </cell>
          <cell r="AG57">
            <v>2440.9</v>
          </cell>
          <cell r="AH57">
            <v>4925.3393274539731</v>
          </cell>
          <cell r="AI57">
            <v>2414</v>
          </cell>
          <cell r="AJ57">
            <v>2414</v>
          </cell>
        </row>
        <row r="58">
          <cell r="E58">
            <v>1837.3</v>
          </cell>
          <cell r="F58">
            <v>1156.9108751325014</v>
          </cell>
          <cell r="G58">
            <v>1156.9108751325014</v>
          </cell>
          <cell r="H58">
            <v>962.4</v>
          </cell>
          <cell r="I58">
            <v>2272.5</v>
          </cell>
          <cell r="J58">
            <v>1581.8</v>
          </cell>
          <cell r="K58">
            <v>2397.8000000000002</v>
          </cell>
          <cell r="L58">
            <v>1624.6</v>
          </cell>
          <cell r="M58">
            <v>1885</v>
          </cell>
          <cell r="N58">
            <v>1634</v>
          </cell>
          <cell r="O58">
            <v>1363</v>
          </cell>
          <cell r="P58">
            <v>931.95</v>
          </cell>
          <cell r="Q58">
            <v>2022.4</v>
          </cell>
          <cell r="R58">
            <v>3638.9</v>
          </cell>
          <cell r="S58">
            <v>2882.6</v>
          </cell>
          <cell r="T58">
            <v>1336.1863068464233</v>
          </cell>
          <cell r="U58">
            <v>1735.5689555446857</v>
          </cell>
          <cell r="V58">
            <v>2055.9145474218949</v>
          </cell>
          <cell r="W58">
            <v>2152.0953963167458</v>
          </cell>
          <cell r="X58">
            <v>2241.8560882472862</v>
          </cell>
          <cell r="Y58">
            <v>1223.8</v>
          </cell>
          <cell r="Z58">
            <v>1223.8</v>
          </cell>
          <cell r="AA58">
            <v>1503.6</v>
          </cell>
          <cell r="AB58">
            <v>2419.1999999999998</v>
          </cell>
          <cell r="AC58">
            <v>558.1</v>
          </cell>
          <cell r="AD58">
            <v>1744</v>
          </cell>
          <cell r="AE58">
            <v>1744</v>
          </cell>
          <cell r="AF58">
            <v>2052.1999999999998</v>
          </cell>
          <cell r="AG58">
            <v>2036.5</v>
          </cell>
          <cell r="AH58">
            <v>4529.281172668514</v>
          </cell>
          <cell r="AI58">
            <v>1956</v>
          </cell>
          <cell r="AJ58">
            <v>1956</v>
          </cell>
        </row>
        <row r="59">
          <cell r="E59">
            <v>1901.9</v>
          </cell>
          <cell r="F59">
            <v>566.96294542917292</v>
          </cell>
          <cell r="G59">
            <v>475.02300833255021</v>
          </cell>
          <cell r="H59">
            <v>614.79999999999995</v>
          </cell>
          <cell r="I59">
            <v>591.79999999999995</v>
          </cell>
          <cell r="J59">
            <v>868.7</v>
          </cell>
          <cell r="K59">
            <v>2553.5</v>
          </cell>
          <cell r="L59">
            <v>1413.8</v>
          </cell>
          <cell r="M59">
            <v>1432.1</v>
          </cell>
          <cell r="N59">
            <v>1224</v>
          </cell>
          <cell r="O59">
            <v>865</v>
          </cell>
          <cell r="P59">
            <v>662.17499999999995</v>
          </cell>
          <cell r="Q59">
            <v>1341.5</v>
          </cell>
          <cell r="R59">
            <v>3055.3</v>
          </cell>
          <cell r="S59">
            <v>3413</v>
          </cell>
          <cell r="T59">
            <v>844.53610933245636</v>
          </cell>
          <cell r="U59">
            <v>1333.3808447715146</v>
          </cell>
          <cell r="V59">
            <v>1703.4276671038817</v>
          </cell>
          <cell r="W59">
            <v>1692.1284516119781</v>
          </cell>
          <cell r="X59">
            <v>1793.6885425885332</v>
          </cell>
          <cell r="Y59">
            <v>786.7</v>
          </cell>
          <cell r="Z59">
            <v>786.7</v>
          </cell>
          <cell r="AA59">
            <v>760.5</v>
          </cell>
          <cell r="AB59">
            <v>2232.3000000000002</v>
          </cell>
          <cell r="AC59">
            <v>0</v>
          </cell>
          <cell r="AD59">
            <v>154.77000000000001</v>
          </cell>
          <cell r="AE59">
            <v>154.77000000000001</v>
          </cell>
          <cell r="AF59">
            <v>1443.5</v>
          </cell>
          <cell r="AG59">
            <v>1756.5</v>
          </cell>
          <cell r="AH59">
            <v>4057.0153767878346</v>
          </cell>
          <cell r="AI59">
            <v>1452</v>
          </cell>
          <cell r="AJ59">
            <v>1452</v>
          </cell>
        </row>
        <row r="60">
          <cell r="E60">
            <v>6.1</v>
          </cell>
          <cell r="F60">
            <v>6.9837759159975246</v>
          </cell>
          <cell r="G60">
            <v>6.9837759159975246</v>
          </cell>
          <cell r="H60">
            <v>10.3</v>
          </cell>
          <cell r="I60">
            <v>1.1000000000000001</v>
          </cell>
          <cell r="J60">
            <v>5.8</v>
          </cell>
          <cell r="K60">
            <v>2.2999999999999998</v>
          </cell>
          <cell r="L60">
            <v>6.2</v>
          </cell>
          <cell r="M60">
            <v>5.2</v>
          </cell>
          <cell r="N60">
            <v>11.81</v>
          </cell>
          <cell r="O60">
            <v>17.55</v>
          </cell>
          <cell r="P60">
            <v>1.7822227610000001</v>
          </cell>
          <cell r="Q60">
            <v>1.7</v>
          </cell>
          <cell r="R60">
            <v>1.3</v>
          </cell>
          <cell r="S60">
            <v>11.6</v>
          </cell>
          <cell r="T60">
            <v>6.304308803103515</v>
          </cell>
          <cell r="U60">
            <v>6.8195648110494753</v>
          </cell>
          <cell r="V60">
            <v>7.9410043577553893</v>
          </cell>
          <cell r="W60">
            <v>8.5168787195773437</v>
          </cell>
          <cell r="X60">
            <v>10.002028389539229</v>
          </cell>
          <cell r="Y60">
            <v>10.6</v>
          </cell>
          <cell r="Z60">
            <v>10.6</v>
          </cell>
          <cell r="AA60">
            <v>12.2</v>
          </cell>
          <cell r="AB60">
            <v>3.4</v>
          </cell>
          <cell r="AC60">
            <v>3.4</v>
          </cell>
          <cell r="AD60">
            <v>5</v>
          </cell>
          <cell r="AE60">
            <v>5</v>
          </cell>
          <cell r="AF60">
            <v>3</v>
          </cell>
          <cell r="AG60">
            <v>3</v>
          </cell>
          <cell r="AH60">
            <v>8.5259999999999998</v>
          </cell>
          <cell r="AI60">
            <v>0.44</v>
          </cell>
          <cell r="AJ60">
            <v>0.44</v>
          </cell>
        </row>
        <row r="61">
          <cell r="E61">
            <v>18.899999999999999</v>
          </cell>
          <cell r="G61">
            <v>16.804710797869046</v>
          </cell>
          <cell r="H61">
            <v>26.4</v>
          </cell>
          <cell r="I61">
            <v>2</v>
          </cell>
          <cell r="J61">
            <v>20.9</v>
          </cell>
          <cell r="K61">
            <v>10.199999999999999</v>
          </cell>
          <cell r="L61">
            <v>17</v>
          </cell>
          <cell r="M61">
            <v>27.8</v>
          </cell>
          <cell r="N61">
            <v>20.55</v>
          </cell>
          <cell r="O61">
            <v>27.48</v>
          </cell>
          <cell r="P61">
            <v>2.8933156119999999</v>
          </cell>
          <cell r="Q61">
            <v>3.3</v>
          </cell>
          <cell r="R61">
            <v>4.5</v>
          </cell>
          <cell r="S61">
            <v>18.2</v>
          </cell>
          <cell r="T61">
            <v>12.972327729463002</v>
          </cell>
          <cell r="U61">
            <v>15.397061884502815</v>
          </cell>
          <cell r="V61">
            <v>18.670452993806563</v>
          </cell>
          <cell r="W61">
            <v>17.033757439154687</v>
          </cell>
          <cell r="X61">
            <v>20.216221017644443</v>
          </cell>
          <cell r="Y61">
            <v>24.3</v>
          </cell>
          <cell r="Z61">
            <v>24.3</v>
          </cell>
          <cell r="AA61">
            <v>28.6</v>
          </cell>
          <cell r="AB61">
            <v>5</v>
          </cell>
          <cell r="AC61">
            <v>5.6</v>
          </cell>
          <cell r="AD61">
            <v>7.1</v>
          </cell>
          <cell r="AE61">
            <v>7.1</v>
          </cell>
          <cell r="AF61">
            <v>9.6</v>
          </cell>
          <cell r="AG61">
            <v>9</v>
          </cell>
          <cell r="AH61">
            <v>15.288</v>
          </cell>
          <cell r="AI61">
            <v>0.74</v>
          </cell>
          <cell r="AJ61">
            <v>0.74</v>
          </cell>
        </row>
        <row r="62">
          <cell r="E62">
            <v>20.3</v>
          </cell>
          <cell r="F62">
            <v>10.257420876621365</v>
          </cell>
          <cell r="G62">
            <v>19.423626766368116</v>
          </cell>
          <cell r="H62">
            <v>28.7</v>
          </cell>
          <cell r="I62">
            <v>2.9</v>
          </cell>
          <cell r="J62">
            <v>23.1</v>
          </cell>
          <cell r="K62">
            <v>11.4</v>
          </cell>
          <cell r="L62">
            <v>22.7</v>
          </cell>
          <cell r="M62">
            <v>30.2</v>
          </cell>
          <cell r="N62">
            <v>28.59</v>
          </cell>
          <cell r="O62">
            <v>33.72</v>
          </cell>
          <cell r="P62">
            <v>3.87763948</v>
          </cell>
          <cell r="Q62">
            <v>4.5999999999999996</v>
          </cell>
          <cell r="R62">
            <v>4.9000000000000004</v>
          </cell>
          <cell r="S62">
            <v>24.5</v>
          </cell>
          <cell r="T62">
            <v>15.003042584308846</v>
          </cell>
          <cell r="U62">
            <v>17.154994146906681</v>
          </cell>
          <cell r="V62">
            <v>20.579931140900417</v>
          </cell>
          <cell r="W62">
            <v>20.155602663768448</v>
          </cell>
          <cell r="X62">
            <v>23.125902003692218</v>
          </cell>
          <cell r="Y62">
            <v>29.9</v>
          </cell>
          <cell r="Z62">
            <v>29.9</v>
          </cell>
          <cell r="AA62">
            <v>33.799999999999997</v>
          </cell>
          <cell r="AB62">
            <v>6.7</v>
          </cell>
          <cell r="AC62">
            <v>6.6</v>
          </cell>
          <cell r="AD62">
            <v>9.3000000000000007</v>
          </cell>
          <cell r="AE62">
            <v>9.3000000000000007</v>
          </cell>
          <cell r="AF62">
            <v>12</v>
          </cell>
          <cell r="AG62">
            <v>11.9</v>
          </cell>
          <cell r="AH62">
            <v>22.1235</v>
          </cell>
          <cell r="AI62">
            <v>1.02</v>
          </cell>
          <cell r="AJ62">
            <v>1.02</v>
          </cell>
        </row>
        <row r="63">
          <cell r="E63">
            <v>20.9</v>
          </cell>
          <cell r="F63">
            <v>13.640187335932666</v>
          </cell>
          <cell r="G63">
            <v>20.7</v>
          </cell>
          <cell r="H63">
            <v>29.1</v>
          </cell>
          <cell r="I63">
            <v>3.1</v>
          </cell>
          <cell r="J63">
            <v>23.5</v>
          </cell>
          <cell r="K63">
            <v>12.5</v>
          </cell>
          <cell r="L63">
            <v>24.7</v>
          </cell>
          <cell r="M63">
            <v>32.200000000000003</v>
          </cell>
          <cell r="N63">
            <v>32.799999999999997</v>
          </cell>
          <cell r="O63">
            <v>38.340000000000003</v>
          </cell>
          <cell r="P63">
            <v>4.8321353519999999</v>
          </cell>
          <cell r="Q63">
            <v>5.2</v>
          </cell>
          <cell r="R63">
            <v>5.2</v>
          </cell>
          <cell r="S63">
            <v>26.2</v>
          </cell>
          <cell r="T63">
            <v>16.899999999999999</v>
          </cell>
          <cell r="U63">
            <v>18.943235586248541</v>
          </cell>
          <cell r="V63">
            <v>22.368172580242277</v>
          </cell>
          <cell r="W63">
            <v>23.034974472878226</v>
          </cell>
          <cell r="X63">
            <v>25.944655458926004</v>
          </cell>
          <cell r="Y63">
            <v>30.4</v>
          </cell>
          <cell r="Z63">
            <v>30.4</v>
          </cell>
          <cell r="AA63">
            <v>34.700000000000003</v>
          </cell>
          <cell r="AB63">
            <v>7.2</v>
          </cell>
          <cell r="AC63">
            <v>7.5</v>
          </cell>
          <cell r="AD63">
            <v>9.9</v>
          </cell>
          <cell r="AE63">
            <v>9.9</v>
          </cell>
          <cell r="AF63">
            <v>13.1</v>
          </cell>
          <cell r="AG63">
            <v>12.7</v>
          </cell>
          <cell r="AH63">
            <v>29.106000000000002</v>
          </cell>
          <cell r="AI63">
            <v>1.1499999999999999</v>
          </cell>
          <cell r="AJ63">
            <v>1.1499999999999999</v>
          </cell>
        </row>
        <row r="64">
          <cell r="E64">
            <v>21.4</v>
          </cell>
          <cell r="F64">
            <v>16.804710797869046</v>
          </cell>
          <cell r="G64">
            <v>21.496935241429881</v>
          </cell>
          <cell r="H64">
            <v>29.4</v>
          </cell>
          <cell r="I64">
            <v>3.3</v>
          </cell>
          <cell r="J64">
            <v>23.9</v>
          </cell>
          <cell r="K64">
            <v>13.5</v>
          </cell>
          <cell r="L64">
            <v>26.8</v>
          </cell>
          <cell r="M64">
            <v>34.1</v>
          </cell>
          <cell r="N64">
            <v>35.5</v>
          </cell>
          <cell r="O64">
            <v>39.49</v>
          </cell>
          <cell r="P64">
            <v>5.6971472359999993</v>
          </cell>
          <cell r="Q64">
            <v>5.7</v>
          </cell>
          <cell r="R64">
            <v>5.4</v>
          </cell>
          <cell r="S64">
            <v>28.2</v>
          </cell>
          <cell r="T64">
            <v>18.337052047488587</v>
          </cell>
          <cell r="U64">
            <v>20.428385256210429</v>
          </cell>
          <cell r="V64">
            <v>23.823013073266168</v>
          </cell>
          <cell r="W64">
            <v>25.45970862791804</v>
          </cell>
          <cell r="X64">
            <v>28.339080437027818</v>
          </cell>
          <cell r="Y64">
            <v>30.9</v>
          </cell>
          <cell r="Z64">
            <v>30.9</v>
          </cell>
          <cell r="AA64">
            <v>35.200000000000003</v>
          </cell>
          <cell r="AB64">
            <v>7.9</v>
          </cell>
          <cell r="AC64">
            <v>8.5</v>
          </cell>
          <cell r="AD64">
            <v>10.9</v>
          </cell>
          <cell r="AE64">
            <v>10.9</v>
          </cell>
          <cell r="AF64">
            <v>14.1</v>
          </cell>
          <cell r="AG64">
            <v>13.5</v>
          </cell>
          <cell r="AH64">
            <v>35.794499999999999</v>
          </cell>
          <cell r="AI64">
            <v>1.26</v>
          </cell>
          <cell r="AJ64">
            <v>1.26</v>
          </cell>
        </row>
        <row r="65">
          <cell r="E65">
            <v>21.8</v>
          </cell>
          <cell r="F65">
            <v>19.532748265055577</v>
          </cell>
          <cell r="G65">
            <v>22.3</v>
          </cell>
          <cell r="H65">
            <v>29.3</v>
          </cell>
          <cell r="I65">
            <v>3.5</v>
          </cell>
          <cell r="J65">
            <v>24.2</v>
          </cell>
          <cell r="K65">
            <v>14.6</v>
          </cell>
          <cell r="L65">
            <v>28.6</v>
          </cell>
          <cell r="M65">
            <v>35.9</v>
          </cell>
          <cell r="N65">
            <v>37.64</v>
          </cell>
          <cell r="O65">
            <v>40.409999999999997</v>
          </cell>
          <cell r="P65">
            <v>6.5472451219999996</v>
          </cell>
          <cell r="Q65">
            <v>6.3</v>
          </cell>
          <cell r="R65">
            <v>5.7</v>
          </cell>
          <cell r="S65">
            <v>30.3</v>
          </cell>
          <cell r="T65">
            <v>19.276636532566517</v>
          </cell>
          <cell r="U65">
            <v>21.640752333730333</v>
          </cell>
          <cell r="V65">
            <v>24.944452619972079</v>
          </cell>
          <cell r="W65">
            <v>27.520732659701881</v>
          </cell>
          <cell r="X65">
            <v>30.551650353501646</v>
          </cell>
          <cell r="Y65">
            <v>31.2</v>
          </cell>
          <cell r="Z65">
            <v>31.2</v>
          </cell>
          <cell r="AA65">
            <v>35.700000000000003</v>
          </cell>
          <cell r="AB65">
            <v>8.4</v>
          </cell>
          <cell r="AC65">
            <v>9.5</v>
          </cell>
          <cell r="AD65">
            <v>11.7</v>
          </cell>
          <cell r="AE65">
            <v>11.7</v>
          </cell>
          <cell r="AF65">
            <v>15</v>
          </cell>
          <cell r="AG65">
            <v>14.1</v>
          </cell>
          <cell r="AH65">
            <v>38.808</v>
          </cell>
          <cell r="AI65">
            <v>1.38</v>
          </cell>
          <cell r="AJ65">
            <v>1.38</v>
          </cell>
        </row>
        <row r="66">
          <cell r="E66">
            <v>22.2</v>
          </cell>
          <cell r="F66">
            <v>21.606056740117346</v>
          </cell>
          <cell r="G66">
            <v>22.915514724366876</v>
          </cell>
          <cell r="H66">
            <v>29.2</v>
          </cell>
          <cell r="I66">
            <v>3.7</v>
          </cell>
          <cell r="J66">
            <v>24.4</v>
          </cell>
          <cell r="K66">
            <v>15.6</v>
          </cell>
          <cell r="L66">
            <v>30.4</v>
          </cell>
          <cell r="M66">
            <v>37.200000000000003</v>
          </cell>
          <cell r="N66">
            <v>39.9</v>
          </cell>
          <cell r="O66">
            <v>40.97</v>
          </cell>
          <cell r="P66">
            <v>7.1885470360000001</v>
          </cell>
          <cell r="Q66">
            <v>6.8</v>
          </cell>
          <cell r="R66">
            <v>6</v>
          </cell>
          <cell r="S66">
            <v>32.200000000000003</v>
          </cell>
          <cell r="T66">
            <v>19.85251089438847</v>
          </cell>
          <cell r="U66">
            <v>22.368172580242277</v>
          </cell>
          <cell r="V66">
            <v>25.884037105050005</v>
          </cell>
          <cell r="W66">
            <v>29.157428214353754</v>
          </cell>
          <cell r="X66">
            <v>32.70360191609948</v>
          </cell>
          <cell r="Y66">
            <v>31.4</v>
          </cell>
          <cell r="Z66">
            <v>31.4</v>
          </cell>
          <cell r="AA66">
            <v>35.9</v>
          </cell>
          <cell r="AB66">
            <v>9.1</v>
          </cell>
          <cell r="AC66">
            <v>10.5</v>
          </cell>
          <cell r="AD66">
            <v>12.8</v>
          </cell>
          <cell r="AE66">
            <v>12.8</v>
          </cell>
          <cell r="AF66">
            <v>15.9</v>
          </cell>
          <cell r="AG66">
            <v>14.8</v>
          </cell>
          <cell r="AH66">
            <v>41.968499999999999</v>
          </cell>
          <cell r="AI66">
            <v>1.49</v>
          </cell>
          <cell r="AJ66">
            <v>1.49</v>
          </cell>
        </row>
        <row r="67">
          <cell r="E67">
            <v>22.5</v>
          </cell>
          <cell r="F67">
            <v>23.133757721741802</v>
          </cell>
          <cell r="G67">
            <v>23.2</v>
          </cell>
          <cell r="H67">
            <v>28.8</v>
          </cell>
          <cell r="I67">
            <v>3.9</v>
          </cell>
          <cell r="J67">
            <v>24.3</v>
          </cell>
          <cell r="K67">
            <v>16.399999999999999</v>
          </cell>
          <cell r="L67">
            <v>31.7</v>
          </cell>
          <cell r="M67">
            <v>38.799999999999997</v>
          </cell>
          <cell r="N67">
            <v>41.35</v>
          </cell>
          <cell r="O67">
            <v>41.11</v>
          </cell>
          <cell r="P67">
            <v>7.606138979999999</v>
          </cell>
          <cell r="Q67">
            <v>7.3</v>
          </cell>
          <cell r="R67">
            <v>6.3</v>
          </cell>
          <cell r="S67">
            <v>33.9</v>
          </cell>
          <cell r="T67">
            <v>20.064675132954456</v>
          </cell>
          <cell r="U67">
            <v>22.883428588188238</v>
          </cell>
          <cell r="V67">
            <v>26.732694059313943</v>
          </cell>
          <cell r="W67">
            <v>30.551650353501646</v>
          </cell>
          <cell r="X67">
            <v>34.552461709317342</v>
          </cell>
          <cell r="Y67">
            <v>31</v>
          </cell>
          <cell r="Z67">
            <v>31</v>
          </cell>
          <cell r="AA67">
            <v>35.9</v>
          </cell>
          <cell r="AB67">
            <v>9.6999999999999993</v>
          </cell>
          <cell r="AC67">
            <v>12.5</v>
          </cell>
          <cell r="AD67">
            <v>14.2</v>
          </cell>
          <cell r="AE67">
            <v>14.2</v>
          </cell>
          <cell r="AF67">
            <v>16.8</v>
          </cell>
          <cell r="AG67">
            <v>15.6</v>
          </cell>
          <cell r="AH67">
            <v>45.055499999999995</v>
          </cell>
          <cell r="AI67">
            <v>1.6</v>
          </cell>
          <cell r="AJ67">
            <v>1.6</v>
          </cell>
        </row>
        <row r="68">
          <cell r="E68">
            <v>22.6</v>
          </cell>
          <cell r="F68">
            <v>23.788486713866568</v>
          </cell>
          <cell r="G68">
            <v>23.133757721741798</v>
          </cell>
          <cell r="H68">
            <v>28.1</v>
          </cell>
          <cell r="I68">
            <v>4</v>
          </cell>
          <cell r="J68">
            <v>24.1</v>
          </cell>
          <cell r="K68">
            <v>17.100000000000001</v>
          </cell>
          <cell r="L68">
            <v>32.799999999999997</v>
          </cell>
          <cell r="M68">
            <v>40</v>
          </cell>
          <cell r="N68">
            <v>42.29</v>
          </cell>
          <cell r="O68">
            <v>41.06</v>
          </cell>
          <cell r="P68">
            <v>7.9342469360000001</v>
          </cell>
          <cell r="Q68">
            <v>7.7</v>
          </cell>
          <cell r="R68">
            <v>6.5</v>
          </cell>
          <cell r="S68">
            <v>36</v>
          </cell>
          <cell r="T68">
            <v>20.004056779078457</v>
          </cell>
          <cell r="U68">
            <v>23.034974472878226</v>
          </cell>
          <cell r="V68">
            <v>27.36918677501189</v>
          </cell>
          <cell r="W68">
            <v>31.612471546331566</v>
          </cell>
          <cell r="X68">
            <v>35.946683848465227</v>
          </cell>
          <cell r="Y68">
            <v>30.4</v>
          </cell>
          <cell r="Z68">
            <v>30.4</v>
          </cell>
          <cell r="AA68">
            <v>35.4</v>
          </cell>
          <cell r="AB68">
            <v>10.4</v>
          </cell>
          <cell r="AC68">
            <v>14</v>
          </cell>
          <cell r="AD68">
            <v>15.6</v>
          </cell>
          <cell r="AE68">
            <v>15.6</v>
          </cell>
          <cell r="AF68">
            <v>17.399999999999999</v>
          </cell>
          <cell r="AG68">
            <v>16.399999999999999</v>
          </cell>
          <cell r="AH68">
            <v>48.436500000000002</v>
          </cell>
          <cell r="AI68">
            <v>1.7</v>
          </cell>
          <cell r="AJ68">
            <v>1.7</v>
          </cell>
        </row>
        <row r="69">
          <cell r="E69">
            <v>22.6</v>
          </cell>
          <cell r="F69">
            <v>23.526595117016662</v>
          </cell>
          <cell r="G69">
            <v>22.326258631454589</v>
          </cell>
          <cell r="H69">
            <v>27.4</v>
          </cell>
          <cell r="I69">
            <v>4.0999999999999996</v>
          </cell>
          <cell r="J69">
            <v>23.7</v>
          </cell>
          <cell r="K69">
            <v>17.7</v>
          </cell>
          <cell r="L69">
            <v>33.4</v>
          </cell>
          <cell r="M69">
            <v>41.4</v>
          </cell>
          <cell r="N69">
            <v>42.54</v>
          </cell>
          <cell r="O69">
            <v>40.18</v>
          </cell>
          <cell r="P69">
            <v>8.0311879229999992</v>
          </cell>
          <cell r="Q69">
            <v>8</v>
          </cell>
          <cell r="R69">
            <v>6.7</v>
          </cell>
          <cell r="S69">
            <v>37.9</v>
          </cell>
          <cell r="T69">
            <v>19.61003747888449</v>
          </cell>
          <cell r="U69">
            <v>23.034974472878226</v>
          </cell>
          <cell r="V69">
            <v>27.854133606019854</v>
          </cell>
          <cell r="W69">
            <v>32.430819323657502</v>
          </cell>
          <cell r="X69">
            <v>36.855959156605159</v>
          </cell>
          <cell r="Y69">
            <v>29.5</v>
          </cell>
          <cell r="Z69">
            <v>29.5</v>
          </cell>
          <cell r="AA69">
            <v>34.700000000000003</v>
          </cell>
          <cell r="AB69">
            <v>11</v>
          </cell>
          <cell r="AC69">
            <v>15.7</v>
          </cell>
          <cell r="AD69">
            <v>17.2</v>
          </cell>
          <cell r="AE69">
            <v>17.2</v>
          </cell>
          <cell r="AF69">
            <v>17.8</v>
          </cell>
          <cell r="AG69">
            <v>16.899999999999999</v>
          </cell>
          <cell r="AH69">
            <v>51.523499999999991</v>
          </cell>
          <cell r="AI69">
            <v>1.81</v>
          </cell>
          <cell r="AJ69">
            <v>1.81</v>
          </cell>
        </row>
        <row r="70">
          <cell r="E70">
            <v>22.5</v>
          </cell>
          <cell r="F70">
            <v>22.260785732242109</v>
          </cell>
          <cell r="G70">
            <v>21.169570745367494</v>
          </cell>
          <cell r="H70">
            <v>26.6</v>
          </cell>
          <cell r="I70">
            <v>4.0999999999999996</v>
          </cell>
          <cell r="J70">
            <v>23.1</v>
          </cell>
          <cell r="K70">
            <v>18.100000000000001</v>
          </cell>
          <cell r="L70">
            <v>34</v>
          </cell>
          <cell r="M70">
            <v>42.3</v>
          </cell>
          <cell r="N70">
            <v>42.04</v>
          </cell>
          <cell r="O70">
            <v>38.659999999999997</v>
          </cell>
          <cell r="P70">
            <v>7.8522199469999991</v>
          </cell>
          <cell r="Q70">
            <v>8.1999999999999993</v>
          </cell>
          <cell r="R70">
            <v>6.9</v>
          </cell>
          <cell r="S70">
            <v>40.1</v>
          </cell>
          <cell r="T70">
            <v>18.821998878496551</v>
          </cell>
          <cell r="U70">
            <v>22.640955172684254</v>
          </cell>
          <cell r="V70">
            <v>27.854133606019854</v>
          </cell>
          <cell r="W70">
            <v>32.612674385285487</v>
          </cell>
          <cell r="X70">
            <v>37.280287633737132</v>
          </cell>
          <cell r="Y70">
            <v>28.2</v>
          </cell>
          <cell r="Z70">
            <v>28.2</v>
          </cell>
          <cell r="AA70">
            <v>33.9</v>
          </cell>
          <cell r="AB70">
            <v>11.8</v>
          </cell>
          <cell r="AC70">
            <v>17.5</v>
          </cell>
          <cell r="AD70">
            <v>18.7</v>
          </cell>
          <cell r="AE70">
            <v>18.7</v>
          </cell>
          <cell r="AF70">
            <v>18.600000000000001</v>
          </cell>
          <cell r="AG70">
            <v>17.100000000000001</v>
          </cell>
          <cell r="AH70">
            <v>54.536999999999999</v>
          </cell>
          <cell r="AI70">
            <v>1.91</v>
          </cell>
          <cell r="AJ70">
            <v>1.91</v>
          </cell>
        </row>
        <row r="71">
          <cell r="E71">
            <v>22.3</v>
          </cell>
          <cell r="F71">
            <v>20.514841753242731</v>
          </cell>
          <cell r="G71">
            <v>19.423626766368116</v>
          </cell>
          <cell r="H71">
            <v>22.9</v>
          </cell>
          <cell r="I71">
            <v>4</v>
          </cell>
          <cell r="J71">
            <v>21.12</v>
          </cell>
          <cell r="K71">
            <v>18.3</v>
          </cell>
          <cell r="L71">
            <v>34.6</v>
          </cell>
          <cell r="M71">
            <v>41.3</v>
          </cell>
          <cell r="N71">
            <v>40.659999999999997</v>
          </cell>
          <cell r="O71">
            <v>35.56</v>
          </cell>
          <cell r="P71">
            <v>7.5539399870000006</v>
          </cell>
          <cell r="Q71">
            <v>7.9</v>
          </cell>
          <cell r="R71">
            <v>7.6</v>
          </cell>
          <cell r="S71">
            <v>43.2</v>
          </cell>
          <cell r="T71">
            <v>17.609631800976643</v>
          </cell>
          <cell r="U71">
            <v>22.186317518614292</v>
          </cell>
          <cell r="V71">
            <v>27.490423482763884</v>
          </cell>
          <cell r="W71">
            <v>32.279273438967515</v>
          </cell>
          <cell r="X71">
            <v>37.037814218233152</v>
          </cell>
          <cell r="Y71">
            <v>26.2</v>
          </cell>
          <cell r="Z71">
            <v>26.2</v>
          </cell>
          <cell r="AA71">
            <v>26.6</v>
          </cell>
          <cell r="AB71">
            <v>14.6</v>
          </cell>
          <cell r="AC71">
            <v>18.2</v>
          </cell>
          <cell r="AD71">
            <v>22.4</v>
          </cell>
          <cell r="AE71">
            <v>22.4</v>
          </cell>
          <cell r="AF71">
            <v>17.600000000000001</v>
          </cell>
          <cell r="AG71">
            <v>17.100000000000001</v>
          </cell>
          <cell r="AH71">
            <v>56.889000000000003</v>
          </cell>
          <cell r="AI71">
            <v>2.0099999999999998</v>
          </cell>
          <cell r="AJ71">
            <v>2.0099999999999998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E73">
            <v>76.5</v>
          </cell>
          <cell r="G73">
            <v>59.5</v>
          </cell>
          <cell r="H73">
            <v>69</v>
          </cell>
          <cell r="I73">
            <v>48</v>
          </cell>
          <cell r="J73">
            <v>72</v>
          </cell>
          <cell r="K73">
            <v>73.5</v>
          </cell>
          <cell r="L73">
            <v>58</v>
          </cell>
          <cell r="M73">
            <v>69</v>
          </cell>
          <cell r="N73">
            <v>48.6</v>
          </cell>
          <cell r="O73">
            <v>41.7</v>
          </cell>
          <cell r="P73">
            <v>32.6</v>
          </cell>
          <cell r="Q73">
            <v>50</v>
          </cell>
          <cell r="R73">
            <v>71</v>
          </cell>
          <cell r="S73">
            <v>49</v>
          </cell>
          <cell r="T73">
            <v>53.024948253151855</v>
          </cell>
          <cell r="U73">
            <v>56.512608994345506</v>
          </cell>
          <cell r="V73">
            <v>62.337492373398412</v>
          </cell>
          <cell r="W73">
            <v>48.547421720127062</v>
          </cell>
          <cell r="X73">
            <v>55.178350422104387</v>
          </cell>
          <cell r="Y73">
            <v>64</v>
          </cell>
          <cell r="Z73">
            <v>64</v>
          </cell>
          <cell r="AA73">
            <v>69</v>
          </cell>
          <cell r="AB73">
            <v>41</v>
          </cell>
          <cell r="AC73">
            <v>40</v>
          </cell>
          <cell r="AD73">
            <v>30</v>
          </cell>
          <cell r="AE73">
            <v>30</v>
          </cell>
          <cell r="AF73">
            <v>71.5</v>
          </cell>
          <cell r="AG73">
            <v>71</v>
          </cell>
          <cell r="AH73">
            <v>33.1</v>
          </cell>
          <cell r="AI73">
            <v>27.8</v>
          </cell>
          <cell r="AJ73">
            <v>27.8</v>
          </cell>
        </row>
        <row r="74">
          <cell r="E74">
            <v>79.5</v>
          </cell>
          <cell r="F74">
            <v>30.6</v>
          </cell>
          <cell r="G74">
            <v>69</v>
          </cell>
          <cell r="H74">
            <v>77.5</v>
          </cell>
          <cell r="I74">
            <v>64.2</v>
          </cell>
          <cell r="J74">
            <v>79.45</v>
          </cell>
          <cell r="K74">
            <v>76.02</v>
          </cell>
          <cell r="L74">
            <v>67.3</v>
          </cell>
          <cell r="M74">
            <v>70.2</v>
          </cell>
          <cell r="N74">
            <v>59.8</v>
          </cell>
          <cell r="O74">
            <v>50.9</v>
          </cell>
          <cell r="P74">
            <v>49.5</v>
          </cell>
          <cell r="Q74">
            <v>68.400000000000006</v>
          </cell>
          <cell r="R74">
            <v>73.180000000000007</v>
          </cell>
          <cell r="S74">
            <v>60</v>
          </cell>
          <cell r="T74">
            <v>62.407321537522876</v>
          </cell>
          <cell r="U74">
            <v>65.140987027770535</v>
          </cell>
          <cell r="V74">
            <v>69.364557037095608</v>
          </cell>
          <cell r="W74">
            <v>59.158007771105616</v>
          </cell>
          <cell r="X74">
            <v>64.397890699904124</v>
          </cell>
          <cell r="Y74">
            <v>85.1</v>
          </cell>
          <cell r="Z74">
            <v>85.1</v>
          </cell>
          <cell r="AA74">
            <v>83.2</v>
          </cell>
          <cell r="AB74">
            <v>53</v>
          </cell>
          <cell r="AC74">
            <v>50</v>
          </cell>
          <cell r="AD74">
            <v>45.5</v>
          </cell>
          <cell r="AE74">
            <v>45.5</v>
          </cell>
          <cell r="AF74">
            <v>80.5</v>
          </cell>
          <cell r="AG74">
            <v>80.5</v>
          </cell>
          <cell r="AH74">
            <v>52.7</v>
          </cell>
          <cell r="AI74">
            <v>40.200000000000003</v>
          </cell>
          <cell r="AJ74">
            <v>40.200000000000003</v>
          </cell>
        </row>
        <row r="75">
          <cell r="E75">
            <v>80.900000000000006</v>
          </cell>
          <cell r="F75">
            <v>47</v>
          </cell>
          <cell r="G75">
            <v>72.5</v>
          </cell>
          <cell r="H75">
            <v>79.64</v>
          </cell>
          <cell r="I75">
            <v>66.040000000000006</v>
          </cell>
          <cell r="J75">
            <v>81.16</v>
          </cell>
          <cell r="K75">
            <v>78.069999999999993</v>
          </cell>
          <cell r="L75">
            <v>70.260000000000005</v>
          </cell>
          <cell r="M75">
            <v>71.2</v>
          </cell>
          <cell r="N75">
            <v>63.6</v>
          </cell>
          <cell r="O75">
            <v>59</v>
          </cell>
          <cell r="P75">
            <v>61.8</v>
          </cell>
          <cell r="Q75">
            <v>72.739999999999995</v>
          </cell>
          <cell r="R75">
            <v>73.97</v>
          </cell>
          <cell r="S75">
            <v>62.36</v>
          </cell>
          <cell r="T75">
            <v>77.136730074262346</v>
          </cell>
          <cell r="U75">
            <v>72.098364563758395</v>
          </cell>
          <cell r="V75">
            <v>75.295465706334923</v>
          </cell>
          <cell r="W75">
            <v>67.737859413634766</v>
          </cell>
          <cell r="X75">
            <v>71.521379288716062</v>
          </cell>
          <cell r="Y75">
            <v>86.98</v>
          </cell>
          <cell r="Z75">
            <v>86.98</v>
          </cell>
          <cell r="AA75">
            <v>85.2</v>
          </cell>
          <cell r="AB75">
            <v>54.89</v>
          </cell>
          <cell r="AC75">
            <v>55.06</v>
          </cell>
          <cell r="AD75">
            <v>47.98</v>
          </cell>
          <cell r="AE75">
            <v>47.98</v>
          </cell>
          <cell r="AF75">
            <v>83.5</v>
          </cell>
          <cell r="AG75">
            <v>82.1</v>
          </cell>
          <cell r="AH75">
            <v>66.2</v>
          </cell>
          <cell r="AI75">
            <v>43.9</v>
          </cell>
          <cell r="AJ75">
            <v>43.9</v>
          </cell>
        </row>
        <row r="76">
          <cell r="E76">
            <v>82.52</v>
          </cell>
          <cell r="F76">
            <v>59.5</v>
          </cell>
          <cell r="G76">
            <v>75.5</v>
          </cell>
          <cell r="H76">
            <v>81.22</v>
          </cell>
          <cell r="I76">
            <v>67.819999999999993</v>
          </cell>
          <cell r="J76">
            <v>82.3</v>
          </cell>
          <cell r="K76">
            <v>79.489999999999995</v>
          </cell>
          <cell r="L76">
            <v>72.459999999999994</v>
          </cell>
          <cell r="M76">
            <v>72.8</v>
          </cell>
          <cell r="N76">
            <v>64.900000000000006</v>
          </cell>
          <cell r="O76">
            <v>63.4</v>
          </cell>
          <cell r="P76">
            <v>71.5</v>
          </cell>
          <cell r="Q76">
            <v>75.38</v>
          </cell>
          <cell r="R76">
            <v>74.37</v>
          </cell>
          <cell r="S76">
            <v>64</v>
          </cell>
          <cell r="T76">
            <v>76.39491929668867</v>
          </cell>
          <cell r="U76">
            <v>78.576902395793923</v>
          </cell>
          <cell r="V76">
            <v>80.454162610789481</v>
          </cell>
          <cell r="W76">
            <v>74.905886864813041</v>
          </cell>
          <cell r="X76">
            <v>77.809640024405127</v>
          </cell>
          <cell r="Y76">
            <v>88.16</v>
          </cell>
          <cell r="Z76">
            <v>88.16</v>
          </cell>
          <cell r="AA76">
            <v>87</v>
          </cell>
          <cell r="AB76">
            <v>56.02</v>
          </cell>
          <cell r="AC76">
            <v>57.72</v>
          </cell>
          <cell r="AD76">
            <v>50.7</v>
          </cell>
          <cell r="AE76">
            <v>50.7</v>
          </cell>
          <cell r="AF76">
            <v>86.52</v>
          </cell>
          <cell r="AG76">
            <v>83.3</v>
          </cell>
          <cell r="AH76">
            <v>72.2</v>
          </cell>
          <cell r="AI76">
            <v>46.4</v>
          </cell>
          <cell r="AJ76">
            <v>46.4</v>
          </cell>
        </row>
        <row r="77">
          <cell r="E77">
            <v>83.26</v>
          </cell>
          <cell r="F77">
            <v>69</v>
          </cell>
          <cell r="G77">
            <v>77.2</v>
          </cell>
          <cell r="H77">
            <v>82.08</v>
          </cell>
          <cell r="I77">
            <v>69.06</v>
          </cell>
          <cell r="J77">
            <v>82.91</v>
          </cell>
          <cell r="K77">
            <v>79.95</v>
          </cell>
          <cell r="L77">
            <v>73.28</v>
          </cell>
          <cell r="M77">
            <v>73.86</v>
          </cell>
          <cell r="N77">
            <v>69.5</v>
          </cell>
          <cell r="O77">
            <v>67.099999999999994</v>
          </cell>
          <cell r="P77">
            <v>78.2</v>
          </cell>
          <cell r="Q77">
            <v>76.819999999999993</v>
          </cell>
          <cell r="R77">
            <v>74.930000000000007</v>
          </cell>
          <cell r="S77">
            <v>64.86</v>
          </cell>
          <cell r="T77">
            <v>80.73964163606432</v>
          </cell>
          <cell r="U77">
            <v>82.713608933506293</v>
          </cell>
          <cell r="V77">
            <v>84.072228791375466</v>
          </cell>
          <cell r="W77">
            <v>80.688939479052721</v>
          </cell>
          <cell r="X77">
            <v>82.510282837967409</v>
          </cell>
          <cell r="Y77">
            <v>89</v>
          </cell>
          <cell r="Z77">
            <v>89</v>
          </cell>
          <cell r="AA77">
            <v>88.22</v>
          </cell>
          <cell r="AB77">
            <v>56.56</v>
          </cell>
          <cell r="AC77">
            <v>59.1</v>
          </cell>
          <cell r="AD77">
            <v>51.92</v>
          </cell>
          <cell r="AE77">
            <v>51.92</v>
          </cell>
          <cell r="AF77">
            <v>87.58</v>
          </cell>
          <cell r="AG77">
            <v>84.24</v>
          </cell>
          <cell r="AH77">
            <v>74.099999999999994</v>
          </cell>
          <cell r="AI77">
            <v>47.5</v>
          </cell>
          <cell r="AJ77">
            <v>47.5</v>
          </cell>
        </row>
        <row r="78">
          <cell r="E78">
            <v>83.7</v>
          </cell>
          <cell r="F78">
            <v>77</v>
          </cell>
          <cell r="G78">
            <v>78</v>
          </cell>
          <cell r="H78">
            <v>83</v>
          </cell>
          <cell r="I78">
            <v>69.900000000000006</v>
          </cell>
          <cell r="J78">
            <v>83</v>
          </cell>
          <cell r="K78">
            <v>80</v>
          </cell>
          <cell r="L78">
            <v>73.5</v>
          </cell>
          <cell r="M78">
            <v>75.3</v>
          </cell>
          <cell r="N78">
            <v>70.099999999999994</v>
          </cell>
          <cell r="O78">
            <v>70.3</v>
          </cell>
          <cell r="P78">
            <v>82.2</v>
          </cell>
          <cell r="Q78">
            <v>77.5</v>
          </cell>
          <cell r="R78">
            <v>75.010000000000005</v>
          </cell>
          <cell r="S78">
            <v>65</v>
          </cell>
          <cell r="T78">
            <v>83.228444080127062</v>
          </cell>
          <cell r="U78">
            <v>84.894745457521694</v>
          </cell>
          <cell r="V78">
            <v>85.986871100073884</v>
          </cell>
          <cell r="W78">
            <v>84.591385396754532</v>
          </cell>
          <cell r="X78">
            <v>84.571595623588834</v>
          </cell>
          <cell r="Y78">
            <v>89.28</v>
          </cell>
          <cell r="Z78">
            <v>89.28</v>
          </cell>
          <cell r="AA78">
            <v>88.9</v>
          </cell>
          <cell r="AB78">
            <v>56.9</v>
          </cell>
          <cell r="AC78">
            <v>59.6</v>
          </cell>
          <cell r="AD78">
            <v>52.1</v>
          </cell>
          <cell r="AE78">
            <v>52.1</v>
          </cell>
          <cell r="AF78">
            <v>88</v>
          </cell>
          <cell r="AG78">
            <v>84.6</v>
          </cell>
          <cell r="AH78">
            <v>75</v>
          </cell>
          <cell r="AI78">
            <v>47.5</v>
          </cell>
          <cell r="AJ78">
            <v>47.5</v>
          </cell>
        </row>
        <row r="79">
          <cell r="E79">
            <v>83.42</v>
          </cell>
          <cell r="F79">
            <v>81</v>
          </cell>
          <cell r="G79">
            <v>78.5</v>
          </cell>
          <cell r="H79">
            <v>82</v>
          </cell>
          <cell r="I79">
            <v>69.239999999999995</v>
          </cell>
          <cell r="J79">
            <v>82.82</v>
          </cell>
          <cell r="K79">
            <v>78.77</v>
          </cell>
          <cell r="L79">
            <v>72.819999999999993</v>
          </cell>
          <cell r="M79">
            <v>75.02</v>
          </cell>
          <cell r="N79">
            <v>75.2</v>
          </cell>
          <cell r="O79">
            <v>72.900000000000006</v>
          </cell>
          <cell r="P79">
            <v>84.8</v>
          </cell>
          <cell r="Q79">
            <v>76.819999999999993</v>
          </cell>
          <cell r="R79">
            <v>74.8</v>
          </cell>
          <cell r="S79">
            <v>64.680000000000007</v>
          </cell>
          <cell r="T79">
            <v>84.424996451671774</v>
          </cell>
          <cell r="U79">
            <v>85.578395484243742</v>
          </cell>
          <cell r="V79">
            <v>86.61476510067115</v>
          </cell>
          <cell r="W79">
            <v>86.609539789069999</v>
          </cell>
          <cell r="X79">
            <v>85.389622041681392</v>
          </cell>
          <cell r="Y79">
            <v>88.52</v>
          </cell>
          <cell r="Z79">
            <v>88.52</v>
          </cell>
          <cell r="AA79">
            <v>88.3</v>
          </cell>
          <cell r="AB79">
            <v>56.44</v>
          </cell>
          <cell r="AC79">
            <v>56.6</v>
          </cell>
          <cell r="AD79">
            <v>51.68</v>
          </cell>
          <cell r="AE79">
            <v>51.68</v>
          </cell>
          <cell r="AF79">
            <v>87.68</v>
          </cell>
          <cell r="AG79">
            <v>84.04</v>
          </cell>
          <cell r="AH79">
            <v>75.099999999999994</v>
          </cell>
          <cell r="AI79">
            <v>46.6</v>
          </cell>
          <cell r="AJ79">
            <v>46.6</v>
          </cell>
        </row>
        <row r="80">
          <cell r="E80">
            <v>82.3</v>
          </cell>
          <cell r="F80">
            <v>80.5</v>
          </cell>
          <cell r="G80">
            <v>77.5</v>
          </cell>
          <cell r="H80">
            <v>79.900000000000006</v>
          </cell>
          <cell r="I80">
            <v>67.86</v>
          </cell>
          <cell r="J80">
            <v>81.98</v>
          </cell>
          <cell r="K80">
            <v>76.709999999999994</v>
          </cell>
          <cell r="L80">
            <v>71.56</v>
          </cell>
          <cell r="M80">
            <v>73.7</v>
          </cell>
          <cell r="N80">
            <v>72.2</v>
          </cell>
          <cell r="O80">
            <v>73.900000000000006</v>
          </cell>
          <cell r="P80">
            <v>85.1</v>
          </cell>
          <cell r="Q80">
            <v>74.8</v>
          </cell>
          <cell r="R80">
            <v>74.040000000000006</v>
          </cell>
          <cell r="S80">
            <v>64</v>
          </cell>
          <cell r="T80">
            <v>83.196461256863955</v>
          </cell>
          <cell r="U80">
            <v>85.382691628399868</v>
          </cell>
          <cell r="V80">
            <v>85.89683159044796</v>
          </cell>
          <cell r="W80">
            <v>86.834158049508716</v>
          </cell>
          <cell r="X80">
            <v>84.760123136819942</v>
          </cell>
          <cell r="Y80">
            <v>87.1</v>
          </cell>
          <cell r="Z80">
            <v>87.1</v>
          </cell>
          <cell r="AA80">
            <v>87.12</v>
          </cell>
          <cell r="AB80">
            <v>55.9</v>
          </cell>
          <cell r="AC80">
            <v>52</v>
          </cell>
          <cell r="AD80">
            <v>50.14</v>
          </cell>
          <cell r="AE80">
            <v>50.14</v>
          </cell>
          <cell r="AF80">
            <v>86.2</v>
          </cell>
          <cell r="AG80">
            <v>81.459999999999994</v>
          </cell>
          <cell r="AH80">
            <v>74.3</v>
          </cell>
          <cell r="AI80">
            <v>43.8</v>
          </cell>
          <cell r="AJ80">
            <v>43.8</v>
          </cell>
        </row>
        <row r="81">
          <cell r="E81">
            <v>79.92</v>
          </cell>
          <cell r="F81">
            <v>77</v>
          </cell>
          <cell r="G81">
            <v>74</v>
          </cell>
          <cell r="H81">
            <v>76</v>
          </cell>
          <cell r="I81">
            <v>65.260000000000005</v>
          </cell>
          <cell r="J81">
            <v>80.34</v>
          </cell>
          <cell r="K81">
            <v>74.069999999999993</v>
          </cell>
          <cell r="L81">
            <v>70.16</v>
          </cell>
          <cell r="M81">
            <v>70.66</v>
          </cell>
          <cell r="N81">
            <v>71.5</v>
          </cell>
          <cell r="O81">
            <v>75.2</v>
          </cell>
          <cell r="P81">
            <v>83.8</v>
          </cell>
          <cell r="Q81">
            <v>70.98</v>
          </cell>
          <cell r="R81">
            <v>73.319999999999993</v>
          </cell>
          <cell r="S81">
            <v>62.88</v>
          </cell>
          <cell r="T81">
            <v>79.586745225770983</v>
          </cell>
          <cell r="U81">
            <v>83.381534793359251</v>
          </cell>
          <cell r="V81">
            <v>83.74080960483748</v>
          </cell>
          <cell r="W81">
            <v>84.662705889732194</v>
          </cell>
          <cell r="X81">
            <v>82.840096255740022</v>
          </cell>
          <cell r="Y81">
            <v>84.2</v>
          </cell>
          <cell r="Z81">
            <v>84.2</v>
          </cell>
          <cell r="AA81">
            <v>85.1</v>
          </cell>
          <cell r="AB81">
            <v>54.8</v>
          </cell>
          <cell r="AC81">
            <v>45</v>
          </cell>
          <cell r="AD81">
            <v>47.48</v>
          </cell>
          <cell r="AE81">
            <v>47.48</v>
          </cell>
          <cell r="AF81">
            <v>83.4</v>
          </cell>
          <cell r="AG81">
            <v>77.16</v>
          </cell>
          <cell r="AH81">
            <v>72.900000000000006</v>
          </cell>
          <cell r="AI81">
            <v>39.9</v>
          </cell>
          <cell r="AJ81">
            <v>39.9</v>
          </cell>
        </row>
        <row r="82">
          <cell r="E82">
            <v>76.2</v>
          </cell>
          <cell r="F82">
            <v>69</v>
          </cell>
          <cell r="G82">
            <v>66</v>
          </cell>
          <cell r="H82">
            <v>70.5</v>
          </cell>
          <cell r="I82">
            <v>60.4</v>
          </cell>
          <cell r="J82">
            <v>77.319999999999993</v>
          </cell>
          <cell r="K82">
            <v>70.239999999999995</v>
          </cell>
          <cell r="L82">
            <v>68.2</v>
          </cell>
          <cell r="M82">
            <v>66.7</v>
          </cell>
          <cell r="N82">
            <v>69.3</v>
          </cell>
          <cell r="O82">
            <v>74.8</v>
          </cell>
          <cell r="P82">
            <v>79.400000000000006</v>
          </cell>
          <cell r="Q82">
            <v>65.5</v>
          </cell>
          <cell r="R82">
            <v>72.430000000000007</v>
          </cell>
          <cell r="S82">
            <v>60.91</v>
          </cell>
          <cell r="T82">
            <v>72.518237525532541</v>
          </cell>
          <cell r="U82">
            <v>80.381660871674626</v>
          </cell>
          <cell r="V82">
            <v>81.304984262146633</v>
          </cell>
          <cell r="W82">
            <v>80.556006586662008</v>
          </cell>
          <cell r="X82">
            <v>79.157659191357027</v>
          </cell>
          <cell r="Y82">
            <v>80.5</v>
          </cell>
          <cell r="Z82">
            <v>80.5</v>
          </cell>
          <cell r="AA82">
            <v>82.6</v>
          </cell>
          <cell r="AB82">
            <v>52.56</v>
          </cell>
          <cell r="AC82">
            <v>35</v>
          </cell>
          <cell r="AD82">
            <v>44</v>
          </cell>
          <cell r="AE82">
            <v>44</v>
          </cell>
          <cell r="AF82">
            <v>79</v>
          </cell>
          <cell r="AG82">
            <v>72</v>
          </cell>
          <cell r="AH82">
            <v>70.5</v>
          </cell>
          <cell r="AI82">
            <v>34.799999999999997</v>
          </cell>
          <cell r="AJ82">
            <v>34.799999999999997</v>
          </cell>
        </row>
        <row r="83">
          <cell r="E83">
            <v>71</v>
          </cell>
          <cell r="F83">
            <v>55</v>
          </cell>
          <cell r="G83">
            <v>50</v>
          </cell>
          <cell r="H83">
            <v>40</v>
          </cell>
          <cell r="I83">
            <v>20</v>
          </cell>
          <cell r="J83">
            <v>63</v>
          </cell>
          <cell r="K83">
            <v>66</v>
          </cell>
          <cell r="L83">
            <v>66</v>
          </cell>
          <cell r="M83">
            <v>67</v>
          </cell>
          <cell r="N83">
            <v>64.8</v>
          </cell>
          <cell r="O83">
            <v>67.7</v>
          </cell>
          <cell r="P83">
            <v>73.2</v>
          </cell>
          <cell r="Q83">
            <v>44.5</v>
          </cell>
          <cell r="R83">
            <v>65</v>
          </cell>
          <cell r="S83">
            <v>58</v>
          </cell>
          <cell r="T83">
            <v>61.872725802539023</v>
          </cell>
          <cell r="U83">
            <v>73.975250302563538</v>
          </cell>
          <cell r="V83">
            <v>77.485229719630325</v>
          </cell>
          <cell r="W83">
            <v>74.370167312600429</v>
          </cell>
          <cell r="X83">
            <v>73.672788585111874</v>
          </cell>
          <cell r="Y83">
            <v>74</v>
          </cell>
          <cell r="Z83">
            <v>74</v>
          </cell>
          <cell r="AA83">
            <v>52</v>
          </cell>
          <cell r="AB83">
            <v>36.5</v>
          </cell>
          <cell r="AC83">
            <v>31</v>
          </cell>
          <cell r="AD83">
            <v>30</v>
          </cell>
          <cell r="AE83">
            <v>30</v>
          </cell>
          <cell r="AF83">
            <v>57</v>
          </cell>
          <cell r="AG83">
            <v>60</v>
          </cell>
          <cell r="AH83">
            <v>63.4</v>
          </cell>
          <cell r="AI83">
            <v>28.3</v>
          </cell>
          <cell r="AJ83">
            <v>28.3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&amp;output"/>
      <sheetName val="EOS calculations"/>
      <sheetName val="viscosity calculations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5.bin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B106"/>
  <sheetViews>
    <sheetView tabSelected="1" zoomScale="80" zoomScaleNormal="80" workbookViewId="0">
      <selection activeCell="N23" sqref="N23"/>
    </sheetView>
  </sheetViews>
  <sheetFormatPr defaultRowHeight="12.75" x14ac:dyDescent="0.2"/>
  <cols>
    <col min="1" max="1" width="21.42578125" bestFit="1" customWidth="1"/>
    <col min="2" max="2" width="12.7109375" customWidth="1"/>
    <col min="3" max="3" width="13.28515625" customWidth="1"/>
    <col min="4" max="4" width="4.7109375" customWidth="1"/>
    <col min="5" max="5" width="13.28515625" customWidth="1"/>
    <col min="6" max="6" width="4.7109375" customWidth="1"/>
    <col min="7" max="7" width="9.5703125" bestFit="1" customWidth="1"/>
    <col min="10" max="10" width="9" customWidth="1"/>
    <col min="15" max="25" width="9.140625" customWidth="1"/>
  </cols>
  <sheetData>
    <row r="1" spans="1:22" x14ac:dyDescent="0.2">
      <c r="A1" s="18" t="s">
        <v>13</v>
      </c>
      <c r="B1" s="19"/>
      <c r="C1" s="19"/>
      <c r="D1" s="19"/>
      <c r="E1" s="19"/>
      <c r="F1" s="19"/>
      <c r="G1" s="19"/>
      <c r="H1" s="19"/>
      <c r="I1" s="19"/>
      <c r="J1" s="19"/>
      <c r="K1" s="20"/>
      <c r="L1" t="s">
        <v>157</v>
      </c>
      <c r="R1" s="75" t="s">
        <v>4</v>
      </c>
      <c r="S1" s="76"/>
      <c r="T1" s="77" t="s">
        <v>45</v>
      </c>
    </row>
    <row r="2" spans="1:22" ht="15.95" customHeight="1" x14ac:dyDescent="0.2">
      <c r="A2" s="28"/>
      <c r="B2" s="28"/>
      <c r="C2" s="28"/>
      <c r="D2" s="28"/>
      <c r="E2" s="28"/>
      <c r="F2" s="22"/>
      <c r="G2" s="23" t="s">
        <v>27</v>
      </c>
      <c r="H2" s="418" t="s">
        <v>300</v>
      </c>
      <c r="I2" s="419"/>
      <c r="J2" s="420"/>
      <c r="K2" s="25"/>
      <c r="L2" t="s">
        <v>219</v>
      </c>
      <c r="R2" s="78" t="s">
        <v>11</v>
      </c>
      <c r="S2" s="79">
        <v>2</v>
      </c>
      <c r="T2" s="80">
        <f>IF($S$2=1,$C$6*100000,IF($S$2=2,101325+100*$C$6,IF($S$2=3,101325+9.81*$C$6,101325+$C$6)))</f>
        <v>98825</v>
      </c>
    </row>
    <row r="3" spans="1:22" ht="15.95" customHeight="1" x14ac:dyDescent="0.2">
      <c r="A3" s="28"/>
      <c r="B3" s="28"/>
      <c r="C3" s="28"/>
      <c r="D3" s="28"/>
      <c r="E3" s="28"/>
      <c r="F3" s="22"/>
      <c r="G3" s="27" t="s">
        <v>26</v>
      </c>
      <c r="H3" s="418"/>
      <c r="I3" s="419"/>
      <c r="J3" s="420"/>
      <c r="K3" s="25"/>
      <c r="L3" s="249" t="s">
        <v>290</v>
      </c>
      <c r="R3" s="78" t="s">
        <v>12</v>
      </c>
      <c r="S3" s="79"/>
      <c r="T3" s="261">
        <f>T2-C28</f>
        <v>97349.334917684027</v>
      </c>
    </row>
    <row r="4" spans="1:22" ht="15.95" customHeight="1" x14ac:dyDescent="0.2">
      <c r="A4" s="288" t="s">
        <v>10</v>
      </c>
      <c r="B4" s="19"/>
      <c r="C4" s="304" t="s">
        <v>262</v>
      </c>
      <c r="D4" s="22"/>
      <c r="E4" s="256"/>
      <c r="F4" s="22"/>
      <c r="G4" s="23" t="s">
        <v>25</v>
      </c>
      <c r="H4" s="418" t="s">
        <v>301</v>
      </c>
      <c r="I4" s="419"/>
      <c r="J4" s="420"/>
      <c r="K4" s="25"/>
      <c r="R4" s="78" t="s">
        <v>61</v>
      </c>
      <c r="S4" s="79"/>
      <c r="T4" s="81"/>
    </row>
    <row r="5" spans="1:22" ht="15.95" customHeight="1" thickBot="1" x14ac:dyDescent="0.25">
      <c r="A5" s="26" t="s">
        <v>7</v>
      </c>
      <c r="B5" s="22" t="s">
        <v>2</v>
      </c>
      <c r="C5" s="305">
        <v>53</v>
      </c>
      <c r="D5" s="22"/>
      <c r="E5" s="28"/>
      <c r="F5" s="28"/>
      <c r="G5" s="23" t="s">
        <v>24</v>
      </c>
      <c r="H5" s="422"/>
      <c r="I5" s="419"/>
      <c r="J5" s="420"/>
      <c r="K5" s="29"/>
      <c r="L5" s="350"/>
      <c r="M5" s="351"/>
      <c r="N5" s="351"/>
      <c r="O5" s="249"/>
      <c r="Q5" s="2"/>
      <c r="R5" s="262" t="s">
        <v>60</v>
      </c>
      <c r="S5" t="str">
        <f>IF(S2=1,"[bar(abs)]",IF(S2=2,"[mbar(g)]",IF(S2=3,"[mm wk(g)]","[Pa (g)]")))</f>
        <v>[mbar(g)]</v>
      </c>
      <c r="T5" s="263"/>
      <c r="U5" s="1"/>
    </row>
    <row r="6" spans="1:22" ht="15.95" customHeight="1" x14ac:dyDescent="0.2">
      <c r="A6" s="26" t="s">
        <v>6</v>
      </c>
      <c r="B6" s="22"/>
      <c r="C6" s="305">
        <v>-25</v>
      </c>
      <c r="D6" s="22"/>
      <c r="E6" s="28"/>
      <c r="F6" s="28"/>
      <c r="G6" s="23" t="s">
        <v>180</v>
      </c>
      <c r="H6" s="421"/>
      <c r="I6" s="419"/>
      <c r="J6" s="420"/>
      <c r="K6" s="29"/>
      <c r="M6" s="249"/>
      <c r="Q6" s="4"/>
      <c r="R6" s="265" t="s">
        <v>49</v>
      </c>
      <c r="S6" s="76"/>
      <c r="T6" s="13">
        <f>T2/101325*273/(273+C5)</f>
        <v>0.81676149909405893</v>
      </c>
      <c r="U6" s="1"/>
    </row>
    <row r="7" spans="1:22" ht="15.95" customHeight="1" thickBot="1" x14ac:dyDescent="0.25">
      <c r="A7" s="26" t="s">
        <v>103</v>
      </c>
      <c r="B7" s="28"/>
      <c r="C7" s="305">
        <v>77500</v>
      </c>
      <c r="D7" s="28"/>
      <c r="E7" s="28"/>
      <c r="F7" s="28"/>
      <c r="G7" s="22"/>
      <c r="H7" s="28"/>
      <c r="I7" s="30"/>
      <c r="J7" s="22"/>
      <c r="K7" s="25"/>
      <c r="R7" s="266" t="s">
        <v>49</v>
      </c>
      <c r="S7" s="86"/>
      <c r="T7" s="15">
        <f>T3/101325*273/(273+C5)</f>
        <v>0.80456553223553973</v>
      </c>
    </row>
    <row r="8" spans="1:22" ht="15.95" customHeight="1" x14ac:dyDescent="0.2">
      <c r="A8" s="252" t="s">
        <v>267</v>
      </c>
      <c r="B8" s="28"/>
      <c r="C8" s="305">
        <v>0.99</v>
      </c>
      <c r="D8" s="28"/>
      <c r="E8" s="28"/>
      <c r="F8" s="28"/>
      <c r="G8" s="22"/>
      <c r="H8" s="28"/>
      <c r="I8" s="28"/>
      <c r="J8" s="22"/>
      <c r="K8" s="25"/>
      <c r="Q8" s="1"/>
      <c r="R8" s="264" t="s">
        <v>1</v>
      </c>
      <c r="S8" s="79"/>
      <c r="T8" s="14" t="s">
        <v>52</v>
      </c>
      <c r="U8" s="1" t="s">
        <v>58</v>
      </c>
      <c r="V8" t="s">
        <v>8</v>
      </c>
    </row>
    <row r="9" spans="1:22" ht="15.95" customHeight="1" x14ac:dyDescent="0.2">
      <c r="A9" s="26" t="s">
        <v>151</v>
      </c>
      <c r="B9" s="257" t="s">
        <v>265</v>
      </c>
      <c r="C9" s="305">
        <v>1.9E-2</v>
      </c>
      <c r="D9" s="416">
        <f>1000*(0.000001425*($C$5+273.15)^0.5039)/(1+(108.3/($C$5+273.15)))</f>
        <v>1.9760751869103876E-2</v>
      </c>
      <c r="E9" s="417"/>
      <c r="F9" s="417"/>
      <c r="G9" s="417"/>
      <c r="H9" s="417"/>
      <c r="I9" s="30"/>
      <c r="J9" s="22"/>
      <c r="K9" s="25"/>
      <c r="R9" s="78" t="s">
        <v>46</v>
      </c>
      <c r="S9" s="79">
        <v>2</v>
      </c>
      <c r="T9" s="10">
        <f>IF(S9=1,1,IF(S9=2,3600,IF(S9=3,T6,T6*3600)))</f>
        <v>3600</v>
      </c>
      <c r="U9" s="4">
        <f>C7/T9</f>
        <v>21.527777777777779</v>
      </c>
      <c r="V9" s="55">
        <f>T6*U9</f>
        <v>17.583060049941547</v>
      </c>
    </row>
    <row r="10" spans="1:22" ht="15.95" customHeight="1" x14ac:dyDescent="0.2">
      <c r="A10" s="252" t="s">
        <v>268</v>
      </c>
      <c r="B10" s="28" t="s">
        <v>17</v>
      </c>
      <c r="C10" s="305">
        <v>1600</v>
      </c>
      <c r="D10" s="28"/>
      <c r="E10" s="28"/>
      <c r="F10" s="22"/>
      <c r="G10" s="22"/>
      <c r="H10" s="31"/>
      <c r="I10" s="30"/>
      <c r="J10" s="22"/>
      <c r="K10" s="25"/>
      <c r="R10" s="78" t="s">
        <v>47</v>
      </c>
      <c r="S10" s="79"/>
      <c r="T10" s="14"/>
      <c r="U10" s="4">
        <f>C7/T9*(T2/T3)</f>
        <v>21.854105533312897</v>
      </c>
      <c r="V10" s="55">
        <f>T6*U9</f>
        <v>17.583060049941547</v>
      </c>
    </row>
    <row r="11" spans="1:22" ht="15.95" customHeight="1" x14ac:dyDescent="0.2">
      <c r="A11" s="32" t="s">
        <v>18</v>
      </c>
      <c r="B11" s="289"/>
      <c r="C11" s="410">
        <v>7500</v>
      </c>
      <c r="D11" s="22"/>
      <c r="E11" s="274"/>
      <c r="F11" s="22"/>
      <c r="G11" s="22"/>
      <c r="H11" s="28"/>
      <c r="I11" s="28"/>
      <c r="J11" s="22"/>
      <c r="K11" s="25"/>
      <c r="R11" s="78" t="s">
        <v>8</v>
      </c>
      <c r="S11" s="79"/>
      <c r="T11" s="14"/>
      <c r="U11" s="4"/>
    </row>
    <row r="12" spans="1:22" ht="15.95" customHeight="1" thickBo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5"/>
      <c r="M12" s="250"/>
      <c r="N12" s="249"/>
      <c r="R12" s="82" t="s">
        <v>9</v>
      </c>
      <c r="S12" s="83"/>
      <c r="T12" s="15"/>
      <c r="U12" s="4"/>
    </row>
    <row r="13" spans="1:22" ht="15.95" customHeight="1" thickBot="1" x14ac:dyDescent="0.25">
      <c r="A13" s="22"/>
      <c r="B13" s="22"/>
      <c r="C13" s="306" t="s">
        <v>262</v>
      </c>
      <c r="D13" s="306"/>
      <c r="E13" s="306" t="s">
        <v>263</v>
      </c>
      <c r="F13" s="337" t="str">
        <f>IF('Berekening trap 2'!K23&lt;'Berekening trap 1'!K23,"kies 2e trap gelijk aan of hoogwaardiger dan 1e trap","")</f>
        <v/>
      </c>
      <c r="G13" s="22"/>
      <c r="H13" s="337" t="s">
        <v>297</v>
      </c>
      <c r="I13" s="22"/>
      <c r="J13" s="22"/>
      <c r="K13" s="25"/>
      <c r="M13" s="250"/>
      <c r="N13" s="249"/>
      <c r="Q13" s="2"/>
      <c r="R13" s="84"/>
      <c r="S13" s="76"/>
      <c r="T13" s="13"/>
      <c r="U13" s="4"/>
    </row>
    <row r="14" spans="1:22" ht="15.95" customHeight="1" x14ac:dyDescent="0.2">
      <c r="A14" s="290" t="s">
        <v>260</v>
      </c>
      <c r="B14" s="19"/>
      <c r="C14" s="291"/>
      <c r="D14" s="19"/>
      <c r="E14" s="292"/>
      <c r="F14" s="337" t="str">
        <f>IF('Berekening trap 2'!K23&lt;'Berekening trap 1'!K23,"anders is berekening incorrect","")</f>
        <v/>
      </c>
      <c r="G14" s="22"/>
      <c r="H14" s="405">
        <v>1</v>
      </c>
      <c r="I14" s="404" t="s">
        <v>298</v>
      </c>
      <c r="J14" s="22"/>
      <c r="K14" s="25"/>
      <c r="M14" s="250"/>
      <c r="N14" s="249"/>
      <c r="Q14" s="4"/>
      <c r="R14" s="75" t="s">
        <v>14</v>
      </c>
      <c r="S14" s="76"/>
      <c r="T14" s="267" t="s">
        <v>16</v>
      </c>
      <c r="U14" s="4" t="s">
        <v>15</v>
      </c>
    </row>
    <row r="15" spans="1:22" ht="15.95" customHeight="1" x14ac:dyDescent="0.2">
      <c r="A15" s="26" t="s">
        <v>28</v>
      </c>
      <c r="B15" s="31" t="s">
        <v>29</v>
      </c>
      <c r="C15" s="283">
        <v>2</v>
      </c>
      <c r="D15" s="22"/>
      <c r="E15" s="275">
        <v>6</v>
      </c>
      <c r="F15" s="22"/>
      <c r="G15" s="22"/>
      <c r="H15" s="405">
        <v>1</v>
      </c>
      <c r="I15" s="404" t="s">
        <v>299</v>
      </c>
      <c r="J15" s="22"/>
      <c r="K15" s="25"/>
      <c r="Q15" s="3"/>
      <c r="R15" s="78" t="s">
        <v>15</v>
      </c>
      <c r="S15" s="79">
        <v>2</v>
      </c>
      <c r="T15" s="268">
        <f>IF(S15=1,C8*T6,C8)</f>
        <v>0.99</v>
      </c>
      <c r="U15" s="4">
        <f>T15/T6</f>
        <v>1.2121041468018448</v>
      </c>
    </row>
    <row r="16" spans="1:22" ht="15.95" customHeight="1" thickBot="1" x14ac:dyDescent="0.25">
      <c r="A16" s="26" t="s">
        <v>30</v>
      </c>
      <c r="B16" s="28" t="s">
        <v>3</v>
      </c>
      <c r="C16" s="283">
        <v>20</v>
      </c>
      <c r="D16" s="22"/>
      <c r="E16" s="275">
        <v>25</v>
      </c>
      <c r="F16" s="22"/>
      <c r="G16" s="22"/>
      <c r="H16" s="22"/>
      <c r="I16" s="22"/>
      <c r="J16" s="22"/>
      <c r="K16" s="25"/>
      <c r="R16" s="85" t="s">
        <v>16</v>
      </c>
      <c r="S16" s="86"/>
      <c r="T16" s="269">
        <f>IF(S15=1,C8*T7,C8)</f>
        <v>0.99</v>
      </c>
      <c r="U16" s="4">
        <f>T16/T7</f>
        <v>1.230477767608585</v>
      </c>
    </row>
    <row r="17" spans="1:28" ht="15.95" customHeight="1" x14ac:dyDescent="0.2">
      <c r="A17" s="26" t="s">
        <v>31</v>
      </c>
      <c r="B17" s="28" t="s">
        <v>0</v>
      </c>
      <c r="C17" s="284">
        <f>SQRT(U9/'Berekening trap 1'!K24/'Berekening trap 1'!K25/C16/C15)*1000</f>
        <v>1726.8517858312352</v>
      </c>
      <c r="D17" s="22"/>
      <c r="E17" s="276">
        <f>SQRT(U10/'Berekening trap 2'!K24/'Berekening trap 2'!K25/E16/E15)*1000</f>
        <v>1253.1837924021575</v>
      </c>
      <c r="F17" s="22"/>
      <c r="G17" s="22"/>
      <c r="H17" s="22"/>
      <c r="I17" s="22"/>
      <c r="J17" s="22"/>
      <c r="K17" s="25"/>
      <c r="R17" s="87"/>
      <c r="S17" s="79"/>
      <c r="T17" s="4"/>
      <c r="U17" s="1"/>
    </row>
    <row r="18" spans="1:28" ht="15.95" customHeight="1" x14ac:dyDescent="0.2">
      <c r="A18" s="26" t="s">
        <v>32</v>
      </c>
      <c r="B18" s="28" t="s">
        <v>0</v>
      </c>
      <c r="C18" s="283">
        <v>1700</v>
      </c>
      <c r="D18" s="22"/>
      <c r="E18" s="275">
        <v>1250</v>
      </c>
      <c r="F18" s="22"/>
      <c r="G18" s="22"/>
      <c r="H18" s="22"/>
      <c r="I18" s="22"/>
      <c r="J18" s="22"/>
      <c r="K18" s="25"/>
      <c r="R18" s="88" t="s">
        <v>19</v>
      </c>
      <c r="S18" s="79"/>
      <c r="T18" s="1" t="s">
        <v>102</v>
      </c>
      <c r="U18" t="s">
        <v>156</v>
      </c>
      <c r="V18" s="1" t="s">
        <v>16</v>
      </c>
      <c r="W18" t="s">
        <v>15</v>
      </c>
    </row>
    <row r="19" spans="1:28" ht="15.95" customHeight="1" x14ac:dyDescent="0.2">
      <c r="A19" s="26" t="s">
        <v>33</v>
      </c>
      <c r="B19" s="28"/>
      <c r="C19" s="26"/>
      <c r="D19" s="22"/>
      <c r="E19" s="25"/>
      <c r="F19" s="22"/>
      <c r="G19" s="22"/>
      <c r="H19" s="22"/>
      <c r="I19" s="22"/>
      <c r="J19" s="22"/>
      <c r="K19" s="25"/>
      <c r="R19" s="87" t="s">
        <v>20</v>
      </c>
      <c r="S19" s="79">
        <v>5</v>
      </c>
      <c r="T19" s="68">
        <f>IF(S19=1,1/1000*U9,IF(S19=2,V9/1000,IF(S19=3,U9,IF(S19=4,V9,1/3600))))</f>
        <v>2.7777777777777778E-4</v>
      </c>
      <c r="U19" s="70">
        <f>C11*T19</f>
        <v>2.0833333333333335</v>
      </c>
      <c r="V19" s="69">
        <f>U19/U9</f>
        <v>9.6774193548387094E-2</v>
      </c>
      <c r="W19" s="70">
        <f>U19/V9</f>
        <v>0.11848525384182255</v>
      </c>
    </row>
    <row r="20" spans="1:28" ht="15.95" customHeight="1" x14ac:dyDescent="0.3">
      <c r="A20" s="26" t="s">
        <v>154</v>
      </c>
      <c r="B20" s="259" t="s">
        <v>261</v>
      </c>
      <c r="C20" s="283">
        <v>1</v>
      </c>
      <c r="D20" s="22"/>
      <c r="E20" s="275">
        <v>1</v>
      </c>
      <c r="F20" s="257" t="s">
        <v>288</v>
      </c>
      <c r="G20" s="28"/>
      <c r="H20" s="28"/>
      <c r="I20" s="22"/>
      <c r="J20" s="22"/>
      <c r="K20" s="25"/>
      <c r="Q20" s="2"/>
      <c r="R20" s="87" t="s">
        <v>21</v>
      </c>
      <c r="S20" s="79"/>
      <c r="T20" s="68"/>
      <c r="U20" s="294"/>
      <c r="V20" s="69">
        <f>C30*U9/U10/1000</f>
        <v>7.9367362295494088E-3</v>
      </c>
      <c r="W20" s="70">
        <f>C31/1000</f>
        <v>9.8646237149839743E-3</v>
      </c>
    </row>
    <row r="21" spans="1:28" ht="15.95" customHeight="1" x14ac:dyDescent="0.2">
      <c r="A21" s="26" t="s">
        <v>247</v>
      </c>
      <c r="B21" s="259" t="s">
        <v>261</v>
      </c>
      <c r="C21" s="285"/>
      <c r="D21" s="22"/>
      <c r="E21" s="277"/>
      <c r="F21" s="28" t="s">
        <v>147</v>
      </c>
      <c r="G21" s="28"/>
      <c r="H21" s="30"/>
      <c r="I21" s="22"/>
      <c r="J21" s="22"/>
      <c r="K21" s="25"/>
      <c r="Q21" s="4"/>
      <c r="R21" s="87" t="s">
        <v>16</v>
      </c>
      <c r="S21" s="79"/>
      <c r="T21" s="1"/>
      <c r="U21" s="3"/>
    </row>
    <row r="22" spans="1:28" ht="15.95" customHeight="1" x14ac:dyDescent="0.2">
      <c r="A22" s="278"/>
      <c r="B22" s="28"/>
      <c r="C22" s="278"/>
      <c r="D22" s="22"/>
      <c r="E22" s="29"/>
      <c r="F22" s="28"/>
      <c r="G22" s="28"/>
      <c r="H22" s="28"/>
      <c r="I22" s="22"/>
      <c r="J22" s="22"/>
      <c r="K22" s="25"/>
      <c r="Q22" s="4"/>
      <c r="R22" s="79" t="s">
        <v>15</v>
      </c>
      <c r="S22" s="89"/>
      <c r="T22" s="1"/>
      <c r="U22" s="3"/>
      <c r="W22" s="142"/>
      <c r="X22" s="142"/>
      <c r="Y22" s="142"/>
      <c r="Z22" s="142"/>
      <c r="AA22" s="142"/>
      <c r="AB22" s="142"/>
    </row>
    <row r="23" spans="1:28" ht="15.95" customHeight="1" x14ac:dyDescent="0.2">
      <c r="A23" s="21" t="s">
        <v>264</v>
      </c>
      <c r="B23" s="22"/>
      <c r="C23" s="26"/>
      <c r="D23" s="22"/>
      <c r="E23" s="279"/>
      <c r="F23" s="28"/>
      <c r="G23" s="28"/>
      <c r="H23" s="28"/>
      <c r="I23" s="22"/>
      <c r="J23" s="22"/>
      <c r="K23" s="25"/>
      <c r="M23" s="250"/>
      <c r="N23" s="250"/>
      <c r="O23" s="250"/>
      <c r="R23" s="90" t="s">
        <v>57</v>
      </c>
      <c r="S23" s="91"/>
      <c r="T23" s="1"/>
      <c r="U23" s="3"/>
      <c r="W23" s="401"/>
      <c r="X23" s="142"/>
      <c r="Y23" s="411"/>
      <c r="Z23" s="142"/>
      <c r="AA23" s="411"/>
      <c r="AB23" s="142"/>
    </row>
    <row r="24" spans="1:28" ht="15.95" customHeight="1" x14ac:dyDescent="0.2">
      <c r="A24" s="26" t="s">
        <v>39</v>
      </c>
      <c r="B24" s="22" t="s">
        <v>3</v>
      </c>
      <c r="C24" s="286">
        <f>'Berekening trap 1'!R24</f>
        <v>20.636796472169738</v>
      </c>
      <c r="D24" s="22"/>
      <c r="E24" s="280">
        <f>'Berekening trap 2'!R24</f>
        <v>25.127513880631255</v>
      </c>
      <c r="F24" s="28"/>
      <c r="G24" s="28"/>
      <c r="H24" s="66"/>
      <c r="I24" s="22"/>
      <c r="J24" s="22"/>
      <c r="K24" s="25"/>
      <c r="R24" s="88" t="s">
        <v>22</v>
      </c>
      <c r="S24" s="79"/>
      <c r="T24" s="35"/>
      <c r="U24" s="3"/>
      <c r="W24" s="142"/>
      <c r="X24" s="412"/>
      <c r="Y24" s="413"/>
      <c r="Z24" s="142"/>
      <c r="AA24" s="413"/>
      <c r="AB24" s="142"/>
    </row>
    <row r="25" spans="1:28" ht="15.95" customHeight="1" x14ac:dyDescent="0.2">
      <c r="A25" s="26" t="s">
        <v>40</v>
      </c>
      <c r="B25" s="22" t="s">
        <v>3</v>
      </c>
      <c r="C25" s="286">
        <f>'Berekening trap 1'!R25</f>
        <v>15.121867484275436</v>
      </c>
      <c r="D25" s="22"/>
      <c r="E25" s="280">
        <f>'Berekening trap 2'!R25</f>
        <v>31.491629059001315</v>
      </c>
      <c r="F25" s="65"/>
      <c r="G25" s="28"/>
      <c r="H25" s="66"/>
      <c r="I25" s="22"/>
      <c r="J25" s="22"/>
      <c r="K25" s="25"/>
      <c r="L25" s="43"/>
      <c r="R25" s="87">
        <v>300</v>
      </c>
      <c r="S25" s="79">
        <v>3</v>
      </c>
      <c r="U25" s="3"/>
      <c r="W25" s="142"/>
      <c r="X25" s="1"/>
      <c r="Y25" s="413"/>
      <c r="Z25" s="142"/>
      <c r="AA25" s="413"/>
      <c r="AB25" s="142"/>
    </row>
    <row r="26" spans="1:28" ht="15.95" customHeight="1" x14ac:dyDescent="0.2">
      <c r="A26" s="26" t="s">
        <v>221</v>
      </c>
      <c r="B26" s="255" t="s">
        <v>261</v>
      </c>
      <c r="C26" s="287">
        <f>'Berekening trap 1'!B51</f>
        <v>1.3150910770069812</v>
      </c>
      <c r="D26" s="273"/>
      <c r="E26" s="281">
        <f>'Berekening trap 2'!B51</f>
        <v>1.0219573149536789</v>
      </c>
      <c r="F26" s="253"/>
      <c r="G26" s="307" t="s">
        <v>269</v>
      </c>
      <c r="H26" s="253"/>
      <c r="I26" s="253"/>
      <c r="J26" s="258"/>
      <c r="K26" s="25"/>
      <c r="R26" s="87">
        <v>350</v>
      </c>
      <c r="S26" s="35">
        <v>6</v>
      </c>
      <c r="T26" s="6"/>
      <c r="W26" s="142"/>
      <c r="X26" s="1"/>
      <c r="Y26" s="414"/>
      <c r="Z26" s="142"/>
      <c r="AA26" s="414"/>
      <c r="AB26" s="142"/>
    </row>
    <row r="27" spans="1:28" ht="15.95" customHeight="1" x14ac:dyDescent="0.2">
      <c r="A27" s="278" t="s">
        <v>41</v>
      </c>
      <c r="B27" s="28" t="s">
        <v>5</v>
      </c>
      <c r="C27" s="301">
        <f>'Berekening trap 1'!W190</f>
        <v>91.674386984769242</v>
      </c>
      <c r="D27" s="302"/>
      <c r="E27" s="303">
        <f>'Berekening trap 2'!P190</f>
        <v>84.480339672816811</v>
      </c>
      <c r="F27" s="310"/>
      <c r="G27" s="311">
        <f>100-100*G31/(W19*1000)</f>
        <v>98.707893139880426</v>
      </c>
      <c r="H27" s="254"/>
      <c r="I27" s="258"/>
      <c r="J27" s="258"/>
      <c r="K27" s="25"/>
      <c r="Q27" s="2"/>
      <c r="R27" s="87">
        <v>435</v>
      </c>
      <c r="S27" s="79"/>
      <c r="T27" s="6"/>
      <c r="W27" s="142"/>
      <c r="X27" s="1"/>
      <c r="Y27" s="413"/>
      <c r="Z27" s="142"/>
      <c r="AA27" s="413"/>
      <c r="AB27" s="142"/>
    </row>
    <row r="28" spans="1:28" ht="15.95" customHeight="1" x14ac:dyDescent="0.2">
      <c r="A28" s="278" t="s">
        <v>42</v>
      </c>
      <c r="B28" s="28" t="s">
        <v>83</v>
      </c>
      <c r="C28" s="297">
        <f>'Berekening trap 1'!R27</f>
        <v>1475.6650823159694</v>
      </c>
      <c r="D28" s="22"/>
      <c r="E28" s="298">
        <f>'Berekening trap 2'!R27</f>
        <v>2645.9553191203759</v>
      </c>
      <c r="F28" s="26"/>
      <c r="G28" s="276">
        <f>C28+E28</f>
        <v>4121.6204014363448</v>
      </c>
      <c r="H28" s="22"/>
      <c r="I28" s="22"/>
      <c r="J28" s="258"/>
      <c r="K28" s="25"/>
      <c r="Q28" s="4"/>
      <c r="R28" s="79">
        <v>550</v>
      </c>
      <c r="S28" s="89"/>
      <c r="T28" s="6"/>
      <c r="W28" s="142"/>
      <c r="X28" s="1"/>
      <c r="Y28" s="142"/>
      <c r="Z28" s="142"/>
      <c r="AA28" s="142"/>
      <c r="AB28" s="142"/>
    </row>
    <row r="29" spans="1:28" ht="15.95" customHeight="1" x14ac:dyDescent="0.2">
      <c r="A29" s="26" t="s">
        <v>42</v>
      </c>
      <c r="B29" s="22" t="s">
        <v>84</v>
      </c>
      <c r="C29" s="297">
        <f>'Berekening trap 1'!R28</f>
        <v>1741.2847971328438</v>
      </c>
      <c r="D29" s="22"/>
      <c r="E29" s="298">
        <f>'Berekening trap 2'!R28</f>
        <v>1928.9908137976563</v>
      </c>
      <c r="F29" s="26"/>
      <c r="G29" s="276">
        <f>C29+E29</f>
        <v>3670.2756109305001</v>
      </c>
      <c r="H29" s="22"/>
      <c r="I29" s="22"/>
      <c r="J29" s="258"/>
      <c r="K29" s="25"/>
      <c r="R29" s="79">
        <v>750</v>
      </c>
      <c r="S29" s="92"/>
      <c r="T29" s="6"/>
      <c r="W29" s="142"/>
      <c r="X29" s="415"/>
      <c r="Y29" s="413"/>
      <c r="Z29" s="142"/>
      <c r="AA29" s="413"/>
      <c r="AB29" s="142"/>
    </row>
    <row r="30" spans="1:28" ht="15.95" customHeight="1" x14ac:dyDescent="0.2">
      <c r="A30" s="278" t="s">
        <v>43</v>
      </c>
      <c r="B30" s="257" t="s">
        <v>143</v>
      </c>
      <c r="C30" s="296">
        <f>'Berekening trap 1'!W191</f>
        <v>8.0570448534491153</v>
      </c>
      <c r="D30" s="22"/>
      <c r="E30" s="299">
        <f>'Berekening trap 2'!P191</f>
        <v>1.2317545038905546</v>
      </c>
      <c r="F30" s="26"/>
      <c r="G30" s="308">
        <f>E30</f>
        <v>1.2317545038905546</v>
      </c>
      <c r="H30" s="22"/>
      <c r="I30" s="22"/>
      <c r="J30" s="254"/>
      <c r="K30" s="25" t="s">
        <v>56</v>
      </c>
      <c r="Q30" s="4"/>
      <c r="R30" s="79">
        <v>850</v>
      </c>
      <c r="S30" s="79"/>
      <c r="T30" s="6"/>
    </row>
    <row r="31" spans="1:28" ht="15.95" customHeight="1" x14ac:dyDescent="0.2">
      <c r="A31" s="282" t="s">
        <v>43</v>
      </c>
      <c r="B31" s="34" t="s">
        <v>44</v>
      </c>
      <c r="C31" s="295">
        <f>'Berekening trap 1'!W192</f>
        <v>9.8646237149839742</v>
      </c>
      <c r="D31" s="34"/>
      <c r="E31" s="300">
        <f>'Berekening trap 2'!P192</f>
        <v>1.5309560931202726</v>
      </c>
      <c r="F31" s="32"/>
      <c r="G31" s="309">
        <f>E31</f>
        <v>1.5309560931202726</v>
      </c>
      <c r="H31" s="22"/>
      <c r="I31" s="22"/>
      <c r="J31" s="258"/>
      <c r="K31" s="25"/>
      <c r="Q31" s="347">
        <f>'[4]input&amp;output'!T37</f>
        <v>0</v>
      </c>
      <c r="R31" s="347">
        <f>'[4]input&amp;output'!U37</f>
        <v>0</v>
      </c>
      <c r="S31" s="348">
        <f>'[4]input&amp;output'!V37</f>
        <v>0</v>
      </c>
      <c r="T31" s="349" t="e">
        <f>($L5*$C$8^$M5)/(1+($N5/$C$8)+#REF!/($C$8^2))</f>
        <v>#REF!</v>
      </c>
    </row>
    <row r="32" spans="1:28" ht="15.95" customHeight="1" x14ac:dyDescent="0.2">
      <c r="A32" s="26"/>
      <c r="B32" s="22"/>
      <c r="C32" s="22"/>
      <c r="D32" s="22"/>
      <c r="E32" s="22"/>
      <c r="F32" s="22"/>
      <c r="G32" s="22"/>
      <c r="H32" s="22"/>
      <c r="I32" s="22"/>
      <c r="J32" s="246"/>
      <c r="K32" s="29"/>
      <c r="R32" s="93">
        <v>1850</v>
      </c>
      <c r="S32" s="93"/>
    </row>
    <row r="33" spans="1:25" ht="15.95" customHeight="1" x14ac:dyDescent="0.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9"/>
      <c r="R33" s="91" t="s">
        <v>59</v>
      </c>
      <c r="S33" s="93"/>
    </row>
    <row r="34" spans="1:25" ht="15.95" customHeight="1" thickBot="1" x14ac:dyDescent="0.25">
      <c r="A34" s="260" t="s">
        <v>266</v>
      </c>
      <c r="B34" s="239"/>
      <c r="C34" s="24"/>
      <c r="D34" s="67" t="s">
        <v>248</v>
      </c>
      <c r="E34" s="22"/>
      <c r="F34" s="22"/>
      <c r="G34" s="22"/>
      <c r="H34" s="22"/>
      <c r="I34" s="22"/>
      <c r="J34" s="28"/>
      <c r="K34" s="29"/>
      <c r="R34" s="93"/>
      <c r="S34" s="93"/>
    </row>
    <row r="35" spans="1:25" ht="15.95" customHeight="1" x14ac:dyDescent="0.2">
      <c r="A35" s="236" t="s">
        <v>37</v>
      </c>
      <c r="B35" s="237" t="s">
        <v>38</v>
      </c>
      <c r="C35" s="236" t="s">
        <v>96</v>
      </c>
      <c r="D35" s="67" t="s">
        <v>50</v>
      </c>
      <c r="E35" s="22"/>
      <c r="F35" s="22"/>
      <c r="G35" s="22"/>
      <c r="H35" s="22"/>
      <c r="I35" s="22"/>
      <c r="J35" s="22"/>
      <c r="K35" s="25"/>
      <c r="Q35" s="2"/>
      <c r="R35" s="75" t="s">
        <v>34</v>
      </c>
      <c r="S35" s="76"/>
      <c r="T35" s="11"/>
      <c r="V35" s="36"/>
    </row>
    <row r="36" spans="1:25" ht="15.95" customHeight="1" x14ac:dyDescent="0.2">
      <c r="A36" s="402">
        <v>0.3</v>
      </c>
      <c r="B36" s="242">
        <v>1E-3</v>
      </c>
      <c r="C36" s="245">
        <v>1</v>
      </c>
      <c r="D36" s="67" t="s">
        <v>258</v>
      </c>
      <c r="E36" s="22"/>
      <c r="F36" s="22"/>
      <c r="G36" s="22"/>
      <c r="H36" s="22"/>
      <c r="I36" s="22"/>
      <c r="J36" s="28"/>
      <c r="K36" s="29"/>
      <c r="Q36" s="4"/>
      <c r="R36" s="78" t="s">
        <v>35</v>
      </c>
      <c r="S36" s="79">
        <v>2</v>
      </c>
      <c r="T36" s="12">
        <v>2</v>
      </c>
      <c r="U36" t="str">
        <f>IF(S36=1,"NA","Y")</f>
        <v>Y</v>
      </c>
      <c r="Y36" s="36"/>
    </row>
    <row r="37" spans="1:25" ht="15.95" customHeight="1" thickBot="1" x14ac:dyDescent="0.25">
      <c r="A37" s="403">
        <v>5</v>
      </c>
      <c r="B37" s="232">
        <v>6</v>
      </c>
      <c r="C37" s="25">
        <f>C36+1</f>
        <v>2</v>
      </c>
      <c r="D37" s="22"/>
      <c r="E37" s="22"/>
      <c r="F37" s="22"/>
      <c r="G37" s="22"/>
      <c r="H37" s="22"/>
      <c r="I37" s="22"/>
      <c r="J37" s="22"/>
      <c r="K37" s="25"/>
      <c r="R37" s="94" t="s">
        <v>36</v>
      </c>
      <c r="S37" s="86">
        <v>1</v>
      </c>
      <c r="T37" s="16"/>
      <c r="U37" t="str">
        <f>IF(T36=1,"NA","Y")</f>
        <v>Y</v>
      </c>
      <c r="V37" s="36"/>
      <c r="Y37" s="36"/>
    </row>
    <row r="38" spans="1:25" ht="15.95" customHeight="1" x14ac:dyDescent="0.2">
      <c r="A38" s="403">
        <v>10</v>
      </c>
      <c r="B38" s="232">
        <v>18</v>
      </c>
      <c r="C38" s="25">
        <f t="shared" ref="C38:C101" si="0">C37+1</f>
        <v>3</v>
      </c>
      <c r="D38" s="22"/>
      <c r="E38" s="22"/>
      <c r="F38" s="22"/>
      <c r="G38" s="22"/>
      <c r="H38" s="22"/>
      <c r="I38" s="22"/>
      <c r="J38" s="22"/>
      <c r="K38" s="25"/>
      <c r="N38" s="1"/>
      <c r="Q38" s="4"/>
      <c r="R38" s="7"/>
      <c r="S38" s="6"/>
      <c r="V38" s="36"/>
      <c r="Y38" s="36"/>
    </row>
    <row r="39" spans="1:25" ht="15.95" customHeight="1" x14ac:dyDescent="0.2">
      <c r="A39" s="403">
        <v>15</v>
      </c>
      <c r="B39" s="232">
        <v>38.9</v>
      </c>
      <c r="C39" s="25">
        <f t="shared" si="0"/>
        <v>4</v>
      </c>
      <c r="D39" s="22"/>
      <c r="E39" s="22"/>
      <c r="F39" s="22"/>
      <c r="G39" s="22"/>
      <c r="H39" s="22"/>
      <c r="I39" s="22"/>
      <c r="J39" s="22"/>
      <c r="K39" s="25"/>
      <c r="R39" s="17"/>
      <c r="S39" s="6"/>
      <c r="T39" s="6"/>
      <c r="U39" s="6"/>
      <c r="V39" s="36"/>
      <c r="Y39" s="47"/>
    </row>
    <row r="40" spans="1:25" ht="15.95" customHeight="1" x14ac:dyDescent="0.2">
      <c r="A40" s="403">
        <v>20</v>
      </c>
      <c r="B40" s="232">
        <v>59.5</v>
      </c>
      <c r="C40" s="25">
        <f t="shared" si="0"/>
        <v>5</v>
      </c>
      <c r="D40" s="22"/>
      <c r="E40" s="22"/>
      <c r="F40" s="22"/>
      <c r="G40" s="22"/>
      <c r="H40" s="22"/>
      <c r="I40" s="22"/>
      <c r="J40" s="22"/>
      <c r="K40" s="25"/>
      <c r="R40" s="7"/>
      <c r="S40" s="6"/>
      <c r="T40" s="6"/>
      <c r="U40" s="6"/>
      <c r="V40" s="47"/>
    </row>
    <row r="41" spans="1:25" ht="15.95" customHeight="1" x14ac:dyDescent="0.2">
      <c r="A41" s="403">
        <v>25</v>
      </c>
      <c r="B41" s="232">
        <v>75.5</v>
      </c>
      <c r="C41" s="25">
        <f t="shared" si="0"/>
        <v>6</v>
      </c>
      <c r="D41" s="22"/>
      <c r="E41" s="22"/>
      <c r="F41" s="22"/>
      <c r="G41" s="22"/>
      <c r="H41" s="22"/>
      <c r="I41" s="22"/>
      <c r="J41" s="246"/>
      <c r="K41" s="29"/>
    </row>
    <row r="42" spans="1:25" ht="15.95" customHeight="1" x14ac:dyDescent="0.2">
      <c r="A42" s="403">
        <v>30</v>
      </c>
      <c r="B42" s="232">
        <v>86.2</v>
      </c>
      <c r="C42" s="25">
        <f t="shared" si="0"/>
        <v>7</v>
      </c>
      <c r="D42" s="22"/>
      <c r="E42" s="22"/>
      <c r="F42" s="22"/>
      <c r="G42" s="22"/>
      <c r="H42" s="22"/>
      <c r="I42" s="22"/>
      <c r="J42" s="28"/>
      <c r="K42" s="29"/>
    </row>
    <row r="43" spans="1:25" ht="15.95" customHeight="1" x14ac:dyDescent="0.2">
      <c r="A43" s="403">
        <v>35</v>
      </c>
      <c r="B43" s="232">
        <v>93</v>
      </c>
      <c r="C43" s="25">
        <f t="shared" si="0"/>
        <v>8</v>
      </c>
      <c r="D43" s="22"/>
      <c r="E43" s="22"/>
      <c r="F43" s="22"/>
      <c r="G43" s="22"/>
      <c r="H43" s="22"/>
      <c r="I43" s="22"/>
      <c r="J43" s="22"/>
      <c r="K43" s="25"/>
      <c r="N43" s="36"/>
      <c r="R43" s="6"/>
      <c r="S43" s="6"/>
      <c r="T43" s="6"/>
    </row>
    <row r="44" spans="1:25" ht="15.95" customHeight="1" x14ac:dyDescent="0.2">
      <c r="A44" s="403">
        <v>40</v>
      </c>
      <c r="B44" s="232">
        <v>96.6</v>
      </c>
      <c r="C44" s="25">
        <f t="shared" si="0"/>
        <v>9</v>
      </c>
      <c r="D44" s="22"/>
      <c r="E44" s="22"/>
      <c r="F44" s="22"/>
      <c r="G44" s="22"/>
      <c r="H44" s="22"/>
      <c r="I44" s="22"/>
      <c r="J44" s="28"/>
      <c r="K44" s="29"/>
      <c r="R44" s="6"/>
      <c r="S44" s="6"/>
      <c r="T44" s="6"/>
    </row>
    <row r="45" spans="1:25" ht="15.95" customHeight="1" x14ac:dyDescent="0.2">
      <c r="A45" s="403">
        <v>45</v>
      </c>
      <c r="B45" s="232">
        <v>98.5</v>
      </c>
      <c r="C45" s="25">
        <f t="shared" si="0"/>
        <v>10</v>
      </c>
      <c r="D45" s="22"/>
      <c r="E45" s="22"/>
      <c r="F45" s="22"/>
      <c r="G45" s="22"/>
      <c r="H45" s="22"/>
      <c r="I45" s="22"/>
      <c r="J45" s="22"/>
      <c r="K45" s="25"/>
      <c r="N45" s="353"/>
      <c r="R45" s="6"/>
      <c r="S45" s="6"/>
      <c r="T45" s="6"/>
    </row>
    <row r="46" spans="1:25" ht="15.95" customHeight="1" x14ac:dyDescent="0.2">
      <c r="A46" s="403">
        <v>50</v>
      </c>
      <c r="B46" s="232">
        <v>99.5</v>
      </c>
      <c r="C46" s="25">
        <f t="shared" si="0"/>
        <v>11</v>
      </c>
      <c r="D46" s="22"/>
      <c r="E46" s="22"/>
      <c r="F46" s="22"/>
      <c r="G46" s="22"/>
      <c r="H46" s="22"/>
      <c r="I46" s="22"/>
      <c r="J46" s="22"/>
      <c r="K46" s="25"/>
    </row>
    <row r="47" spans="1:25" x14ac:dyDescent="0.2">
      <c r="A47" s="231"/>
      <c r="B47" s="232"/>
      <c r="C47" s="25">
        <f t="shared" si="0"/>
        <v>12</v>
      </c>
      <c r="D47" s="22"/>
      <c r="E47" s="22"/>
      <c r="F47" s="22"/>
      <c r="G47" s="22"/>
      <c r="H47" s="22"/>
      <c r="I47" s="22"/>
      <c r="J47" s="22"/>
      <c r="K47" s="25"/>
    </row>
    <row r="48" spans="1:25" x14ac:dyDescent="0.2">
      <c r="A48" s="231"/>
      <c r="B48" s="232"/>
      <c r="C48" s="25">
        <f t="shared" si="0"/>
        <v>13</v>
      </c>
      <c r="D48" s="22"/>
      <c r="E48" s="22"/>
      <c r="F48" s="22"/>
      <c r="G48" s="22"/>
      <c r="H48" s="22"/>
      <c r="I48" s="22"/>
      <c r="J48" s="22"/>
      <c r="K48" s="25"/>
    </row>
    <row r="49" spans="1:11" x14ac:dyDescent="0.2">
      <c r="A49" s="231"/>
      <c r="B49" s="232"/>
      <c r="C49" s="25">
        <f t="shared" si="0"/>
        <v>14</v>
      </c>
      <c r="D49" s="22"/>
      <c r="E49" s="22"/>
      <c r="F49" s="22"/>
      <c r="G49" s="22"/>
      <c r="H49" s="22"/>
      <c r="I49" s="22"/>
      <c r="J49" s="246"/>
      <c r="K49" s="29"/>
    </row>
    <row r="50" spans="1:11" x14ac:dyDescent="0.2">
      <c r="A50" s="231"/>
      <c r="B50" s="232"/>
      <c r="C50" s="25">
        <f t="shared" si="0"/>
        <v>15</v>
      </c>
      <c r="D50" s="22"/>
      <c r="E50" s="22"/>
      <c r="F50" s="22"/>
      <c r="G50" s="22"/>
      <c r="H50" s="22"/>
      <c r="I50" s="22"/>
      <c r="J50" s="28"/>
      <c r="K50" s="29"/>
    </row>
    <row r="51" spans="1:11" x14ac:dyDescent="0.2">
      <c r="A51" s="231"/>
      <c r="B51" s="232"/>
      <c r="C51" s="25">
        <f t="shared" si="0"/>
        <v>16</v>
      </c>
      <c r="D51" s="22"/>
      <c r="E51" s="22"/>
      <c r="F51" s="22"/>
      <c r="G51" s="22"/>
      <c r="H51" s="22"/>
      <c r="I51" s="22"/>
      <c r="J51" s="22"/>
      <c r="K51" s="25"/>
    </row>
    <row r="52" spans="1:11" x14ac:dyDescent="0.2">
      <c r="A52" s="231"/>
      <c r="B52" s="232"/>
      <c r="C52" s="25">
        <f t="shared" si="0"/>
        <v>17</v>
      </c>
      <c r="D52" s="22"/>
      <c r="E52" s="22"/>
      <c r="F52" s="22"/>
      <c r="G52" s="22"/>
      <c r="H52" s="22"/>
      <c r="I52" s="22"/>
      <c r="J52" s="22"/>
      <c r="K52" s="25"/>
    </row>
    <row r="53" spans="1:11" x14ac:dyDescent="0.2">
      <c r="A53" s="231"/>
      <c r="B53" s="232"/>
      <c r="C53" s="25">
        <f t="shared" si="0"/>
        <v>18</v>
      </c>
      <c r="D53" s="22"/>
      <c r="E53" s="22"/>
      <c r="F53" s="22"/>
      <c r="G53" s="22"/>
      <c r="H53" s="22"/>
      <c r="I53" s="22"/>
      <c r="J53" s="22"/>
      <c r="K53" s="25"/>
    </row>
    <row r="54" spans="1:11" x14ac:dyDescent="0.2">
      <c r="A54" s="231"/>
      <c r="B54" s="232"/>
      <c r="C54" s="25">
        <f t="shared" si="0"/>
        <v>19</v>
      </c>
      <c r="D54" s="22"/>
      <c r="E54" s="22"/>
      <c r="F54" s="22"/>
      <c r="G54" s="22"/>
      <c r="H54" s="22"/>
      <c r="I54" s="22"/>
      <c r="J54" s="22"/>
      <c r="K54" s="25"/>
    </row>
    <row r="55" spans="1:11" x14ac:dyDescent="0.2">
      <c r="A55" s="231"/>
      <c r="B55" s="232"/>
      <c r="C55" s="25">
        <f t="shared" si="0"/>
        <v>20</v>
      </c>
      <c r="D55" s="22"/>
      <c r="E55" s="22"/>
      <c r="F55" s="22"/>
      <c r="G55" s="22"/>
      <c r="H55" s="22"/>
      <c r="I55" s="22"/>
      <c r="J55" s="246"/>
      <c r="K55" s="29"/>
    </row>
    <row r="56" spans="1:11" x14ac:dyDescent="0.2">
      <c r="A56" s="231"/>
      <c r="B56" s="232"/>
      <c r="C56" s="25">
        <f t="shared" si="0"/>
        <v>21</v>
      </c>
      <c r="D56" s="22"/>
      <c r="E56" s="22"/>
      <c r="F56" s="22"/>
      <c r="G56" s="22"/>
      <c r="H56" s="22"/>
      <c r="I56" s="22"/>
      <c r="J56" s="28"/>
      <c r="K56" s="29"/>
    </row>
    <row r="57" spans="1:11" x14ac:dyDescent="0.2">
      <c r="A57" s="231"/>
      <c r="B57" s="232"/>
      <c r="C57" s="25">
        <f t="shared" si="0"/>
        <v>22</v>
      </c>
      <c r="D57" s="22"/>
      <c r="E57" s="22"/>
      <c r="F57" s="22"/>
      <c r="G57" s="22"/>
      <c r="H57" s="22"/>
      <c r="I57" s="22"/>
      <c r="J57" s="22"/>
      <c r="K57" s="25"/>
    </row>
    <row r="58" spans="1:11" x14ac:dyDescent="0.2">
      <c r="A58" s="231"/>
      <c r="B58" s="232"/>
      <c r="C58" s="25">
        <f t="shared" si="0"/>
        <v>23</v>
      </c>
      <c r="D58" s="22"/>
      <c r="E58" s="22"/>
      <c r="F58" s="22"/>
      <c r="G58" s="22"/>
      <c r="H58" s="22"/>
      <c r="I58" s="22"/>
      <c r="J58" s="22"/>
      <c r="K58" s="25"/>
    </row>
    <row r="59" spans="1:11" x14ac:dyDescent="0.2">
      <c r="A59" s="231"/>
      <c r="B59" s="232"/>
      <c r="C59" s="25">
        <f t="shared" si="0"/>
        <v>24</v>
      </c>
      <c r="D59" s="22"/>
      <c r="E59" s="22"/>
      <c r="F59" s="22"/>
      <c r="G59" s="22"/>
      <c r="H59" s="22"/>
      <c r="I59" s="22"/>
      <c r="J59" s="22"/>
      <c r="K59" s="25"/>
    </row>
    <row r="60" spans="1:11" x14ac:dyDescent="0.2">
      <c r="A60" s="231"/>
      <c r="B60" s="232"/>
      <c r="C60" s="25">
        <f t="shared" si="0"/>
        <v>25</v>
      </c>
      <c r="D60" s="22"/>
      <c r="E60" s="337" t="s">
        <v>287</v>
      </c>
      <c r="F60" s="22"/>
      <c r="G60" s="22"/>
      <c r="H60" s="22"/>
      <c r="I60" s="22"/>
      <c r="J60" s="22"/>
      <c r="K60" s="25"/>
    </row>
    <row r="61" spans="1:11" x14ac:dyDescent="0.2">
      <c r="A61" s="231"/>
      <c r="B61" s="232"/>
      <c r="C61" s="25">
        <f t="shared" si="0"/>
        <v>26</v>
      </c>
      <c r="D61" s="22"/>
      <c r="E61" s="337" t="s">
        <v>289</v>
      </c>
      <c r="F61" s="22"/>
      <c r="G61" s="22"/>
      <c r="H61" s="22"/>
      <c r="I61" s="22"/>
      <c r="J61" s="22"/>
      <c r="K61" s="25"/>
    </row>
    <row r="62" spans="1:11" x14ac:dyDescent="0.2">
      <c r="A62" s="231"/>
      <c r="B62" s="232"/>
      <c r="C62" s="25">
        <f t="shared" si="0"/>
        <v>27</v>
      </c>
      <c r="D62" s="22"/>
      <c r="E62" s="22"/>
      <c r="F62" s="22"/>
      <c r="G62" s="22"/>
      <c r="H62" s="22"/>
      <c r="I62" s="22"/>
      <c r="J62" s="22"/>
      <c r="K62" s="25"/>
    </row>
    <row r="63" spans="1:11" x14ac:dyDescent="0.2">
      <c r="A63" s="231"/>
      <c r="B63" s="232"/>
      <c r="C63" s="25">
        <f t="shared" si="0"/>
        <v>28</v>
      </c>
      <c r="D63" s="22"/>
      <c r="E63" s="22"/>
      <c r="F63" s="22"/>
      <c r="G63" s="22"/>
      <c r="H63" s="22"/>
      <c r="I63" s="22"/>
      <c r="J63" s="22"/>
      <c r="K63" s="25"/>
    </row>
    <row r="64" spans="1:11" x14ac:dyDescent="0.2">
      <c r="A64" s="231"/>
      <c r="B64" s="232"/>
      <c r="C64" s="25">
        <f t="shared" si="0"/>
        <v>29</v>
      </c>
      <c r="D64" s="22"/>
      <c r="E64" s="22"/>
      <c r="F64" s="22"/>
      <c r="G64" s="22"/>
      <c r="H64" s="22"/>
      <c r="I64" s="22"/>
      <c r="J64" s="22"/>
      <c r="K64" s="25"/>
    </row>
    <row r="65" spans="1:11" x14ac:dyDescent="0.2">
      <c r="A65" s="231"/>
      <c r="B65" s="232"/>
      <c r="C65" s="25">
        <f t="shared" si="0"/>
        <v>30</v>
      </c>
      <c r="D65" s="22"/>
      <c r="E65" s="22"/>
      <c r="F65" s="22"/>
      <c r="G65" s="22"/>
      <c r="H65" s="22"/>
      <c r="I65" s="22"/>
      <c r="J65" s="22"/>
      <c r="K65" s="25"/>
    </row>
    <row r="66" spans="1:11" x14ac:dyDescent="0.2">
      <c r="A66" s="231"/>
      <c r="B66" s="232"/>
      <c r="C66" s="25">
        <f t="shared" si="0"/>
        <v>31</v>
      </c>
      <c r="D66" s="22"/>
      <c r="E66" s="22"/>
      <c r="F66" s="22"/>
      <c r="G66" s="22"/>
      <c r="H66" s="22"/>
      <c r="I66" s="22"/>
      <c r="J66" s="22"/>
      <c r="K66" s="25"/>
    </row>
    <row r="67" spans="1:11" x14ac:dyDescent="0.2">
      <c r="A67" s="231"/>
      <c r="B67" s="232"/>
      <c r="C67" s="25">
        <f t="shared" si="0"/>
        <v>32</v>
      </c>
      <c r="D67" s="22"/>
      <c r="E67" s="22"/>
      <c r="F67" s="22"/>
      <c r="G67" s="22"/>
      <c r="H67" s="22"/>
      <c r="I67" s="22"/>
      <c r="J67" s="22"/>
      <c r="K67" s="25"/>
    </row>
    <row r="68" spans="1:11" x14ac:dyDescent="0.2">
      <c r="A68" s="231"/>
      <c r="B68" s="232"/>
      <c r="C68" s="25">
        <f t="shared" si="0"/>
        <v>33</v>
      </c>
      <c r="D68" s="22"/>
      <c r="E68" s="22"/>
      <c r="F68" s="22"/>
      <c r="G68" s="22"/>
      <c r="H68" s="22"/>
      <c r="I68" s="22"/>
      <c r="J68" s="22"/>
      <c r="K68" s="25"/>
    </row>
    <row r="69" spans="1:11" x14ac:dyDescent="0.2">
      <c r="A69" s="231"/>
      <c r="B69" s="232"/>
      <c r="C69" s="25">
        <f t="shared" si="0"/>
        <v>34</v>
      </c>
      <c r="D69" s="22"/>
      <c r="E69" s="22"/>
      <c r="F69" s="22"/>
      <c r="G69" s="22"/>
      <c r="H69" s="22"/>
      <c r="I69" s="22"/>
      <c r="J69" s="22"/>
      <c r="K69" s="25"/>
    </row>
    <row r="70" spans="1:11" x14ac:dyDescent="0.2">
      <c r="A70" s="231"/>
      <c r="B70" s="232"/>
      <c r="C70" s="25">
        <f t="shared" si="0"/>
        <v>35</v>
      </c>
      <c r="D70" s="22"/>
      <c r="E70" s="22"/>
      <c r="F70" s="22"/>
      <c r="G70" s="22"/>
      <c r="H70" s="22"/>
      <c r="I70" s="22"/>
      <c r="J70" s="22"/>
      <c r="K70" s="25"/>
    </row>
    <row r="71" spans="1:11" x14ac:dyDescent="0.2">
      <c r="A71" s="231"/>
      <c r="B71" s="232"/>
      <c r="C71" s="25">
        <f t="shared" si="0"/>
        <v>36</v>
      </c>
      <c r="D71" s="22"/>
      <c r="E71" s="22"/>
      <c r="F71" s="22"/>
      <c r="G71" s="22"/>
      <c r="H71" s="22"/>
      <c r="I71" s="22"/>
      <c r="J71" s="22"/>
      <c r="K71" s="25"/>
    </row>
    <row r="72" spans="1:11" x14ac:dyDescent="0.2">
      <c r="A72" s="231"/>
      <c r="B72" s="232"/>
      <c r="C72" s="25">
        <f t="shared" si="0"/>
        <v>37</v>
      </c>
      <c r="D72" s="22"/>
      <c r="E72" s="22"/>
      <c r="F72" s="22"/>
      <c r="G72" s="22"/>
      <c r="H72" s="22"/>
      <c r="I72" s="22"/>
      <c r="J72" s="22"/>
      <c r="K72" s="25"/>
    </row>
    <row r="73" spans="1:11" x14ac:dyDescent="0.2">
      <c r="A73" s="231"/>
      <c r="B73" s="232"/>
      <c r="C73" s="25">
        <f t="shared" si="0"/>
        <v>38</v>
      </c>
      <c r="D73" s="22"/>
      <c r="E73" s="22"/>
      <c r="F73" s="22"/>
      <c r="G73" s="22"/>
      <c r="H73" s="22"/>
      <c r="I73" s="22"/>
      <c r="J73" s="22"/>
      <c r="K73" s="25"/>
    </row>
    <row r="74" spans="1:11" x14ac:dyDescent="0.2">
      <c r="A74" s="231"/>
      <c r="B74" s="232"/>
      <c r="C74" s="25">
        <f t="shared" si="0"/>
        <v>39</v>
      </c>
      <c r="D74" s="22"/>
      <c r="E74" s="22"/>
      <c r="F74" s="22"/>
      <c r="G74" s="22"/>
      <c r="H74" s="22"/>
      <c r="I74" s="22"/>
      <c r="J74" s="22"/>
      <c r="K74" s="25"/>
    </row>
    <row r="75" spans="1:11" x14ac:dyDescent="0.2">
      <c r="A75" s="231"/>
      <c r="B75" s="232"/>
      <c r="C75" s="25">
        <f t="shared" si="0"/>
        <v>40</v>
      </c>
      <c r="D75" s="22"/>
      <c r="E75" s="22"/>
      <c r="F75" s="22"/>
      <c r="G75" s="22"/>
      <c r="H75" s="22"/>
      <c r="I75" s="22"/>
      <c r="J75" s="22"/>
      <c r="K75" s="25"/>
    </row>
    <row r="76" spans="1:11" x14ac:dyDescent="0.2">
      <c r="A76" s="231"/>
      <c r="B76" s="232"/>
      <c r="C76" s="25">
        <f t="shared" si="0"/>
        <v>41</v>
      </c>
      <c r="D76" s="22"/>
      <c r="E76" s="22"/>
      <c r="F76" s="22"/>
      <c r="G76" s="22"/>
      <c r="H76" s="22"/>
      <c r="I76" s="22"/>
      <c r="J76" s="22"/>
      <c r="K76" s="25"/>
    </row>
    <row r="77" spans="1:11" x14ac:dyDescent="0.2">
      <c r="A77" s="231"/>
      <c r="B77" s="232"/>
      <c r="C77" s="25">
        <f t="shared" si="0"/>
        <v>42</v>
      </c>
      <c r="D77" s="22"/>
      <c r="E77" s="22"/>
      <c r="F77" s="22"/>
      <c r="G77" s="22"/>
      <c r="H77" s="22"/>
      <c r="I77" s="22"/>
      <c r="J77" s="22"/>
      <c r="K77" s="25"/>
    </row>
    <row r="78" spans="1:11" x14ac:dyDescent="0.2">
      <c r="A78" s="231"/>
      <c r="B78" s="232"/>
      <c r="C78" s="25">
        <f t="shared" si="0"/>
        <v>43</v>
      </c>
      <c r="D78" s="22"/>
      <c r="E78" s="22"/>
      <c r="F78" s="22"/>
      <c r="G78" s="22"/>
      <c r="H78" s="22"/>
      <c r="I78" s="22"/>
      <c r="J78" s="22"/>
      <c r="K78" s="25"/>
    </row>
    <row r="79" spans="1:11" x14ac:dyDescent="0.2">
      <c r="A79" s="231"/>
      <c r="B79" s="232"/>
      <c r="C79" s="25">
        <f t="shared" si="0"/>
        <v>44</v>
      </c>
      <c r="D79" s="22"/>
      <c r="E79" s="22"/>
      <c r="F79" s="22"/>
      <c r="G79" s="22"/>
      <c r="H79" s="22"/>
      <c r="I79" s="22"/>
      <c r="J79" s="22"/>
      <c r="K79" s="25"/>
    </row>
    <row r="80" spans="1:11" x14ac:dyDescent="0.2">
      <c r="A80" s="231"/>
      <c r="B80" s="232"/>
      <c r="C80" s="25">
        <f t="shared" si="0"/>
        <v>45</v>
      </c>
      <c r="D80" s="22"/>
      <c r="E80" s="22"/>
      <c r="F80" s="22"/>
      <c r="G80" s="22"/>
      <c r="H80" s="22"/>
      <c r="I80" s="22"/>
      <c r="J80" s="22"/>
      <c r="K80" s="25"/>
    </row>
    <row r="81" spans="1:11" x14ac:dyDescent="0.2">
      <c r="A81" s="231"/>
      <c r="B81" s="232"/>
      <c r="C81" s="25">
        <f t="shared" si="0"/>
        <v>46</v>
      </c>
      <c r="D81" s="22"/>
      <c r="E81" s="22"/>
      <c r="F81" s="22"/>
      <c r="G81" s="22"/>
      <c r="H81" s="22"/>
      <c r="I81" s="22"/>
      <c r="J81" s="22"/>
      <c r="K81" s="25"/>
    </row>
    <row r="82" spans="1:11" x14ac:dyDescent="0.2">
      <c r="A82" s="231"/>
      <c r="B82" s="232"/>
      <c r="C82" s="25">
        <f t="shared" si="0"/>
        <v>47</v>
      </c>
      <c r="D82" s="22"/>
      <c r="E82" s="22"/>
      <c r="F82" s="22"/>
      <c r="G82" s="22"/>
      <c r="H82" s="22"/>
      <c r="I82" s="22"/>
      <c r="J82" s="22"/>
      <c r="K82" s="25"/>
    </row>
    <row r="83" spans="1:11" x14ac:dyDescent="0.2">
      <c r="A83" s="231"/>
      <c r="B83" s="232"/>
      <c r="C83" s="25">
        <f t="shared" si="0"/>
        <v>48</v>
      </c>
      <c r="D83" s="22"/>
      <c r="E83" s="22"/>
      <c r="F83" s="22"/>
      <c r="G83" s="22"/>
      <c r="H83" s="22"/>
      <c r="I83" s="22"/>
      <c r="J83" s="22"/>
      <c r="K83" s="25"/>
    </row>
    <row r="84" spans="1:11" x14ac:dyDescent="0.2">
      <c r="A84" s="231"/>
      <c r="B84" s="232"/>
      <c r="C84" s="25">
        <f t="shared" si="0"/>
        <v>49</v>
      </c>
      <c r="D84" s="22"/>
      <c r="E84" s="22"/>
      <c r="F84" s="22"/>
      <c r="G84" s="22"/>
      <c r="H84" s="22"/>
      <c r="I84" s="22"/>
      <c r="J84" s="22"/>
      <c r="K84" s="25"/>
    </row>
    <row r="85" spans="1:11" x14ac:dyDescent="0.2">
      <c r="A85" s="231"/>
      <c r="B85" s="232"/>
      <c r="C85" s="25">
        <f t="shared" si="0"/>
        <v>50</v>
      </c>
      <c r="D85" s="22"/>
      <c r="E85" s="22"/>
      <c r="F85" s="22"/>
      <c r="G85" s="22"/>
      <c r="H85" s="22"/>
      <c r="I85" s="22"/>
      <c r="J85" s="22"/>
      <c r="K85" s="25"/>
    </row>
    <row r="86" spans="1:11" x14ac:dyDescent="0.2">
      <c r="A86" s="240"/>
      <c r="B86" s="232"/>
      <c r="C86" s="25">
        <f t="shared" si="0"/>
        <v>51</v>
      </c>
      <c r="D86" s="22"/>
      <c r="E86" s="22"/>
      <c r="F86" s="22"/>
      <c r="G86" s="22"/>
      <c r="H86" s="22"/>
      <c r="I86" s="22"/>
      <c r="J86" s="22"/>
      <c r="K86" s="25"/>
    </row>
    <row r="87" spans="1:11" x14ac:dyDescent="0.2">
      <c r="A87" s="240"/>
      <c r="B87" s="232"/>
      <c r="C87" s="25">
        <f t="shared" si="0"/>
        <v>52</v>
      </c>
      <c r="D87" s="22"/>
      <c r="E87" s="22"/>
      <c r="F87" s="22"/>
      <c r="G87" s="22"/>
      <c r="H87" s="22"/>
      <c r="I87" s="22"/>
      <c r="J87" s="22"/>
      <c r="K87" s="25"/>
    </row>
    <row r="88" spans="1:11" x14ac:dyDescent="0.2">
      <c r="A88" s="240"/>
      <c r="B88" s="232"/>
      <c r="C88" s="25">
        <f t="shared" si="0"/>
        <v>53</v>
      </c>
      <c r="D88" s="22"/>
      <c r="E88" s="22"/>
      <c r="F88" s="22"/>
      <c r="G88" s="22"/>
      <c r="H88" s="22"/>
      <c r="I88" s="22"/>
      <c r="J88" s="22"/>
      <c r="K88" s="25"/>
    </row>
    <row r="89" spans="1:11" x14ac:dyDescent="0.2">
      <c r="A89" s="240"/>
      <c r="B89" s="232"/>
      <c r="C89" s="25">
        <f t="shared" si="0"/>
        <v>54</v>
      </c>
      <c r="D89" s="22"/>
      <c r="E89" s="22"/>
      <c r="F89" s="22"/>
      <c r="G89" s="22"/>
      <c r="H89" s="22"/>
      <c r="I89" s="22"/>
      <c r="J89" s="22"/>
      <c r="K89" s="25"/>
    </row>
    <row r="90" spans="1:11" x14ac:dyDescent="0.2">
      <c r="A90" s="240"/>
      <c r="B90" s="232"/>
      <c r="C90" s="25">
        <f t="shared" si="0"/>
        <v>55</v>
      </c>
      <c r="D90" s="22"/>
      <c r="E90" s="22"/>
      <c r="F90" s="22"/>
      <c r="G90" s="22"/>
      <c r="H90" s="22"/>
      <c r="I90" s="22"/>
      <c r="J90" s="22"/>
      <c r="K90" s="25"/>
    </row>
    <row r="91" spans="1:11" x14ac:dyDescent="0.2">
      <c r="A91" s="240"/>
      <c r="B91" s="232"/>
      <c r="C91" s="25">
        <f t="shared" si="0"/>
        <v>56</v>
      </c>
      <c r="D91" s="22"/>
      <c r="E91" s="22"/>
      <c r="F91" s="22"/>
      <c r="G91" s="22"/>
      <c r="H91" s="22"/>
      <c r="I91" s="22"/>
      <c r="J91" s="22"/>
      <c r="K91" s="25"/>
    </row>
    <row r="92" spans="1:11" x14ac:dyDescent="0.2">
      <c r="A92" s="240"/>
      <c r="B92" s="232"/>
      <c r="C92" s="25">
        <f t="shared" si="0"/>
        <v>57</v>
      </c>
      <c r="D92" s="22"/>
      <c r="E92" s="22"/>
      <c r="F92" s="22"/>
      <c r="G92" s="22"/>
      <c r="H92" s="22"/>
      <c r="I92" s="22"/>
      <c r="J92" s="22"/>
      <c r="K92" s="25"/>
    </row>
    <row r="93" spans="1:11" x14ac:dyDescent="0.2">
      <c r="A93" s="240"/>
      <c r="B93" s="232"/>
      <c r="C93" s="25">
        <f t="shared" si="0"/>
        <v>58</v>
      </c>
      <c r="D93" s="22"/>
      <c r="E93" s="22"/>
      <c r="F93" s="22"/>
      <c r="G93" s="22"/>
      <c r="H93" s="22"/>
      <c r="I93" s="22"/>
      <c r="J93" s="22"/>
      <c r="K93" s="25"/>
    </row>
    <row r="94" spans="1:11" x14ac:dyDescent="0.2">
      <c r="A94" s="240"/>
      <c r="B94" s="232"/>
      <c r="C94" s="25">
        <f t="shared" si="0"/>
        <v>59</v>
      </c>
      <c r="D94" s="22"/>
      <c r="E94" s="22"/>
      <c r="F94" s="22"/>
      <c r="G94" s="22"/>
      <c r="H94" s="22"/>
      <c r="I94" s="22"/>
      <c r="J94" s="22"/>
      <c r="K94" s="25"/>
    </row>
    <row r="95" spans="1:11" x14ac:dyDescent="0.2">
      <c r="A95" s="240"/>
      <c r="B95" s="232"/>
      <c r="C95" s="25">
        <f t="shared" si="0"/>
        <v>60</v>
      </c>
      <c r="D95" s="22"/>
      <c r="E95" s="22"/>
      <c r="F95" s="22"/>
      <c r="G95" s="22"/>
      <c r="H95" s="22"/>
      <c r="I95" s="22"/>
      <c r="J95" s="22"/>
      <c r="K95" s="25"/>
    </row>
    <row r="96" spans="1:11" x14ac:dyDescent="0.2">
      <c r="A96" s="240"/>
      <c r="B96" s="232"/>
      <c r="C96" s="25">
        <f t="shared" si="0"/>
        <v>61</v>
      </c>
      <c r="D96" s="22"/>
      <c r="E96" s="22"/>
      <c r="F96" s="22"/>
      <c r="G96" s="22"/>
      <c r="H96" s="22"/>
      <c r="I96" s="22"/>
      <c r="J96" s="22"/>
      <c r="K96" s="25"/>
    </row>
    <row r="97" spans="1:11" x14ac:dyDescent="0.2">
      <c r="A97" s="240"/>
      <c r="B97" s="232"/>
      <c r="C97" s="25">
        <f t="shared" si="0"/>
        <v>62</v>
      </c>
      <c r="D97" s="22"/>
      <c r="E97" s="22"/>
      <c r="F97" s="22"/>
      <c r="G97" s="22"/>
      <c r="H97" s="22"/>
      <c r="I97" s="22"/>
      <c r="J97" s="22"/>
      <c r="K97" s="25"/>
    </row>
    <row r="98" spans="1:11" x14ac:dyDescent="0.2">
      <c r="A98" s="240"/>
      <c r="B98" s="232"/>
      <c r="C98" s="25">
        <f t="shared" si="0"/>
        <v>63</v>
      </c>
      <c r="D98" s="22"/>
      <c r="E98" s="22"/>
      <c r="F98" s="22"/>
      <c r="G98" s="22"/>
      <c r="H98" s="22"/>
      <c r="I98" s="22"/>
      <c r="J98" s="22"/>
      <c r="K98" s="25"/>
    </row>
    <row r="99" spans="1:11" x14ac:dyDescent="0.2">
      <c r="A99" s="240"/>
      <c r="B99" s="232"/>
      <c r="C99" s="25">
        <f t="shared" si="0"/>
        <v>64</v>
      </c>
      <c r="D99" s="22"/>
      <c r="E99" s="22"/>
      <c r="F99" s="22"/>
      <c r="G99" s="22"/>
      <c r="H99" s="22"/>
      <c r="I99" s="22"/>
      <c r="J99" s="22"/>
      <c r="K99" s="25"/>
    </row>
    <row r="100" spans="1:11" x14ac:dyDescent="0.2">
      <c r="A100" s="240"/>
      <c r="B100" s="232"/>
      <c r="C100" s="25">
        <f t="shared" si="0"/>
        <v>65</v>
      </c>
      <c r="D100" s="22"/>
      <c r="E100" s="22"/>
      <c r="F100" s="22"/>
      <c r="G100" s="22"/>
      <c r="H100" s="22"/>
      <c r="I100" s="22"/>
      <c r="J100" s="22"/>
      <c r="K100" s="25"/>
    </row>
    <row r="101" spans="1:11" x14ac:dyDescent="0.2">
      <c r="A101" s="240"/>
      <c r="B101" s="232"/>
      <c r="C101" s="25">
        <f t="shared" si="0"/>
        <v>66</v>
      </c>
      <c r="D101" s="22"/>
      <c r="E101" s="22"/>
      <c r="F101" s="22"/>
      <c r="G101" s="22"/>
      <c r="H101" s="22"/>
      <c r="I101" s="22"/>
      <c r="J101" s="22"/>
      <c r="K101" s="25"/>
    </row>
    <row r="102" spans="1:11" x14ac:dyDescent="0.2">
      <c r="A102" s="240"/>
      <c r="B102" s="232"/>
      <c r="C102" s="25">
        <f>C101+1</f>
        <v>67</v>
      </c>
      <c r="D102" s="22"/>
      <c r="E102" s="22"/>
      <c r="F102" s="22"/>
      <c r="G102" s="22"/>
      <c r="H102" s="22"/>
      <c r="I102" s="22"/>
      <c r="J102" s="22"/>
      <c r="K102" s="25"/>
    </row>
    <row r="103" spans="1:11" x14ac:dyDescent="0.2">
      <c r="A103" s="240"/>
      <c r="B103" s="232"/>
      <c r="C103" s="25">
        <f>C102+1</f>
        <v>68</v>
      </c>
      <c r="D103" s="22"/>
      <c r="E103" s="22"/>
      <c r="F103" s="22"/>
      <c r="G103" s="22"/>
      <c r="H103" s="22"/>
      <c r="I103" s="22"/>
      <c r="J103" s="22"/>
      <c r="K103" s="25"/>
    </row>
    <row r="104" spans="1:11" x14ac:dyDescent="0.2">
      <c r="A104" s="240"/>
      <c r="B104" s="232"/>
      <c r="C104" s="25">
        <f>C103+1</f>
        <v>69</v>
      </c>
      <c r="D104" s="22"/>
      <c r="E104" s="22"/>
      <c r="F104" s="22"/>
      <c r="G104" s="22"/>
      <c r="H104" s="22"/>
      <c r="I104" s="22"/>
      <c r="J104" s="22"/>
      <c r="K104" s="25"/>
    </row>
    <row r="105" spans="1:11" x14ac:dyDescent="0.2">
      <c r="A105" s="241"/>
      <c r="B105" s="233"/>
      <c r="C105" s="33">
        <f>C104+1</f>
        <v>70</v>
      </c>
      <c r="D105" s="22"/>
      <c r="E105" s="22"/>
      <c r="F105" s="22"/>
      <c r="G105" s="22"/>
      <c r="H105" s="22"/>
      <c r="I105" s="22"/>
      <c r="J105" s="22"/>
      <c r="K105" s="25"/>
    </row>
    <row r="106" spans="1:11" x14ac:dyDescent="0.2">
      <c r="A106" s="32"/>
      <c r="B106" s="34"/>
      <c r="C106" s="34"/>
      <c r="D106" s="34"/>
      <c r="E106" s="34"/>
      <c r="F106" s="34"/>
      <c r="G106" s="34"/>
      <c r="H106" s="34"/>
      <c r="I106" s="34"/>
      <c r="J106" s="34"/>
      <c r="K106" s="33"/>
    </row>
  </sheetData>
  <mergeCells count="6">
    <mergeCell ref="D9:H9"/>
    <mergeCell ref="H2:J2"/>
    <mergeCell ref="H6:J6"/>
    <mergeCell ref="H5:J5"/>
    <mergeCell ref="H4:J4"/>
    <mergeCell ref="H3:J3"/>
  </mergeCells>
  <phoneticPr fontId="0" type="noConversion"/>
  <pageMargins left="0.75" right="0.75" top="1" bottom="1" header="0.5" footer="0.5"/>
  <pageSetup paperSize="9" scale="7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1</xdr:col>
                    <xdr:colOff>9525</xdr:colOff>
                    <xdr:row>5</xdr:row>
                    <xdr:rowOff>0</xdr:rowOff>
                  </from>
                  <to>
                    <xdr:col>1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locked="0" defaultSize="0" autoLine="0" autoPict="0">
                <anchor mov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1</xdr:col>
                    <xdr:colOff>828675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locked="0" defaultSize="0" autoLine="0" autoPict="0">
                <anchor moveWithCells="1">
                  <from>
                    <xdr:col>1</xdr:col>
                    <xdr:colOff>19050</xdr:colOff>
                    <xdr:row>7</xdr:row>
                    <xdr:rowOff>9525</xdr:rowOff>
                  </from>
                  <to>
                    <xdr:col>1</xdr:col>
                    <xdr:colOff>828675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locked="0" defaultSize="0" autoLine="0" autoPict="0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828675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locked="0" defaultSize="0" autoLine="0" autoPict="0">
                <anchor mov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2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locked="0" defaultSize="0" autoLine="0" autoPict="0">
                <anchor moveWithCells="1">
                  <from>
                    <xdr:col>2</xdr:col>
                    <xdr:colOff>9525</xdr:colOff>
                    <xdr:row>20</xdr:row>
                    <xdr:rowOff>9525</xdr:rowOff>
                  </from>
                  <to>
                    <xdr:col>2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fdrukken">
                <anchor moveWithCells="1">
                  <from>
                    <xdr:col>8</xdr:col>
                    <xdr:colOff>66675</xdr:colOff>
                    <xdr:row>7</xdr:row>
                    <xdr:rowOff>76200</xdr:rowOff>
                  </from>
                  <to>
                    <xdr:col>10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Drop Down 42">
              <controlPr locked="0" defaultSize="0" autoLine="0" autoPict="0">
                <anchor moveWithCells="1">
                  <from>
                    <xdr:col>4</xdr:col>
                    <xdr:colOff>9525</xdr:colOff>
                    <xdr:row>13</xdr:row>
                    <xdr:rowOff>0</xdr:rowOff>
                  </from>
                  <to>
                    <xdr:col>4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Drop Down 43">
              <controlPr locked="0" defaultSize="0" autoLine="0" autoPict="0">
                <anchor mov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4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D196"/>
  <sheetViews>
    <sheetView topLeftCell="A151" zoomScale="75" workbookViewId="0">
      <selection activeCell="W192" sqref="W192"/>
    </sheetView>
  </sheetViews>
  <sheetFormatPr defaultRowHeight="12.75" x14ac:dyDescent="0.2"/>
  <cols>
    <col min="1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187</v>
      </c>
    </row>
    <row r="5" spans="1:24" x14ac:dyDescent="0.2">
      <c r="X5" s="36"/>
    </row>
    <row r="6" spans="1:24" x14ac:dyDescent="0.2">
      <c r="A6" s="41" t="str">
        <f>INVOER!A7</f>
        <v>Gasdebiet/batterij</v>
      </c>
      <c r="B6" s="5"/>
      <c r="C6" s="5">
        <f>INVOER!U9</f>
        <v>21.527777777777779</v>
      </c>
      <c r="D6" s="5" t="s">
        <v>48</v>
      </c>
      <c r="E6" s="5" t="s">
        <v>85</v>
      </c>
      <c r="F6" s="5"/>
      <c r="G6" s="5"/>
      <c r="H6" s="42"/>
      <c r="X6" s="36"/>
    </row>
    <row r="7" spans="1:24" x14ac:dyDescent="0.2">
      <c r="A7" s="43" t="str">
        <f>INVOER!A8</f>
        <v>Dichtheid gas</v>
      </c>
      <c r="B7" s="6"/>
      <c r="C7" s="6">
        <f>INVOER!T15</f>
        <v>0.99</v>
      </c>
      <c r="D7" s="6" t="s">
        <v>16</v>
      </c>
      <c r="E7" s="6"/>
      <c r="F7" s="6"/>
      <c r="G7" s="6"/>
      <c r="H7" s="44"/>
      <c r="X7" s="36"/>
    </row>
    <row r="8" spans="1:24" x14ac:dyDescent="0.2">
      <c r="A8" s="43" t="str">
        <f>INVOER!A9</f>
        <v>Dyn. viscositeit gas</v>
      </c>
      <c r="B8" s="6"/>
      <c r="C8" s="6">
        <f>INVOER!C9</f>
        <v>1.9E-2</v>
      </c>
      <c r="D8" s="6" t="str">
        <f>INVOER!B9</f>
        <v>mPas of cP</v>
      </c>
      <c r="E8" s="6"/>
      <c r="F8" s="6"/>
      <c r="G8" s="6"/>
      <c r="H8" s="44"/>
      <c r="X8" s="36"/>
    </row>
    <row r="9" spans="1:24" x14ac:dyDescent="0.2">
      <c r="A9" s="43" t="str">
        <f>INVOER!A10</f>
        <v>Deeltjesdichtheid</v>
      </c>
      <c r="B9" s="6"/>
      <c r="C9" s="6">
        <f>INVOER!C10</f>
        <v>1600</v>
      </c>
      <c r="D9" s="6" t="str">
        <f>INVOER!B10</f>
        <v>kg/m³</v>
      </c>
      <c r="E9" s="6"/>
      <c r="F9" s="6"/>
      <c r="G9" s="6"/>
      <c r="H9" s="44"/>
      <c r="X9" s="36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36"/>
    </row>
    <row r="11" spans="1:24" x14ac:dyDescent="0.2">
      <c r="A11" s="43" t="str">
        <f>INVOER!A14</f>
        <v>Cycloontype AC</v>
      </c>
      <c r="B11" s="6"/>
      <c r="C11" s="6">
        <f>INVOER!S25</f>
        <v>3</v>
      </c>
      <c r="D11" s="6"/>
      <c r="E11" s="6"/>
      <c r="F11" s="6"/>
      <c r="G11" s="6"/>
      <c r="H11" s="44"/>
      <c r="X11" s="36"/>
    </row>
    <row r="12" spans="1:24" x14ac:dyDescent="0.2">
      <c r="A12" s="43" t="str">
        <f>INVOER!A15</f>
        <v xml:space="preserve">Aantal cyclonen </v>
      </c>
      <c r="B12" s="6"/>
      <c r="C12" s="6">
        <f>INVOER!C15</f>
        <v>2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INVOER!C18</f>
        <v>1700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INVOER!C20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247</v>
      </c>
      <c r="B15" s="6"/>
      <c r="C15" s="117" t="str">
        <f>IF(INVOER!S36=1,"neen","ja")</f>
        <v>ja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2" t="s">
        <v>209</v>
      </c>
      <c r="Q20" t="s">
        <v>188</v>
      </c>
    </row>
    <row r="22" spans="1:20" x14ac:dyDescent="0.2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HLOOKUP(INVOER!S$25,B$22:J$43,1)</f>
        <v>3</v>
      </c>
      <c r="Q22" s="41" t="s">
        <v>197</v>
      </c>
      <c r="R22" s="5"/>
      <c r="S22" s="5"/>
      <c r="T22" s="42"/>
    </row>
    <row r="23" spans="1:20" x14ac:dyDescent="0.2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1" t="s">
        <v>211</v>
      </c>
      <c r="I23" s="343">
        <v>1850</v>
      </c>
      <c r="J23" s="342" t="s">
        <v>212</v>
      </c>
      <c r="K23" s="152">
        <f>HLOOKUP(INVOER!S$25,B$22:J$43,2)</f>
        <v>435</v>
      </c>
      <c r="L23" t="s">
        <v>213</v>
      </c>
      <c r="Q23" s="43"/>
      <c r="R23" s="6"/>
      <c r="S23" s="6"/>
      <c r="T23" s="44"/>
    </row>
    <row r="24" spans="1:20" x14ac:dyDescent="0.2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40">
        <v>0.13600000000000001</v>
      </c>
      <c r="K24" s="139">
        <f>HLOOKUP(INVOER!S$25,B$22:J$43,3)</f>
        <v>0.28199999999999997</v>
      </c>
      <c r="Q24" s="41" t="s">
        <v>39</v>
      </c>
      <c r="R24" s="149">
        <f>C6/C12/K24/K25/(C13/1000)^2</f>
        <v>20.636796472169738</v>
      </c>
      <c r="S24" s="5" t="s">
        <v>3</v>
      </c>
      <c r="T24" s="42"/>
    </row>
    <row r="25" spans="1:20" x14ac:dyDescent="0.2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40">
        <v>0.31</v>
      </c>
      <c r="K25" s="139">
        <f>HLOOKUP(INVOER!S$25,B$22:J$43,4)</f>
        <v>0.64</v>
      </c>
      <c r="Q25" s="43" t="s">
        <v>119</v>
      </c>
      <c r="R25" s="61">
        <f>C6/C12/(PI()/4*(C14*K27*C13/1000)^2)</f>
        <v>15.121867484275436</v>
      </c>
      <c r="S25" s="6" t="s">
        <v>3</v>
      </c>
      <c r="T25" s="44"/>
    </row>
    <row r="26" spans="1:20" x14ac:dyDescent="0.2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40">
        <v>0.53</v>
      </c>
      <c r="K26" s="139">
        <f>HLOOKUP(INVOER!S$25,B$22:J$43,5)</f>
        <v>0.6</v>
      </c>
      <c r="Q26" s="45"/>
      <c r="R26" s="46"/>
      <c r="S26" s="46"/>
      <c r="T26" s="50"/>
    </row>
    <row r="27" spans="1:20" x14ac:dyDescent="0.2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40">
        <v>0.15</v>
      </c>
      <c r="K27" s="139">
        <f>HLOOKUP(INVOER!S$25,B$22:J$43,6)</f>
        <v>0.56000000000000005</v>
      </c>
      <c r="Q27" s="211" t="s">
        <v>210</v>
      </c>
      <c r="R27" s="213">
        <f>K43*0.5*C7*R24^2*C14^(-2.23)</f>
        <v>1475.6650823159694</v>
      </c>
      <c r="S27" s="196" t="s">
        <v>189</v>
      </c>
      <c r="T27" s="214"/>
    </row>
    <row r="28" spans="1:20" x14ac:dyDescent="0.2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40">
        <v>0.25</v>
      </c>
      <c r="K28" s="139">
        <f>HLOOKUP(INVOER!S$25,B$22:J$43,7)</f>
        <v>0.56000000000000005</v>
      </c>
      <c r="Q28" s="211" t="s">
        <v>144</v>
      </c>
      <c r="R28" s="213">
        <f>IF(K22=1,"unknown",IF(K22=7,"unknown",IF(K22=8,"unknown",IF(K22=9,"unkown",0.5*C7*R24^2*T39))))</f>
        <v>1741.2847971328438</v>
      </c>
      <c r="S28" s="196" t="s">
        <v>189</v>
      </c>
      <c r="T28" s="215"/>
    </row>
    <row r="29" spans="1:20" x14ac:dyDescent="0.2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41">
        <v>2.4849999999999999</v>
      </c>
      <c r="K29" s="139">
        <f>HLOOKUP(INVOER!S$25,B$22:J$43,8)</f>
        <v>2.048</v>
      </c>
      <c r="Q29" s="43"/>
      <c r="R29" s="6"/>
      <c r="S29" s="6"/>
      <c r="T29" s="44"/>
    </row>
    <row r="30" spans="1:20" x14ac:dyDescent="0.2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3"/>
      <c r="K30" s="139">
        <v>1.3120000000000001</v>
      </c>
      <c r="Q30" s="41" t="s">
        <v>23</v>
      </c>
      <c r="R30" s="5" t="s">
        <v>62</v>
      </c>
      <c r="S30" s="5" t="s">
        <v>63</v>
      </c>
      <c r="T30" s="216" t="s">
        <v>145</v>
      </c>
    </row>
    <row r="31" spans="1:20" x14ac:dyDescent="0.2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3"/>
      <c r="K31" s="139">
        <v>0.6</v>
      </c>
      <c r="Q31" s="43">
        <v>300</v>
      </c>
      <c r="R31" s="6"/>
      <c r="S31" s="6"/>
      <c r="T31" s="44" t="s">
        <v>146</v>
      </c>
    </row>
    <row r="32" spans="1:20" x14ac:dyDescent="0.2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3"/>
      <c r="K32" s="139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0" x14ac:dyDescent="0.2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3"/>
      <c r="K33" s="139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0" x14ac:dyDescent="0.2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52">
        <f>HLOOKUP(INVOER!S$25,B$22:J$43,13)</f>
        <v>4.3517000000000001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0" x14ac:dyDescent="0.2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8">
        <v>0.5</v>
      </c>
      <c r="J35" s="344">
        <v>0.4617</v>
      </c>
      <c r="K35" s="138">
        <f>HLOOKUP(INVOER!S$25,B$22:J$43,14)</f>
        <v>0.69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0" x14ac:dyDescent="0.2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9">
        <v>-0.19600000000000001</v>
      </c>
      <c r="J36" s="345">
        <v>-0.23960000000000001</v>
      </c>
      <c r="K36" s="139">
        <f>HLOOKUP(INVOER!S$25,B$22:J$43,15)</f>
        <v>4.2902199999999997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0" x14ac:dyDescent="0.2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9">
        <v>1.1927000000000001</v>
      </c>
      <c r="J37" s="345">
        <v>0.29210000000000003</v>
      </c>
      <c r="K37" s="139">
        <f>HLOOKUP(INVOER!S$25,B$22:J$43,16)</f>
        <v>4.3440000000000003</v>
      </c>
      <c r="Q37" s="43">
        <v>1850</v>
      </c>
      <c r="R37" s="6"/>
      <c r="S37" s="6"/>
      <c r="T37" s="44" t="s">
        <v>146</v>
      </c>
    </row>
    <row r="38" spans="1:20" x14ac:dyDescent="0.2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9">
        <v>1.36877</v>
      </c>
      <c r="J38" s="345">
        <v>0.12690000000000001</v>
      </c>
      <c r="K38" s="139">
        <f>HLOOKUP(INVOER!S$25,B$22:J$43,17)</f>
        <v>1.34518</v>
      </c>
      <c r="Q38" s="45"/>
      <c r="R38" s="46"/>
      <c r="S38" s="46"/>
      <c r="T38" s="50"/>
    </row>
    <row r="39" spans="1:20" x14ac:dyDescent="0.2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9">
        <v>0.59833000000000003</v>
      </c>
      <c r="J39" s="345">
        <v>0.45600000000000002</v>
      </c>
      <c r="K39" s="139">
        <f>HLOOKUP(INVOER!S$25,B$22:J$43,18)</f>
        <v>1.139</v>
      </c>
      <c r="Q39" s="43"/>
      <c r="R39" s="6" t="s">
        <v>196</v>
      </c>
      <c r="S39" s="6"/>
      <c r="T39" s="214">
        <f>VLOOKUP(K23,Q31:T37,4)</f>
        <v>8.26</v>
      </c>
    </row>
    <row r="40" spans="1:20" x14ac:dyDescent="0.2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9">
        <v>0.61733000000000005</v>
      </c>
      <c r="J40" s="345">
        <v>0.36330000000000001</v>
      </c>
      <c r="K40" s="139">
        <f>HLOOKUP(INVOER!S$25,B$22:J$43,19)</f>
        <v>0.58902399999999999</v>
      </c>
      <c r="Q40" s="45"/>
      <c r="R40" s="46"/>
      <c r="S40" s="46"/>
      <c r="T40" s="50"/>
    </row>
    <row r="41" spans="1:20" x14ac:dyDescent="0.2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40">
        <v>9.3000000000000007</v>
      </c>
      <c r="J41" s="346">
        <v>10.45</v>
      </c>
      <c r="K41" s="140">
        <f>HLOOKUP(INVOER!S$25,B$22:J$43,20)</f>
        <v>8.93</v>
      </c>
    </row>
    <row r="42" spans="1:20" x14ac:dyDescent="0.2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39"/>
    </row>
    <row r="43" spans="1:20" x14ac:dyDescent="0.2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52">
        <f>HLOOKUP(INVOER!S$25,B$22:J$43,22)</f>
        <v>7</v>
      </c>
    </row>
    <row r="47" spans="1:20" x14ac:dyDescent="0.2">
      <c r="G47" s="166"/>
      <c r="H47" s="166"/>
      <c r="I47" s="166"/>
      <c r="J47" s="166"/>
      <c r="K47" s="166"/>
      <c r="L47" s="166"/>
    </row>
    <row r="48" spans="1:20" x14ac:dyDescent="0.2">
      <c r="A48" t="s">
        <v>199</v>
      </c>
      <c r="G48" s="166" t="s">
        <v>190</v>
      </c>
      <c r="H48" s="166"/>
      <c r="I48" s="166"/>
      <c r="J48" s="166"/>
      <c r="K48" s="166"/>
      <c r="L48" s="166"/>
    </row>
    <row r="49" spans="1:23" x14ac:dyDescent="0.2">
      <c r="G49" s="166"/>
      <c r="H49" s="166"/>
      <c r="I49" s="187"/>
      <c r="J49" s="187"/>
      <c r="K49" s="187"/>
      <c r="L49" s="166"/>
    </row>
    <row r="50" spans="1:23" x14ac:dyDescent="0.2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</row>
    <row r="51" spans="1:23" x14ac:dyDescent="0.2">
      <c r="A51" s="43" t="s">
        <v>220</v>
      </c>
      <c r="B51" s="6">
        <f>INVOER!H14*SQRT(INVOER!C18/1000*2000*INVOER!C9*16/INVOER!C10/0.0181/INVOER!C24)</f>
        <v>1.3150910770069812</v>
      </c>
      <c r="C51" s="44"/>
      <c r="G51" s="191" t="s">
        <v>73</v>
      </c>
      <c r="H51" s="189">
        <v>0.95</v>
      </c>
      <c r="I51" s="194">
        <f t="shared" ref="I51:I56" si="0">$K$37*$B$51*((-LN(H51^(1/($B$54*$B$64))))^(1/$K$39))+$K$35*$B$51</f>
        <v>1.2529946098373499</v>
      </c>
      <c r="J51" s="202">
        <f t="shared" ref="J51:J56" si="1">$K$38*$B$51*((-LN(H51^(1/($B$54*$B$64))))^(1/$K$40))+$K$36*$B$51</f>
        <v>5.6498267372744388</v>
      </c>
      <c r="K51" s="204">
        <f t="shared" ref="K51:K55" si="2">IF(I51/$B$51&lt;K$41,I51,J51)</f>
        <v>1.2529946098373499</v>
      </c>
      <c r="L51" s="166"/>
    </row>
    <row r="52" spans="1:23" x14ac:dyDescent="0.2">
      <c r="A52" s="45"/>
      <c r="B52" s="46"/>
      <c r="C52" s="50"/>
      <c r="G52" s="192" t="s">
        <v>75</v>
      </c>
      <c r="H52" s="193">
        <v>0.9</v>
      </c>
      <c r="I52" s="195">
        <f t="shared" si="0"/>
        <v>1.5575683978294921</v>
      </c>
      <c r="J52" s="203">
        <f t="shared" si="1"/>
        <v>5.6684936107536785</v>
      </c>
      <c r="K52" s="205">
        <f t="shared" si="2"/>
        <v>1.5575683978294921</v>
      </c>
      <c r="L52" s="166"/>
    </row>
    <row r="53" spans="1:23" x14ac:dyDescent="0.2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0"/>
        <v>4.3061742501703764</v>
      </c>
      <c r="J53" s="203">
        <f t="shared" si="1"/>
        <v>6.2901224816464989</v>
      </c>
      <c r="K53" s="205">
        <f t="shared" si="2"/>
        <v>4.3061742501703764</v>
      </c>
      <c r="L53" s="166"/>
    </row>
    <row r="54" spans="1:23" x14ac:dyDescent="0.2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0"/>
        <v>10.659151910129776</v>
      </c>
      <c r="J54" s="203">
        <f t="shared" si="1"/>
        <v>10.617263889861125</v>
      </c>
      <c r="K54" s="205">
        <f t="shared" si="2"/>
        <v>10.659151910129776</v>
      </c>
      <c r="L54" s="166"/>
    </row>
    <row r="55" spans="1:23" x14ac:dyDescent="0.2">
      <c r="A55" s="43"/>
      <c r="B55" s="6"/>
      <c r="C55" s="44"/>
      <c r="G55" s="192" t="s">
        <v>80</v>
      </c>
      <c r="H55" s="193">
        <v>0.05</v>
      </c>
      <c r="I55" s="195">
        <f t="shared" si="0"/>
        <v>13.193741135074891</v>
      </c>
      <c r="J55" s="203">
        <f t="shared" si="1"/>
        <v>13.419561412275232</v>
      </c>
      <c r="K55" s="205">
        <f t="shared" si="2"/>
        <v>13.419561412275232</v>
      </c>
      <c r="L55" s="166"/>
    </row>
    <row r="56" spans="1:23" x14ac:dyDescent="0.2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0"/>
        <v>54.740215245526166</v>
      </c>
      <c r="J56" s="203">
        <f t="shared" si="1"/>
        <v>141.02263898650821</v>
      </c>
      <c r="K56" s="205">
        <f>IF(MAX(INVOER!A36:A105)&gt;'Berekening trap 1'!L56,MAX(INVOER!A36:A105),'Berekening trap 1'!L56)</f>
        <v>141.02263898650821</v>
      </c>
      <c r="L56" s="331">
        <f>IF(I56/$B$51&lt;K$41,I56,J56)</f>
        <v>141.02263898650821</v>
      </c>
      <c r="M56" s="6"/>
    </row>
    <row r="57" spans="1:23" x14ac:dyDescent="0.2">
      <c r="A57" s="43"/>
      <c r="B57" s="6"/>
      <c r="C57" s="44"/>
      <c r="G57" s="154" t="s">
        <v>86</v>
      </c>
      <c r="H57" s="157">
        <f>B51*K35</f>
        <v>0.90741284313481696</v>
      </c>
      <c r="I57" s="37" t="s">
        <v>198</v>
      </c>
      <c r="J57" s="38"/>
      <c r="K57" s="206"/>
      <c r="L57" s="6"/>
    </row>
    <row r="58" spans="1:23" x14ac:dyDescent="0.2">
      <c r="A58" s="43" t="s">
        <v>101</v>
      </c>
      <c r="B58" s="164">
        <f>INVOER!V19</f>
        <v>9.6774193548387094E-2</v>
      </c>
      <c r="C58" s="165" t="s">
        <v>100</v>
      </c>
      <c r="G58" s="150" t="s">
        <v>87</v>
      </c>
      <c r="H58" s="161">
        <f>(K56/'Berekening trap 2'!H57)^(1/110)</f>
        <v>1.0520467156295035</v>
      </c>
      <c r="I58" s="43"/>
      <c r="J58" s="6"/>
      <c r="K58" s="44"/>
      <c r="L58" s="6"/>
      <c r="M58" s="251" t="s">
        <v>279</v>
      </c>
    </row>
    <row r="59" spans="1:23" x14ac:dyDescent="0.2">
      <c r="A59" s="48" t="s">
        <v>215</v>
      </c>
      <c r="B59" s="39">
        <f>0.97833+2.918055*B58-39.3739*B58^2+472.0149*B58^3-769.586*B58^4</f>
        <v>1.2522712246337657</v>
      </c>
      <c r="C59" s="44"/>
      <c r="G59" s="43" t="s">
        <v>235</v>
      </c>
      <c r="H59" s="6"/>
      <c r="I59" s="6"/>
      <c r="J59" s="6"/>
      <c r="K59" s="44"/>
      <c r="L59" s="6"/>
    </row>
    <row r="60" spans="1:23" x14ac:dyDescent="0.2">
      <c r="A60" s="48" t="s">
        <v>216</v>
      </c>
      <c r="B60" s="39">
        <f>-0.30338+21.91961*B58-73.5039*B58^2+112.485*B58^3-63.4408*B58^4</f>
        <v>1.2258730582737152</v>
      </c>
      <c r="C60" s="44"/>
      <c r="G60" s="43" t="s">
        <v>236</v>
      </c>
      <c r="H60" s="6"/>
      <c r="I60" s="6"/>
      <c r="J60" s="6"/>
      <c r="K60" s="44"/>
      <c r="L60" s="6"/>
    </row>
    <row r="61" spans="1:23" x14ac:dyDescent="0.2">
      <c r="A61" s="48" t="s">
        <v>217</v>
      </c>
      <c r="B61" s="39">
        <f>2.043212+0.725352*B58-0.2663*B58^2+0.04299*B58^3-0.00233*B58^4</f>
        <v>2.1109521482976565</v>
      </c>
      <c r="C61" s="44"/>
      <c r="G61" s="43" t="s">
        <v>230</v>
      </c>
      <c r="H61" s="6"/>
      <c r="I61" s="6"/>
      <c r="J61" s="6"/>
      <c r="K61" s="44"/>
      <c r="L61" s="6"/>
    </row>
    <row r="62" spans="1:23" x14ac:dyDescent="0.2">
      <c r="A62" s="48" t="s">
        <v>218</v>
      </c>
      <c r="B62" s="39">
        <f>2.853325+0.019026*B58-0.00036*B58^2+0.000003*B58^3-0.0000000065*B58^4</f>
        <v>2.85516285703679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</row>
    <row r="63" spans="1:23" x14ac:dyDescent="0.2">
      <c r="A63" s="48" t="s">
        <v>214</v>
      </c>
      <c r="B63" s="39">
        <f>IF(INVOER!S36=1,1,IF(B58&lt;0.02,1,(IF(B58&lt;0.14,B59,(IF(B58&lt;0.7,B60,(IF(B58&lt;9.1,B61,B62))))))))</f>
        <v>1.2522712246337657</v>
      </c>
      <c r="C63" s="44"/>
      <c r="F63" s="218" t="s">
        <v>237</v>
      </c>
      <c r="G63" s="142"/>
      <c r="H63" s="142"/>
      <c r="I63" s="142"/>
      <c r="J63" s="142"/>
      <c r="K63" s="142"/>
      <c r="W63" s="6"/>
    </row>
    <row r="64" spans="1:23" x14ac:dyDescent="0.2">
      <c r="A64" s="43" t="s">
        <v>155</v>
      </c>
      <c r="B64" s="6">
        <f>IF(INVOER!S36=1,1,'Berekening trap 1'!B63)</f>
        <v>1.2522712246337657</v>
      </c>
      <c r="C64" s="44" t="str">
        <f>IF(B64=1,"neen","ja")</f>
        <v>ja</v>
      </c>
      <c r="F64" s="218" t="s">
        <v>239</v>
      </c>
      <c r="G64" s="142"/>
      <c r="H64" s="142"/>
      <c r="I64" s="142"/>
      <c r="J64" s="142"/>
      <c r="K64" s="142"/>
      <c r="W64" s="6"/>
    </row>
    <row r="65" spans="1:30" x14ac:dyDescent="0.2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6"/>
    </row>
    <row r="66" spans="1:30" x14ac:dyDescent="0.2">
      <c r="W66" s="6"/>
    </row>
    <row r="67" spans="1:30" x14ac:dyDescent="0.2">
      <c r="B67" s="251" t="s">
        <v>275</v>
      </c>
      <c r="V67" s="6"/>
    </row>
    <row r="68" spans="1:30" x14ac:dyDescent="0.2">
      <c r="V68" s="6"/>
    </row>
    <row r="69" spans="1:30" x14ac:dyDescent="0.2">
      <c r="D69" s="218" t="s">
        <v>244</v>
      </c>
      <c r="V69" s="6"/>
    </row>
    <row r="70" spans="1:30" x14ac:dyDescent="0.2">
      <c r="D70" s="218" t="s">
        <v>245</v>
      </c>
      <c r="V70" s="6"/>
    </row>
    <row r="71" spans="1:30" x14ac:dyDescent="0.2">
      <c r="S71" s="46"/>
      <c r="W71" s="6"/>
    </row>
    <row r="72" spans="1:30" x14ac:dyDescent="0.2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147"/>
      <c r="K72" s="175" t="s">
        <v>195</v>
      </c>
      <c r="L72" s="5"/>
      <c r="M72" s="5"/>
      <c r="N72" s="5"/>
      <c r="O72" s="5"/>
      <c r="P72" s="5"/>
      <c r="Q72" s="5"/>
      <c r="R72" s="5"/>
      <c r="T72" s="42"/>
      <c r="U72" s="147"/>
      <c r="V72" s="147"/>
      <c r="W72" s="142"/>
      <c r="Y72" t="s">
        <v>229</v>
      </c>
    </row>
    <row r="73" spans="1:30" x14ac:dyDescent="0.2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238"/>
      <c r="K73" s="177" t="s">
        <v>192</v>
      </c>
      <c r="L73" s="46"/>
      <c r="M73" s="46"/>
      <c r="N73" s="46"/>
      <c r="O73" s="46"/>
      <c r="P73" s="46"/>
      <c r="Q73" s="46"/>
      <c r="R73" s="46"/>
      <c r="S73" s="46"/>
      <c r="T73" s="50"/>
      <c r="U73" s="145"/>
      <c r="V73" s="145"/>
      <c r="W73" s="142"/>
      <c r="Y73" s="6"/>
      <c r="Z73" s="6"/>
      <c r="AA73" s="6"/>
      <c r="AB73" s="6"/>
    </row>
    <row r="74" spans="1:30" x14ac:dyDescent="0.2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244" t="s">
        <v>252</v>
      </c>
      <c r="K74" s="41"/>
      <c r="L74" s="5"/>
      <c r="M74" s="5"/>
      <c r="N74" s="5"/>
      <c r="O74" s="5"/>
      <c r="P74" s="176"/>
      <c r="Q74" s="5"/>
      <c r="R74" s="5" t="s">
        <v>98</v>
      </c>
      <c r="S74" t="s">
        <v>90</v>
      </c>
      <c r="T74" s="186" t="s">
        <v>99</v>
      </c>
      <c r="U74" s="147" t="s">
        <v>182</v>
      </c>
      <c r="V74" s="147" t="s">
        <v>206</v>
      </c>
      <c r="Y74" s="41" t="s">
        <v>96</v>
      </c>
      <c r="Z74" s="5" t="s">
        <v>88</v>
      </c>
      <c r="AA74" s="5" t="s">
        <v>91</v>
      </c>
      <c r="AB74" s="5" t="s">
        <v>97</v>
      </c>
      <c r="AC74" s="5" t="s">
        <v>202</v>
      </c>
      <c r="AD74" s="42" t="s">
        <v>88</v>
      </c>
    </row>
    <row r="75" spans="1:30" x14ac:dyDescent="0.2">
      <c r="A75" s="45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238" t="s">
        <v>233</v>
      </c>
      <c r="K75" s="43"/>
      <c r="L75" s="6" t="s">
        <v>92</v>
      </c>
      <c r="M75" s="6" t="s">
        <v>93</v>
      </c>
      <c r="N75" s="6" t="s">
        <v>94</v>
      </c>
      <c r="O75" s="6" t="s">
        <v>95</v>
      </c>
      <c r="P75" s="6" t="s">
        <v>89</v>
      </c>
      <c r="Q75" s="6" t="s">
        <v>72</v>
      </c>
      <c r="R75" s="6" t="s">
        <v>90</v>
      </c>
      <c r="S75" s="142" t="s">
        <v>5</v>
      </c>
      <c r="T75" s="143" t="s">
        <v>5</v>
      </c>
      <c r="U75" s="238" t="s">
        <v>227</v>
      </c>
      <c r="V75" s="238" t="s">
        <v>227</v>
      </c>
      <c r="Y75" s="45"/>
      <c r="Z75" s="46"/>
      <c r="AA75" s="46"/>
      <c r="AB75" s="46"/>
      <c r="AC75" s="46"/>
      <c r="AD75" s="44" t="s">
        <v>233</v>
      </c>
    </row>
    <row r="76" spans="1:30" x14ac:dyDescent="0.2">
      <c r="A76" s="43">
        <f>'Berekening trap 2'!H57</f>
        <v>0.53141780377591308</v>
      </c>
      <c r="B76" s="6">
        <f>A76/2</f>
        <v>0.26570890188795654</v>
      </c>
      <c r="C76" s="168">
        <f>B76/$B$51</f>
        <v>0.20204600771277684</v>
      </c>
      <c r="D76" s="198">
        <f>IF(C76-$K$35&gt;0,EXP(-(((C76-$K$35)/$K$37)^$K$39)),1)</f>
        <v>1</v>
      </c>
      <c r="E76" s="199">
        <f>IF(C76-$K$36&gt;0,EXP(-(((C76-$K$36)/$K$38)^$K$40)),1)</f>
        <v>1</v>
      </c>
      <c r="F76" s="41">
        <f t="shared" ref="F76:F97" si="3">D76^($B$54*$B$63)</f>
        <v>1</v>
      </c>
      <c r="G76" s="180">
        <f>E76^($B$54*$B$63)</f>
        <v>1</v>
      </c>
      <c r="H76" s="181">
        <f>IF(C76&lt;$K$41,D76,E76)</f>
        <v>1</v>
      </c>
      <c r="I76" s="234">
        <f>IF(C76&lt;$K$41,F76,G76)</f>
        <v>1</v>
      </c>
      <c r="J76" s="147">
        <f>IF(INVOER!$S$36=1,100-H76*100,100-I76*100)</f>
        <v>0</v>
      </c>
      <c r="K76" s="41">
        <f t="shared" ref="K76:K107" si="4">VLOOKUP(A76,Z$76:AB$146,3)</f>
        <v>1</v>
      </c>
      <c r="L76" s="5">
        <f t="shared" ref="L76:L107" si="5">IF(K76=0,VLOOKUP(1,Y$77:AA$146,2),VLOOKUP(K76,Y$76:Z$145,2))</f>
        <v>0.3</v>
      </c>
      <c r="M76" s="5">
        <f t="shared" ref="M76:M107" si="6">IF(K76=0,VLOOKUP(2,Y$77:AA$145,2),VLOOKUP(K76+1,Y$77:Z$145,2))</f>
        <v>5</v>
      </c>
      <c r="N76" s="5">
        <f t="shared" ref="N76:N107" si="7">(VLOOKUP(L76,Z$76:AA$146,2))/100</f>
        <v>0.99998999999999993</v>
      </c>
      <c r="O76" s="5">
        <f t="shared" ref="O76:O107" si="8">(VLOOKUP(M76,Z$76:AA$145,2))/100</f>
        <v>0.94</v>
      </c>
      <c r="P76" s="365">
        <f>LN(LN(N76)/LN(O76))/LN(L76/M76)</f>
        <v>3.103097560394227</v>
      </c>
      <c r="Q76" s="5">
        <f>L76/((-LN(N76))^(1/P76))</f>
        <v>12.25783456169815</v>
      </c>
      <c r="R76" s="5">
        <f>IF(M76="x",0,EXP(-((A76/Q76)^P76)))</f>
        <v>0.99994104311082688</v>
      </c>
      <c r="S76" s="5">
        <f>R76*100</f>
        <v>99.994104311082694</v>
      </c>
      <c r="T76" s="354">
        <f>100*(1-R76)</f>
        <v>5.8956889173122917E-3</v>
      </c>
      <c r="U76" s="355">
        <f>'Berekening trap 1'!H76*$T76</f>
        <v>5.8956889173122917E-3</v>
      </c>
      <c r="V76" s="356">
        <f>'Berekening trap 1'!I76*$T76</f>
        <v>5.8956889173122917E-3</v>
      </c>
      <c r="Y76" s="41">
        <v>0</v>
      </c>
      <c r="Z76" s="5">
        <v>0</v>
      </c>
      <c r="AA76" s="5">
        <v>100</v>
      </c>
      <c r="AB76" s="5">
        <v>0</v>
      </c>
      <c r="AC76" s="5">
        <f>AA76/100</f>
        <v>1</v>
      </c>
      <c r="AD76" s="186">
        <v>1E-8</v>
      </c>
    </row>
    <row r="77" spans="1:30" x14ac:dyDescent="0.2">
      <c r="A77" s="43">
        <f>A76*'Berekening trap 1'!H$58</f>
        <v>0.55907635508949327</v>
      </c>
      <c r="B77" s="6">
        <f>(A76+A77)/2</f>
        <v>0.54524707943270312</v>
      </c>
      <c r="C77" s="168">
        <f>B77/$B$51</f>
        <v>0.41460784653305699</v>
      </c>
      <c r="D77" s="200">
        <f>IF(C77-$K$35&gt;0,EXP(-(((C77-$K$35)/$K$37)^$K$39)),1)</f>
        <v>1</v>
      </c>
      <c r="E77" s="197">
        <f>IF(C77-$K$36&gt;0,EXP(-(((C77-$K$36)/$K$38)^$K$40)),1)</f>
        <v>1</v>
      </c>
      <c r="F77" s="43">
        <f>D77^($B$54*$B$63)</f>
        <v>1</v>
      </c>
      <c r="G77" s="155">
        <f>E77^($B$54*$B$63)</f>
        <v>1</v>
      </c>
      <c r="H77" s="170">
        <f>IF(C77&lt;$K$41,D77,E77)</f>
        <v>1</v>
      </c>
      <c r="I77" s="179">
        <f>IF(C77&lt;$K$41,F77,G77)</f>
        <v>1</v>
      </c>
      <c r="J77" s="145">
        <f>IF(INVOER!$S$36=1,100-H77*100,100-I77*100)</f>
        <v>0</v>
      </c>
      <c r="K77" s="43">
        <f t="shared" si="4"/>
        <v>1</v>
      </c>
      <c r="L77" s="6">
        <f t="shared" si="5"/>
        <v>0.3</v>
      </c>
      <c r="M77" s="6">
        <f t="shared" si="6"/>
        <v>5</v>
      </c>
      <c r="N77" s="6">
        <f t="shared" si="7"/>
        <v>0.99998999999999993</v>
      </c>
      <c r="O77" s="6">
        <f t="shared" si="8"/>
        <v>0.94</v>
      </c>
      <c r="P77" s="366">
        <f t="shared" ref="P77:P97" si="9">(LN(LN(N77)/LN(O77)))/LN(L77/M77)</f>
        <v>3.103097560394227</v>
      </c>
      <c r="Q77" s="6">
        <f t="shared" ref="Q77:Q97" si="10">L77/((-LN(N77))^(1/P77))</f>
        <v>12.25783456169815</v>
      </c>
      <c r="R77" s="6">
        <f t="shared" ref="R77:R139" si="11">IF(M77="x",0,EXP(-((A77/Q77)^P77)))</f>
        <v>0.99993099044783307</v>
      </c>
      <c r="S77" s="6">
        <f>R77*100</f>
        <v>99.993099044783307</v>
      </c>
      <c r="T77" s="357">
        <f>IF(M77="x",0,(R76-R77)*100)</f>
        <v>1.0052662993809136E-3</v>
      </c>
      <c r="U77" s="358">
        <f>'Berekening trap 1'!H77*$T77</f>
        <v>1.0052662993809136E-3</v>
      </c>
      <c r="V77" s="359">
        <f>'Berekening trap 1'!I77*$T77</f>
        <v>1.0052662993809136E-3</v>
      </c>
      <c r="Y77" s="43">
        <f>Y76+1</f>
        <v>1</v>
      </c>
      <c r="Z77" s="6">
        <f>IF(INVOER!A36=0,"x",INVOER!A36)</f>
        <v>0.3</v>
      </c>
      <c r="AA77" s="6">
        <f>IF(INVOER!B$36&gt;INVOER!B$37,INVOER!B36,100-INVOER!B36)</f>
        <v>99.998999999999995</v>
      </c>
      <c r="AB77" s="6">
        <f>IF(Z77=0,AB76,Y77)</f>
        <v>1</v>
      </c>
      <c r="AC77" s="6">
        <f t="shared" ref="AC77:AC140" si="12">AA77/100</f>
        <v>0.99998999999999993</v>
      </c>
      <c r="AD77" s="44">
        <f>IF(INVOER!A36=0,10000,INVOER!A36)</f>
        <v>0.3</v>
      </c>
    </row>
    <row r="78" spans="1:30" x14ac:dyDescent="0.2">
      <c r="A78" s="43">
        <f>A77*'Berekening trap 1'!H$58</f>
        <v>0.58817444315801548</v>
      </c>
      <c r="B78" s="6">
        <f>(A77+A78)/2</f>
        <v>0.57362539912375432</v>
      </c>
      <c r="C78" s="168">
        <f>B78/$B$51</f>
        <v>0.43618682321932384</v>
      </c>
      <c r="D78" s="200">
        <f>IF(C78-$K$35&gt;0,EXP(-(((C78-$K$35)/$K$37)^$K$39)),1)</f>
        <v>1</v>
      </c>
      <c r="E78" s="197">
        <f>IF(C78-$K$36&gt;0,EXP(-(((C78-$K$36)/$K$38)^$K$40)),1)</f>
        <v>1</v>
      </c>
      <c r="F78" s="43">
        <f>D78^($B$54*$B$63)</f>
        <v>1</v>
      </c>
      <c r="G78" s="155">
        <f t="shared" ref="G78:G97" si="13">E78^($B$54*$B$63)</f>
        <v>1</v>
      </c>
      <c r="H78" s="170">
        <f>IF(C78&lt;$K$41,D78,E78)</f>
        <v>1</v>
      </c>
      <c r="I78" s="179">
        <f>IF(C78&lt;$K$41,F78,G78)</f>
        <v>1</v>
      </c>
      <c r="J78" s="145">
        <f>IF(INVOER!$S$36=1,100-H78*100,100-I78*100)</f>
        <v>0</v>
      </c>
      <c r="K78" s="43">
        <f t="shared" si="4"/>
        <v>1</v>
      </c>
      <c r="L78" s="6">
        <f t="shared" si="5"/>
        <v>0.3</v>
      </c>
      <c r="M78" s="6">
        <f t="shared" si="6"/>
        <v>5</v>
      </c>
      <c r="N78" s="6">
        <f t="shared" si="7"/>
        <v>0.99998999999999993</v>
      </c>
      <c r="O78" s="6">
        <f t="shared" si="8"/>
        <v>0.94</v>
      </c>
      <c r="P78" s="366">
        <f t="shared" si="9"/>
        <v>3.103097560394227</v>
      </c>
      <c r="Q78" s="6">
        <f t="shared" si="10"/>
        <v>12.25783456169815</v>
      </c>
      <c r="R78" s="6">
        <f t="shared" si="11"/>
        <v>0.99991922378749443</v>
      </c>
      <c r="S78" s="6">
        <f>R78*100</f>
        <v>99.991922378749436</v>
      </c>
      <c r="T78" s="357">
        <f t="shared" ref="T78:T140" si="14">IF(M78="x",0,(R77-R78)*100)</f>
        <v>1.1766660338641266E-3</v>
      </c>
      <c r="U78" s="358">
        <f>'Berekening trap 1'!H78*$T78</f>
        <v>1.1766660338641266E-3</v>
      </c>
      <c r="V78" s="359">
        <f>'Berekening trap 1'!I78*$T78</f>
        <v>1.1766660338641266E-3</v>
      </c>
      <c r="Y78" s="43">
        <f t="shared" ref="Y78:Y141" si="15">Y77+1</f>
        <v>2</v>
      </c>
      <c r="Z78" s="6">
        <f>IF(INVOER!A37=0,"x",INVOER!A37)</f>
        <v>5</v>
      </c>
      <c r="AA78" s="6">
        <f>IF(INVOER!B$36&gt;INVOER!B$37,INVOER!B37,100-INVOER!B37)</f>
        <v>94</v>
      </c>
      <c r="AB78" s="6">
        <f t="shared" ref="AB78:AB141" si="16">IF(Z78=0,AB77,Y78)</f>
        <v>2</v>
      </c>
      <c r="AC78" s="6">
        <f t="shared" si="12"/>
        <v>0.94</v>
      </c>
      <c r="AD78" s="44">
        <f>IF(INVOER!A37=0,10000,INVOER!A37)</f>
        <v>5</v>
      </c>
    </row>
    <row r="79" spans="1:30" x14ac:dyDescent="0.2">
      <c r="A79" s="43">
        <f>A78*'Berekening trap 1'!H$58</f>
        <v>0.61878699114160229</v>
      </c>
      <c r="B79" s="6">
        <f>(A78+A79)/2</f>
        <v>0.60348071714980889</v>
      </c>
      <c r="C79" s="168">
        <f t="shared" ref="C79:C140" si="17">B79/$B$51</f>
        <v>0.45888891476875654</v>
      </c>
      <c r="D79" s="200">
        <f>IF(C79-$K$35&gt;0,EXP(-(((C79-$K$35)/$K$37)^$K$39)),1)</f>
        <v>1</v>
      </c>
      <c r="E79" s="197">
        <f t="shared" ref="E79:E97" si="18">IF(C79-$K$36&gt;0,EXP(-(((C79-$K$36)/$K$38)^$K$40)),1)</f>
        <v>1</v>
      </c>
      <c r="F79" s="43">
        <f t="shared" si="3"/>
        <v>1</v>
      </c>
      <c r="G79" s="155">
        <f t="shared" si="13"/>
        <v>1</v>
      </c>
      <c r="H79" s="170">
        <f>IF(C79&lt;$K$41,D79,E79)</f>
        <v>1</v>
      </c>
      <c r="I79" s="179">
        <f t="shared" ref="I79:I97" si="19">IF(C79&lt;$K$41,F79,G79)</f>
        <v>1</v>
      </c>
      <c r="J79" s="145">
        <f>IF(INVOER!$S$36=1,100-H79*100,100-I79*100)</f>
        <v>0</v>
      </c>
      <c r="K79" s="43">
        <f>VLOOKUP(A79,Z$76:AB$146,3)</f>
        <v>1</v>
      </c>
      <c r="L79" s="6">
        <f t="shared" si="5"/>
        <v>0.3</v>
      </c>
      <c r="M79" s="6">
        <f t="shared" si="6"/>
        <v>5</v>
      </c>
      <c r="N79" s="6">
        <f t="shared" si="7"/>
        <v>0.99998999999999993</v>
      </c>
      <c r="O79" s="6">
        <f t="shared" si="8"/>
        <v>0.94</v>
      </c>
      <c r="P79" s="366">
        <f>(LN(LN(N79)/LN(O79)))/LN(L79/M79)</f>
        <v>3.103097560394227</v>
      </c>
      <c r="Q79" s="6">
        <f t="shared" si="10"/>
        <v>12.25783456169815</v>
      </c>
      <c r="R79" s="6">
        <f t="shared" si="11"/>
        <v>0.99990545091576577</v>
      </c>
      <c r="S79" s="6">
        <f t="shared" ref="S79:S140" si="20">R79*100</f>
        <v>99.990545091576578</v>
      </c>
      <c r="T79" s="357">
        <f t="shared" si="14"/>
        <v>1.377287172865671E-3</v>
      </c>
      <c r="U79" s="358">
        <f>'Berekening trap 1'!H79*$T79</f>
        <v>1.377287172865671E-3</v>
      </c>
      <c r="V79" s="359">
        <f>'Berekening trap 1'!I79*$T79</f>
        <v>1.377287172865671E-3</v>
      </c>
      <c r="Y79" s="43">
        <f t="shared" si="15"/>
        <v>3</v>
      </c>
      <c r="Z79" s="6">
        <f>IF(INVOER!A38=0,"x",INVOER!A38)</f>
        <v>10</v>
      </c>
      <c r="AA79" s="6">
        <f>IF(INVOER!B$36&gt;INVOER!B$37,INVOER!B38,100-INVOER!B38)</f>
        <v>82</v>
      </c>
      <c r="AB79" s="6">
        <f t="shared" si="16"/>
        <v>3</v>
      </c>
      <c r="AC79" s="6">
        <f t="shared" si="12"/>
        <v>0.82</v>
      </c>
      <c r="AD79" s="44">
        <f>IF(INVOER!A38=0,10000,INVOER!A38)</f>
        <v>10</v>
      </c>
    </row>
    <row r="80" spans="1:30" x14ac:dyDescent="0.2">
      <c r="A80" s="43">
        <f>A79*'Berekening trap 1'!H$58</f>
        <v>0.65099282170478534</v>
      </c>
      <c r="B80" s="6">
        <f t="shared" ref="B80:B97" si="21">(A79+A80)/2</f>
        <v>0.63488990642319387</v>
      </c>
      <c r="C80" s="168">
        <f t="shared" si="17"/>
        <v>0.48277257562125753</v>
      </c>
      <c r="D80" s="200">
        <f t="shared" ref="D80:D87" si="22">IF(C80-$K$35&gt;0,EXP(-(((C80-$K$35)/$K$37)^$K$39)),1)</f>
        <v>1</v>
      </c>
      <c r="E80" s="197">
        <f t="shared" si="18"/>
        <v>1</v>
      </c>
      <c r="F80" s="43">
        <f t="shared" si="3"/>
        <v>1</v>
      </c>
      <c r="G80" s="155">
        <f t="shared" si="13"/>
        <v>1</v>
      </c>
      <c r="H80" s="170">
        <f>IF(C80&lt;$K$41,D80,E80)</f>
        <v>1</v>
      </c>
      <c r="I80" s="179">
        <f>IF(C80&lt;$K$41,F80,G80)</f>
        <v>1</v>
      </c>
      <c r="J80" s="145">
        <f>IF(INVOER!$S$36=1,100-H80*100,100-I80*100)</f>
        <v>0</v>
      </c>
      <c r="K80" s="43">
        <f t="shared" si="4"/>
        <v>1</v>
      </c>
      <c r="L80" s="6">
        <f>IF(K80=0,VLOOKUP(1,Y$77:AA$146,2),VLOOKUP(K80,Y$76:Z$145,2))</f>
        <v>0.3</v>
      </c>
      <c r="M80" s="6">
        <f>IF(K80=0,VLOOKUP(2,Y$77:AA$145,2),VLOOKUP(K80+1,Y$77:Z$145,2))</f>
        <v>5</v>
      </c>
      <c r="N80" s="6">
        <f t="shared" si="7"/>
        <v>0.99998999999999993</v>
      </c>
      <c r="O80" s="6">
        <f t="shared" si="8"/>
        <v>0.94</v>
      </c>
      <c r="P80" s="366">
        <f>(LN(LN(N80)/LN(O80)))/LN(L80/M80)</f>
        <v>3.103097560394227</v>
      </c>
      <c r="Q80" s="6">
        <f>L80/((-LN(N80))^(1/P80))</f>
        <v>12.25783456169815</v>
      </c>
      <c r="R80" s="6">
        <f t="shared" si="11"/>
        <v>0.99988932980942624</v>
      </c>
      <c r="S80" s="6">
        <f t="shared" si="20"/>
        <v>99.988932980942621</v>
      </c>
      <c r="T80" s="357">
        <f t="shared" si="14"/>
        <v>1.6121106339528346E-3</v>
      </c>
      <c r="U80" s="358">
        <f>'Berekening trap 1'!H80*$T80</f>
        <v>1.6121106339528346E-3</v>
      </c>
      <c r="V80" s="359">
        <f>'Berekening trap 1'!I80*$T80</f>
        <v>1.6121106339528346E-3</v>
      </c>
      <c r="Y80" s="43">
        <f t="shared" si="15"/>
        <v>4</v>
      </c>
      <c r="Z80" s="6">
        <f>IF(INVOER!A39=0,"x",INVOER!A39)</f>
        <v>15</v>
      </c>
      <c r="AA80" s="6">
        <f>IF(INVOER!B$36&gt;INVOER!B$37,INVOER!B39,100-INVOER!B39)</f>
        <v>61.1</v>
      </c>
      <c r="AB80" s="6">
        <f t="shared" si="16"/>
        <v>4</v>
      </c>
      <c r="AC80" s="6">
        <f t="shared" si="12"/>
        <v>0.61099999999999999</v>
      </c>
      <c r="AD80" s="44">
        <f>IF(INVOER!A39=0,10000,INVOER!A39)</f>
        <v>15</v>
      </c>
    </row>
    <row r="81" spans="1:30" x14ac:dyDescent="0.2">
      <c r="A81" s="45">
        <f>A80*'Berekening trap 1'!H$58</f>
        <v>0.68487485997290232</v>
      </c>
      <c r="B81" s="46">
        <f>(A80+A81)/2</f>
        <v>0.66793384083884377</v>
      </c>
      <c r="C81" s="182">
        <f t="shared" si="17"/>
        <v>0.50789930257833993</v>
      </c>
      <c r="D81" s="201">
        <f>IF(C81-$K$35&gt;0,EXP(-(((C81-$K$35)/$K$37)^$K$39)),1)</f>
        <v>1</v>
      </c>
      <c r="E81" s="167">
        <f t="shared" si="18"/>
        <v>1</v>
      </c>
      <c r="F81" s="45">
        <f t="shared" si="3"/>
        <v>1</v>
      </c>
      <c r="G81" s="183">
        <f t="shared" si="13"/>
        <v>1</v>
      </c>
      <c r="H81" s="171">
        <f t="shared" ref="H81:H97" si="23">IF(C81&lt;$K$41,D81,E81)</f>
        <v>1</v>
      </c>
      <c r="I81" s="235">
        <f>IF(C81&lt;$K$41,F81,G81)</f>
        <v>1</v>
      </c>
      <c r="J81" s="238">
        <f>IF(INVOER!$S$36=1,100-H81*100,100-I81*100)</f>
        <v>0</v>
      </c>
      <c r="K81" s="45">
        <f t="shared" si="4"/>
        <v>1</v>
      </c>
      <c r="L81" s="46">
        <f t="shared" si="5"/>
        <v>0.3</v>
      </c>
      <c r="M81" s="46">
        <f t="shared" si="6"/>
        <v>5</v>
      </c>
      <c r="N81" s="46">
        <f t="shared" si="7"/>
        <v>0.99998999999999993</v>
      </c>
      <c r="O81" s="46">
        <f t="shared" si="8"/>
        <v>0.94</v>
      </c>
      <c r="P81" s="367">
        <f t="shared" si="9"/>
        <v>3.103097560394227</v>
      </c>
      <c r="Q81" s="46">
        <f>L81/((-LN(N81))^(1/P81))</f>
        <v>12.25783456169815</v>
      </c>
      <c r="R81" s="46">
        <f t="shared" si="11"/>
        <v>0.99987046014939529</v>
      </c>
      <c r="S81" s="46">
        <f t="shared" si="20"/>
        <v>99.987046014939523</v>
      </c>
      <c r="T81" s="360">
        <f t="shared" si="14"/>
        <v>1.8869660030951252E-3</v>
      </c>
      <c r="U81" s="361">
        <f>'Berekening trap 1'!H81*$T81</f>
        <v>1.8869660030951252E-3</v>
      </c>
      <c r="V81" s="362">
        <f>'Berekening trap 1'!I81*$T81</f>
        <v>1.8869660030951252E-3</v>
      </c>
      <c r="Y81" s="43">
        <f t="shared" si="15"/>
        <v>5</v>
      </c>
      <c r="Z81" s="6">
        <f>IF(INVOER!A40=0,"x",INVOER!A40)</f>
        <v>20</v>
      </c>
      <c r="AA81" s="6">
        <f>IF(INVOER!B$36&gt;INVOER!B$37,INVOER!B40,100-INVOER!B40)</f>
        <v>40.5</v>
      </c>
      <c r="AB81" s="6">
        <f t="shared" si="16"/>
        <v>5</v>
      </c>
      <c r="AC81" s="6">
        <f t="shared" si="12"/>
        <v>0.40500000000000003</v>
      </c>
      <c r="AD81" s="44">
        <f>IF(INVOER!A40=0,10000,INVOER!A40)</f>
        <v>20</v>
      </c>
    </row>
    <row r="82" spans="1:30" x14ac:dyDescent="0.2">
      <c r="A82" s="43">
        <f>A81*'Berekening trap 1'!H$58</f>
        <v>0.72052034705170798</v>
      </c>
      <c r="B82" s="6">
        <f>(A81+A82)/2</f>
        <v>0.70269760351230515</v>
      </c>
      <c r="C82" s="168">
        <f t="shared" si="17"/>
        <v>0.53433379314805807</v>
      </c>
      <c r="D82" s="200">
        <f t="shared" si="22"/>
        <v>1</v>
      </c>
      <c r="E82" s="197">
        <f t="shared" si="18"/>
        <v>1</v>
      </c>
      <c r="F82" s="43">
        <f t="shared" si="3"/>
        <v>1</v>
      </c>
      <c r="G82" s="155">
        <f t="shared" si="13"/>
        <v>1</v>
      </c>
      <c r="H82" s="170">
        <f t="shared" si="23"/>
        <v>1</v>
      </c>
      <c r="I82" s="179">
        <f t="shared" si="19"/>
        <v>1</v>
      </c>
      <c r="J82" s="145">
        <f>IF(INVOER!$S$36=1,100-H82*100,100-I82*100)</f>
        <v>0</v>
      </c>
      <c r="K82" s="41">
        <f t="shared" si="4"/>
        <v>1</v>
      </c>
      <c r="L82" s="5">
        <f t="shared" si="5"/>
        <v>0.3</v>
      </c>
      <c r="M82" s="5">
        <f t="shared" si="6"/>
        <v>5</v>
      </c>
      <c r="N82" s="5">
        <f t="shared" si="7"/>
        <v>0.99998999999999993</v>
      </c>
      <c r="O82" s="5">
        <f t="shared" si="8"/>
        <v>0.94</v>
      </c>
      <c r="P82" s="365">
        <f t="shared" si="9"/>
        <v>3.103097560394227</v>
      </c>
      <c r="Q82" s="5">
        <f t="shared" si="10"/>
        <v>12.25783456169815</v>
      </c>
      <c r="R82" s="5">
        <f t="shared" si="11"/>
        <v>0.99984837338935195</v>
      </c>
      <c r="S82" s="5">
        <f t="shared" si="20"/>
        <v>99.984837338935193</v>
      </c>
      <c r="T82" s="363">
        <f t="shared" si="14"/>
        <v>2.2086760043338316E-3</v>
      </c>
      <c r="U82" s="358">
        <f>'Berekening trap 1'!H82*$T82</f>
        <v>2.2086760043338316E-3</v>
      </c>
      <c r="V82" s="359">
        <f>'Berekening trap 1'!I82*$T82</f>
        <v>2.2086760043338316E-3</v>
      </c>
      <c r="Y82" s="43">
        <f t="shared" si="15"/>
        <v>6</v>
      </c>
      <c r="Z82" s="6">
        <f>IF(INVOER!A41=0,"x",INVOER!A41)</f>
        <v>25</v>
      </c>
      <c r="AA82" s="6">
        <f>IF(INVOER!B$36&gt;INVOER!B$37,INVOER!B41,100-INVOER!B41)</f>
        <v>24.5</v>
      </c>
      <c r="AB82" s="6">
        <f t="shared" si="16"/>
        <v>6</v>
      </c>
      <c r="AC82" s="6">
        <f t="shared" si="12"/>
        <v>0.245</v>
      </c>
      <c r="AD82" s="44">
        <f>IF(INVOER!A41=0,10000,INVOER!A41)</f>
        <v>25</v>
      </c>
    </row>
    <row r="83" spans="1:30" x14ac:dyDescent="0.2">
      <c r="A83" s="43">
        <f>A82*'Berekening trap 1'!H$58</f>
        <v>0.75802106465997932</v>
      </c>
      <c r="B83" s="6">
        <f>(A82+A83)/2</f>
        <v>0.73927070585584365</v>
      </c>
      <c r="C83" s="168">
        <f t="shared" si="17"/>
        <v>0.56214411213126891</v>
      </c>
      <c r="D83" s="200">
        <f t="shared" si="22"/>
        <v>1</v>
      </c>
      <c r="E83" s="197">
        <f t="shared" si="18"/>
        <v>1</v>
      </c>
      <c r="F83" s="43">
        <f t="shared" si="3"/>
        <v>1</v>
      </c>
      <c r="G83" s="155">
        <f t="shared" si="13"/>
        <v>1</v>
      </c>
      <c r="H83" s="170">
        <f>IF(C83&lt;$K$41,D83,E83)</f>
        <v>1</v>
      </c>
      <c r="I83" s="179">
        <f t="shared" si="19"/>
        <v>1</v>
      </c>
      <c r="J83" s="145">
        <f>IF(INVOER!$S$36=1,100-H83*100,100-I83*100)</f>
        <v>0</v>
      </c>
      <c r="K83" s="43">
        <f t="shared" si="4"/>
        <v>1</v>
      </c>
      <c r="L83" s="6">
        <f t="shared" si="5"/>
        <v>0.3</v>
      </c>
      <c r="M83" s="6">
        <f t="shared" si="6"/>
        <v>5</v>
      </c>
      <c r="N83" s="6">
        <f t="shared" si="7"/>
        <v>0.99998999999999993</v>
      </c>
      <c r="O83" s="6">
        <f t="shared" si="8"/>
        <v>0.94</v>
      </c>
      <c r="P83" s="366">
        <f>(LN(LN(N83)/LN(O83)))/LN(L83/M83)</f>
        <v>3.103097560394227</v>
      </c>
      <c r="Q83" s="6">
        <f>L83/((-LN(N83))^(1/P83))</f>
        <v>12.25783456169815</v>
      </c>
      <c r="R83" s="6">
        <f t="shared" si="11"/>
        <v>0.99982252113420877</v>
      </c>
      <c r="S83" s="6">
        <f t="shared" si="20"/>
        <v>99.982252113420884</v>
      </c>
      <c r="T83" s="357">
        <f t="shared" si="14"/>
        <v>2.5852255143177238E-3</v>
      </c>
      <c r="U83" s="358">
        <f>'Berekening trap 1'!H83*$T83</f>
        <v>2.5852255143177238E-3</v>
      </c>
      <c r="V83" s="359">
        <f>'Berekening trap 1'!I83*$T83</f>
        <v>2.5852255143177238E-3</v>
      </c>
      <c r="Y83" s="43">
        <f t="shared" si="15"/>
        <v>7</v>
      </c>
      <c r="Z83" s="6">
        <f>IF(INVOER!A42=0,"x",INVOER!A42)</f>
        <v>30</v>
      </c>
      <c r="AA83" s="6">
        <f>IF(INVOER!B$36&gt;INVOER!B$37,INVOER!B42,100-INVOER!B42)</f>
        <v>13.799999999999997</v>
      </c>
      <c r="AB83" s="6">
        <f>IF(Z83=0,AB82,Y83)</f>
        <v>7</v>
      </c>
      <c r="AC83" s="6">
        <f t="shared" si="12"/>
        <v>0.13799999999999998</v>
      </c>
      <c r="AD83" s="44">
        <f>IF(INVOER!A42=0,10000,INVOER!A42)</f>
        <v>30</v>
      </c>
    </row>
    <row r="84" spans="1:30" x14ac:dyDescent="0.2">
      <c r="A84" s="43">
        <f>A83*'Berekening trap 1'!H$58</f>
        <v>0.79747357145351072</v>
      </c>
      <c r="B84" s="6">
        <f t="shared" si="21"/>
        <v>0.77774731805674502</v>
      </c>
      <c r="C84" s="168">
        <f>B84/$B$51</f>
        <v>0.59140186687816476</v>
      </c>
      <c r="D84" s="200">
        <f>IF(C84-$K$35&gt;0,EXP(-(((C84-$K$35)/$K$37)^$K$39)),1)</f>
        <v>1</v>
      </c>
      <c r="E84" s="197">
        <f t="shared" si="18"/>
        <v>1</v>
      </c>
      <c r="F84" s="43">
        <f t="shared" si="3"/>
        <v>1</v>
      </c>
      <c r="G84" s="155">
        <f t="shared" si="13"/>
        <v>1</v>
      </c>
      <c r="H84" s="170">
        <f t="shared" si="23"/>
        <v>1</v>
      </c>
      <c r="I84" s="179">
        <f t="shared" si="19"/>
        <v>1</v>
      </c>
      <c r="J84" s="145">
        <f>IF(INVOER!$S$36=1,100-H84*100,100-I84*100)</f>
        <v>0</v>
      </c>
      <c r="K84" s="43">
        <f t="shared" si="4"/>
        <v>1</v>
      </c>
      <c r="L84" s="6">
        <f t="shared" si="5"/>
        <v>0.3</v>
      </c>
      <c r="M84" s="6">
        <f t="shared" si="6"/>
        <v>5</v>
      </c>
      <c r="N84" s="6">
        <f t="shared" si="7"/>
        <v>0.99998999999999993</v>
      </c>
      <c r="O84" s="6">
        <f t="shared" si="8"/>
        <v>0.94</v>
      </c>
      <c r="P84" s="366">
        <f t="shared" si="9"/>
        <v>3.103097560394227</v>
      </c>
      <c r="Q84" s="6">
        <f t="shared" si="10"/>
        <v>12.25783456169815</v>
      </c>
      <c r="R84" s="6">
        <f t="shared" si="11"/>
        <v>0.99979226154146339</v>
      </c>
      <c r="S84" s="6">
        <f t="shared" si="20"/>
        <v>99.979226154146346</v>
      </c>
      <c r="T84" s="357">
        <f t="shared" si="14"/>
        <v>3.0259592745385255E-3</v>
      </c>
      <c r="U84" s="358">
        <f>'Berekening trap 1'!H84*$T84</f>
        <v>3.0259592745385255E-3</v>
      </c>
      <c r="V84" s="359">
        <f>'Berekening trap 1'!I84*$T84</f>
        <v>3.0259592745385255E-3</v>
      </c>
      <c r="Y84" s="43">
        <f t="shared" si="15"/>
        <v>8</v>
      </c>
      <c r="Z84" s="6">
        <f>IF(INVOER!A43=0,"x",INVOER!A43)</f>
        <v>35</v>
      </c>
      <c r="AA84" s="6">
        <f>IF(INVOER!B$36&gt;INVOER!B$37,INVOER!B43,100-INVOER!B43)</f>
        <v>7</v>
      </c>
      <c r="AB84" s="6">
        <f t="shared" si="16"/>
        <v>8</v>
      </c>
      <c r="AC84" s="6">
        <f t="shared" si="12"/>
        <v>7.0000000000000007E-2</v>
      </c>
      <c r="AD84" s="44">
        <f>IF(INVOER!A43=0,10000,INVOER!A43)</f>
        <v>35</v>
      </c>
    </row>
    <row r="85" spans="1:30" x14ac:dyDescent="0.2">
      <c r="A85" s="43">
        <f>A84*'Berekening trap 1'!H$58</f>
        <v>0.83897945164899612</v>
      </c>
      <c r="B85" s="6">
        <f t="shared" si="21"/>
        <v>0.81822651155125348</v>
      </c>
      <c r="C85" s="168">
        <f>B85/$B$51</f>
        <v>0.62218239166633005</v>
      </c>
      <c r="D85" s="200">
        <f t="shared" si="22"/>
        <v>1</v>
      </c>
      <c r="E85" s="197">
        <f t="shared" si="18"/>
        <v>1</v>
      </c>
      <c r="F85" s="43">
        <f t="shared" si="3"/>
        <v>1</v>
      </c>
      <c r="G85" s="155">
        <f t="shared" si="13"/>
        <v>1</v>
      </c>
      <c r="H85" s="170">
        <f t="shared" si="23"/>
        <v>1</v>
      </c>
      <c r="I85" s="179">
        <f t="shared" si="19"/>
        <v>1</v>
      </c>
      <c r="J85" s="145">
        <f>IF(INVOER!$S$36=1,100-H85*100,100-I85*100)</f>
        <v>0</v>
      </c>
      <c r="K85" s="43">
        <f t="shared" si="4"/>
        <v>1</v>
      </c>
      <c r="L85" s="6">
        <f t="shared" si="5"/>
        <v>0.3</v>
      </c>
      <c r="M85" s="6">
        <f t="shared" si="6"/>
        <v>5</v>
      </c>
      <c r="N85" s="6">
        <f t="shared" si="7"/>
        <v>0.99998999999999993</v>
      </c>
      <c r="O85" s="6">
        <f t="shared" si="8"/>
        <v>0.94</v>
      </c>
      <c r="P85" s="366">
        <f t="shared" si="9"/>
        <v>3.103097560394227</v>
      </c>
      <c r="Q85" s="6">
        <f t="shared" si="10"/>
        <v>12.25783456169815</v>
      </c>
      <c r="R85" s="6">
        <f t="shared" si="11"/>
        <v>0.99975684340997417</v>
      </c>
      <c r="S85" s="6">
        <f t="shared" si="20"/>
        <v>99.975684340997418</v>
      </c>
      <c r="T85" s="357">
        <f t="shared" si="14"/>
        <v>3.5418131489217686E-3</v>
      </c>
      <c r="U85" s="358">
        <f>'Berekening trap 1'!H85*$T85</f>
        <v>3.5418131489217686E-3</v>
      </c>
      <c r="V85" s="359">
        <f>'Berekening trap 1'!I85*$T85</f>
        <v>3.5418131489217686E-3</v>
      </c>
      <c r="Y85" s="43">
        <f t="shared" si="15"/>
        <v>9</v>
      </c>
      <c r="Z85" s="6">
        <f>IF(INVOER!A44=0,"x",INVOER!A44)</f>
        <v>40</v>
      </c>
      <c r="AA85" s="6">
        <f>IF(INVOER!B$36&gt;INVOER!B$37,INVOER!B44,100-INVOER!B44)</f>
        <v>3.4000000000000057</v>
      </c>
      <c r="AB85" s="6">
        <f t="shared" si="16"/>
        <v>9</v>
      </c>
      <c r="AC85" s="6">
        <f t="shared" si="12"/>
        <v>3.4000000000000058E-2</v>
      </c>
      <c r="AD85" s="44">
        <f>IF(INVOER!A44=0,10000,INVOER!A44)</f>
        <v>40</v>
      </c>
    </row>
    <row r="86" spans="1:30" x14ac:dyDescent="0.2">
      <c r="A86" s="45">
        <f>A85*'Berekening trap 1'!H$58</f>
        <v>0.88264557658796816</v>
      </c>
      <c r="B86" s="46">
        <f t="shared" si="21"/>
        <v>0.86081251411848214</v>
      </c>
      <c r="C86" s="182">
        <f t="shared" si="17"/>
        <v>0.65456494167507184</v>
      </c>
      <c r="D86" s="201">
        <f t="shared" si="22"/>
        <v>1</v>
      </c>
      <c r="E86" s="167">
        <f t="shared" si="18"/>
        <v>1</v>
      </c>
      <c r="F86" s="45">
        <f t="shared" si="3"/>
        <v>1</v>
      </c>
      <c r="G86" s="183">
        <f t="shared" si="13"/>
        <v>1</v>
      </c>
      <c r="H86" s="171">
        <f t="shared" si="23"/>
        <v>1</v>
      </c>
      <c r="I86" s="235">
        <f t="shared" si="19"/>
        <v>1</v>
      </c>
      <c r="J86" s="145">
        <f>IF(INVOER!$S$36=1,100-H86*100,100-I86*100)</f>
        <v>0</v>
      </c>
      <c r="K86" s="45">
        <f t="shared" si="4"/>
        <v>1</v>
      </c>
      <c r="L86" s="46">
        <f t="shared" si="5"/>
        <v>0.3</v>
      </c>
      <c r="M86" s="46">
        <f t="shared" si="6"/>
        <v>5</v>
      </c>
      <c r="N86" s="46">
        <f t="shared" si="7"/>
        <v>0.99998999999999993</v>
      </c>
      <c r="O86" s="46">
        <f t="shared" si="8"/>
        <v>0.94</v>
      </c>
      <c r="P86" s="367">
        <f>(LN(LN(N86)/LN(O86)))/LN(L86/M86)</f>
        <v>3.103097560394227</v>
      </c>
      <c r="Q86" s="46">
        <f t="shared" si="10"/>
        <v>12.25783456169815</v>
      </c>
      <c r="R86" s="46">
        <f t="shared" si="11"/>
        <v>0.99971538756411971</v>
      </c>
      <c r="S86" s="46">
        <f t="shared" si="20"/>
        <v>99.971538756411974</v>
      </c>
      <c r="T86" s="360">
        <f t="shared" si="14"/>
        <v>4.1455845854465601E-3</v>
      </c>
      <c r="U86" s="361">
        <f>'Berekening trap 1'!H86*$T86</f>
        <v>4.1455845854465601E-3</v>
      </c>
      <c r="V86" s="362">
        <f>'Berekening trap 1'!I86*$T86</f>
        <v>4.1455845854465601E-3</v>
      </c>
      <c r="Y86" s="43">
        <f t="shared" si="15"/>
        <v>10</v>
      </c>
      <c r="Z86" s="6">
        <f>IF(INVOER!A45=0,"x",INVOER!A45)</f>
        <v>45</v>
      </c>
      <c r="AA86" s="6">
        <f>IF(INVOER!B$36&gt;INVOER!B$37,INVOER!B45,100-INVOER!B45)</f>
        <v>1.5</v>
      </c>
      <c r="AB86" s="6">
        <f t="shared" si="16"/>
        <v>10</v>
      </c>
      <c r="AC86" s="6">
        <f t="shared" si="12"/>
        <v>1.4999999999999999E-2</v>
      </c>
      <c r="AD86" s="44">
        <f>IF(INVOER!A45=0,10000,INVOER!A45)</f>
        <v>45</v>
      </c>
    </row>
    <row r="87" spans="1:30" x14ac:dyDescent="0.2">
      <c r="A87" s="43">
        <f>A86*'Berekening trap 1'!H$58</f>
        <v>0.92858437991428122</v>
      </c>
      <c r="B87" s="6">
        <f t="shared" si="21"/>
        <v>0.90561497825112469</v>
      </c>
      <c r="C87" s="168">
        <f t="shared" si="17"/>
        <v>0.68863289705547681</v>
      </c>
      <c r="D87" s="200">
        <f t="shared" si="22"/>
        <v>1</v>
      </c>
      <c r="E87" s="197">
        <f t="shared" si="18"/>
        <v>1</v>
      </c>
      <c r="F87" s="43">
        <f t="shared" si="3"/>
        <v>1</v>
      </c>
      <c r="G87" s="155">
        <f t="shared" si="13"/>
        <v>1</v>
      </c>
      <c r="H87" s="170">
        <f t="shared" si="23"/>
        <v>1</v>
      </c>
      <c r="I87" s="179">
        <f t="shared" si="19"/>
        <v>1</v>
      </c>
      <c r="J87" s="147">
        <f>IF(INVOER!$S$36=1,100-H87*100,100-I87*100)</f>
        <v>0</v>
      </c>
      <c r="K87" s="41">
        <f t="shared" si="4"/>
        <v>1</v>
      </c>
      <c r="L87" s="5">
        <f t="shared" si="5"/>
        <v>0.3</v>
      </c>
      <c r="M87" s="5">
        <f t="shared" si="6"/>
        <v>5</v>
      </c>
      <c r="N87" s="5">
        <f t="shared" si="7"/>
        <v>0.99998999999999993</v>
      </c>
      <c r="O87" s="5">
        <f t="shared" si="8"/>
        <v>0.94</v>
      </c>
      <c r="P87" s="365">
        <f t="shared" si="9"/>
        <v>3.103097560394227</v>
      </c>
      <c r="Q87" s="5">
        <f t="shared" si="10"/>
        <v>12.25783456169815</v>
      </c>
      <c r="R87" s="5">
        <f t="shared" si="11"/>
        <v>0.99966686507530411</v>
      </c>
      <c r="S87" s="5">
        <f>R87*100</f>
        <v>99.966686507530412</v>
      </c>
      <c r="T87" s="363">
        <f t="shared" si="14"/>
        <v>4.85224888155944E-3</v>
      </c>
      <c r="U87" s="358">
        <f>'Berekening trap 1'!H87*$T87</f>
        <v>4.85224888155944E-3</v>
      </c>
      <c r="V87" s="359">
        <f>'Berekening trap 1'!I87*$T87</f>
        <v>4.85224888155944E-3</v>
      </c>
      <c r="Y87" s="43">
        <f t="shared" si="15"/>
        <v>11</v>
      </c>
      <c r="Z87" s="6">
        <f>IF(INVOER!A46=0,"x",INVOER!A46)</f>
        <v>50</v>
      </c>
      <c r="AA87" s="6">
        <f>IF(INVOER!B$36&gt;INVOER!B$37,INVOER!B46,100-INVOER!B46)</f>
        <v>0.5</v>
      </c>
      <c r="AB87" s="6">
        <f t="shared" si="16"/>
        <v>11</v>
      </c>
      <c r="AC87" s="6">
        <f t="shared" si="12"/>
        <v>5.0000000000000001E-3</v>
      </c>
      <c r="AD87" s="44">
        <f>IF(INVOER!A46=0,10000,INVOER!A46)</f>
        <v>50</v>
      </c>
    </row>
    <row r="88" spans="1:30" x14ac:dyDescent="0.2">
      <c r="A88" s="43">
        <f>A87*'Berekening trap 1'!H$58</f>
        <v>0.97691414707367863</v>
      </c>
      <c r="B88" s="6">
        <f t="shared" si="21"/>
        <v>0.95274926349397993</v>
      </c>
      <c r="C88" s="168">
        <f t="shared" si="17"/>
        <v>0.72447397762164434</v>
      </c>
      <c r="D88" s="200">
        <f>IF(C88-$K$35&gt;0,EXP(-(((C88-$K$35)/$K$37)^$K$39)),1)</f>
        <v>0.99595641420901793</v>
      </c>
      <c r="E88" s="197">
        <f t="shared" si="18"/>
        <v>1</v>
      </c>
      <c r="F88" s="43">
        <f t="shared" si="3"/>
        <v>0.99493891915026544</v>
      </c>
      <c r="G88" s="155">
        <f t="shared" si="13"/>
        <v>1</v>
      </c>
      <c r="H88" s="170">
        <f t="shared" si="23"/>
        <v>0.99595641420901793</v>
      </c>
      <c r="I88" s="179">
        <f t="shared" si="19"/>
        <v>0.99493891915026544</v>
      </c>
      <c r="J88" s="145">
        <f>IF(INVOER!$S$36=1,100-H88*100,100-I88*100)</f>
        <v>0.50610808497346227</v>
      </c>
      <c r="K88" s="43">
        <f t="shared" si="4"/>
        <v>1</v>
      </c>
      <c r="L88" s="6">
        <f t="shared" si="5"/>
        <v>0.3</v>
      </c>
      <c r="M88" s="6">
        <f t="shared" si="6"/>
        <v>5</v>
      </c>
      <c r="N88" s="6">
        <f t="shared" si="7"/>
        <v>0.99998999999999993</v>
      </c>
      <c r="O88" s="6">
        <f t="shared" si="8"/>
        <v>0.94</v>
      </c>
      <c r="P88" s="366">
        <f t="shared" si="9"/>
        <v>3.103097560394227</v>
      </c>
      <c r="Q88" s="6">
        <f t="shared" si="10"/>
        <v>12.25783456169815</v>
      </c>
      <c r="R88" s="6">
        <f t="shared" si="11"/>
        <v>0.99961007178582628</v>
      </c>
      <c r="S88" s="6">
        <f t="shared" si="20"/>
        <v>99.961007178582634</v>
      </c>
      <c r="T88" s="357">
        <f t="shared" si="14"/>
        <v>5.6793289477830022E-3</v>
      </c>
      <c r="U88" s="358">
        <f>'Berekening trap 1'!H88*$T88</f>
        <v>5.6563640939474337E-3</v>
      </c>
      <c r="V88" s="359">
        <f>'Berekening trap 1'!I88*$T88</f>
        <v>5.6505854048060347E-3</v>
      </c>
      <c r="Y88" s="43">
        <f t="shared" si="15"/>
        <v>12</v>
      </c>
      <c r="Z88" s="6" t="str">
        <f>IF(INVOER!A47=0,"x",INVOER!A47)</f>
        <v>x</v>
      </c>
      <c r="AA88" s="6">
        <f>IF(INVOER!B$36&gt;INVOER!B$37,INVOER!B47,100-INVOER!B47)</f>
        <v>100</v>
      </c>
      <c r="AB88" s="6">
        <f t="shared" si="16"/>
        <v>12</v>
      </c>
      <c r="AC88" s="6">
        <f t="shared" si="12"/>
        <v>1</v>
      </c>
      <c r="AD88" s="44">
        <f>IF(INVOER!A47=0,10000,INVOER!A47)</f>
        <v>10000</v>
      </c>
    </row>
    <row r="89" spans="1:30" x14ac:dyDescent="0.2">
      <c r="A89" s="43">
        <f>A88*'Berekening trap 1'!H$58</f>
        <v>1.0277593198808612</v>
      </c>
      <c r="B89" s="6">
        <f t="shared" si="21"/>
        <v>1.0023367334772699</v>
      </c>
      <c r="C89" s="168">
        <f t="shared" si="17"/>
        <v>0.76218046871589329</v>
      </c>
      <c r="D89" s="200">
        <f>IF(C89-$K$35&gt;0,EXP(-(((C89-$K$35)/$K$37)^$K$39)),1)</f>
        <v>0.99064284791284685</v>
      </c>
      <c r="E89" s="197">
        <f t="shared" si="18"/>
        <v>1</v>
      </c>
      <c r="F89" s="43">
        <f t="shared" si="3"/>
        <v>0.98829617012572846</v>
      </c>
      <c r="G89" s="155">
        <f t="shared" si="13"/>
        <v>1</v>
      </c>
      <c r="H89" s="170">
        <f t="shared" si="23"/>
        <v>0.99064284791284685</v>
      </c>
      <c r="I89" s="179">
        <f t="shared" si="19"/>
        <v>0.98829617012572846</v>
      </c>
      <c r="J89" s="145">
        <f>IF(INVOER!$S$36=1,100-H89*100,100-I89*100)</f>
        <v>1.1703829874271605</v>
      </c>
      <c r="K89" s="43">
        <f t="shared" si="4"/>
        <v>1</v>
      </c>
      <c r="L89" s="6">
        <f t="shared" si="5"/>
        <v>0.3</v>
      </c>
      <c r="M89" s="6">
        <f t="shared" si="6"/>
        <v>5</v>
      </c>
      <c r="N89" s="6">
        <f t="shared" si="7"/>
        <v>0.99998999999999993</v>
      </c>
      <c r="O89" s="6">
        <f t="shared" si="8"/>
        <v>0.94</v>
      </c>
      <c r="P89" s="366">
        <f t="shared" si="9"/>
        <v>3.103097560394227</v>
      </c>
      <c r="Q89" s="6">
        <f t="shared" si="10"/>
        <v>12.25783456169815</v>
      </c>
      <c r="R89" s="6">
        <f t="shared" si="11"/>
        <v>0.9995435985104959</v>
      </c>
      <c r="S89" s="6">
        <f t="shared" si="20"/>
        <v>99.954359851049588</v>
      </c>
      <c r="T89" s="357">
        <f t="shared" si="14"/>
        <v>6.6473275330380943E-3</v>
      </c>
      <c r="U89" s="358">
        <f>'Berekening trap 1'!H89*$T89</f>
        <v>6.5851274783383365E-3</v>
      </c>
      <c r="V89" s="359">
        <f>'Berekening trap 1'!I89*$T89</f>
        <v>6.5695283424728555E-3</v>
      </c>
      <c r="Y89" s="43">
        <f t="shared" si="15"/>
        <v>13</v>
      </c>
      <c r="Z89" s="6" t="str">
        <f>IF(INVOER!A48=0,"x",INVOER!A48)</f>
        <v>x</v>
      </c>
      <c r="AA89" s="6">
        <f>IF(INVOER!B$36&gt;INVOER!B$37,INVOER!B48,100-INVOER!B48)</f>
        <v>100</v>
      </c>
      <c r="AB89" s="6">
        <f t="shared" si="16"/>
        <v>13</v>
      </c>
      <c r="AC89" s="6">
        <f t="shared" si="12"/>
        <v>1</v>
      </c>
      <c r="AD89" s="44">
        <f>IF(INVOER!A48=0,10000,INVOER!A48)</f>
        <v>10000</v>
      </c>
    </row>
    <row r="90" spans="1:30" x14ac:dyDescent="0.2">
      <c r="A90" s="43">
        <f>A89*'Berekening trap 1'!H$58</f>
        <v>1.0812508169382724</v>
      </c>
      <c r="B90" s="6">
        <f t="shared" si="21"/>
        <v>1.0545050684095667</v>
      </c>
      <c r="C90" s="168">
        <f t="shared" si="17"/>
        <v>0.80184945882951097</v>
      </c>
      <c r="D90" s="200">
        <f t="shared" ref="D90:D153" si="24">IF(C90-$K$35&gt;0,EXP(-(((C90-$K$35)/$K$37)^$K$39)),1)</f>
        <v>0.98463686384047178</v>
      </c>
      <c r="E90" s="197">
        <f t="shared" si="18"/>
        <v>1</v>
      </c>
      <c r="F90" s="43">
        <f t="shared" si="3"/>
        <v>0.98079861210596786</v>
      </c>
      <c r="G90" s="155">
        <f t="shared" si="13"/>
        <v>1</v>
      </c>
      <c r="H90" s="170">
        <f t="shared" si="23"/>
        <v>0.98463686384047178</v>
      </c>
      <c r="I90" s="179">
        <f t="shared" si="19"/>
        <v>0.98079861210596786</v>
      </c>
      <c r="J90" s="145">
        <f>IF(INVOER!$S$36=1,100-H90*100,100-I90*100)</f>
        <v>1.9201387894032109</v>
      </c>
      <c r="K90" s="43">
        <f t="shared" si="4"/>
        <v>1</v>
      </c>
      <c r="L90" s="6">
        <f t="shared" si="5"/>
        <v>0.3</v>
      </c>
      <c r="M90" s="6">
        <f t="shared" si="6"/>
        <v>5</v>
      </c>
      <c r="N90" s="6">
        <f t="shared" si="7"/>
        <v>0.99998999999999993</v>
      </c>
      <c r="O90" s="6">
        <f t="shared" si="8"/>
        <v>0.94</v>
      </c>
      <c r="P90" s="366">
        <f t="shared" si="9"/>
        <v>3.103097560394227</v>
      </c>
      <c r="Q90" s="6">
        <f t="shared" si="10"/>
        <v>12.25783456169815</v>
      </c>
      <c r="R90" s="6">
        <f t="shared" si="11"/>
        <v>0.999465796187052</v>
      </c>
      <c r="S90" s="6">
        <f t="shared" si="20"/>
        <v>99.946579618705201</v>
      </c>
      <c r="T90" s="357">
        <f t="shared" si="14"/>
        <v>7.780232344389848E-3</v>
      </c>
      <c r="U90" s="358">
        <f>'Berekening trap 1'!H90*$T90</f>
        <v>7.6607035755302212E-3</v>
      </c>
      <c r="V90" s="359">
        <f>'Berekening trap 1'!I90*$T90</f>
        <v>7.6308410852395231E-3</v>
      </c>
      <c r="Y90" s="43">
        <f t="shared" si="15"/>
        <v>14</v>
      </c>
      <c r="Z90" s="6" t="str">
        <f>IF(INVOER!A49=0,"x",INVOER!A49)</f>
        <v>x</v>
      </c>
      <c r="AA90" s="6">
        <f>IF(INVOER!B$36&gt;INVOER!B$37,INVOER!B49,100-INVOER!B49)</f>
        <v>100</v>
      </c>
      <c r="AB90" s="6">
        <f t="shared" si="16"/>
        <v>14</v>
      </c>
      <c r="AC90" s="6">
        <f>AA90/100</f>
        <v>1</v>
      </c>
      <c r="AD90" s="44">
        <f>IF(INVOER!A49=0,10000,INVOER!A49)</f>
        <v>10000</v>
      </c>
    </row>
    <row r="91" spans="1:30" x14ac:dyDescent="0.2">
      <c r="A91" s="45">
        <f>A90*'Berekening trap 1'!H$58</f>
        <v>1.137526370731627</v>
      </c>
      <c r="B91" s="46">
        <f t="shared" si="21"/>
        <v>1.1093885938349497</v>
      </c>
      <c r="C91" s="182">
        <f t="shared" si="17"/>
        <v>0.84358308959088191</v>
      </c>
      <c r="D91" s="201">
        <f t="shared" si="24"/>
        <v>0.97802781902520619</v>
      </c>
      <c r="E91" s="167">
        <f t="shared" si="18"/>
        <v>1</v>
      </c>
      <c r="F91" s="45">
        <f t="shared" si="3"/>
        <v>0.97256154917959015</v>
      </c>
      <c r="G91" s="183">
        <f t="shared" si="13"/>
        <v>1</v>
      </c>
      <c r="H91" s="171">
        <f t="shared" si="23"/>
        <v>0.97802781902520619</v>
      </c>
      <c r="I91" s="235">
        <f t="shared" si="19"/>
        <v>0.97256154917959015</v>
      </c>
      <c r="J91" s="238">
        <f>IF(INVOER!$S$36=1,100-H91*100,100-I91*100)</f>
        <v>2.7438450820409912</v>
      </c>
      <c r="K91" s="45">
        <f t="shared" si="4"/>
        <v>1</v>
      </c>
      <c r="L91" s="46">
        <f t="shared" si="5"/>
        <v>0.3</v>
      </c>
      <c r="M91" s="46">
        <f t="shared" si="6"/>
        <v>5</v>
      </c>
      <c r="N91" s="46">
        <f t="shared" si="7"/>
        <v>0.99998999999999993</v>
      </c>
      <c r="O91" s="46">
        <f t="shared" si="8"/>
        <v>0.94</v>
      </c>
      <c r="P91" s="367">
        <f t="shared" si="9"/>
        <v>3.103097560394227</v>
      </c>
      <c r="Q91" s="46">
        <f t="shared" si="10"/>
        <v>12.25783456169815</v>
      </c>
      <c r="R91" s="46">
        <f t="shared" si="11"/>
        <v>0.99937473512511854</v>
      </c>
      <c r="S91" s="46">
        <f t="shared" si="20"/>
        <v>99.937473512511858</v>
      </c>
      <c r="T91" s="360">
        <f t="shared" si="14"/>
        <v>9.1061061933461751E-3</v>
      </c>
      <c r="U91" s="361">
        <f>'Berekening trap 1'!H91*$T91</f>
        <v>8.9060251800902827E-3</v>
      </c>
      <c r="V91" s="362">
        <f>'Berekening trap 1'!I91*$T91</f>
        <v>8.8562487463946168E-3</v>
      </c>
      <c r="Y91" s="43">
        <f t="shared" si="15"/>
        <v>15</v>
      </c>
      <c r="Z91" s="6" t="str">
        <f>IF(INVOER!A50=0,"x",INVOER!A50)</f>
        <v>x</v>
      </c>
      <c r="AA91" s="6">
        <f>IF(INVOER!B$36&gt;INVOER!B$37,INVOER!B50,100-INVOER!B50)</f>
        <v>100</v>
      </c>
      <c r="AB91" s="6">
        <f t="shared" si="16"/>
        <v>15</v>
      </c>
      <c r="AC91" s="6">
        <f t="shared" si="12"/>
        <v>1</v>
      </c>
      <c r="AD91" s="44">
        <f>IF(INVOER!A50=0,10000,INVOER!A50)</f>
        <v>10000</v>
      </c>
    </row>
    <row r="92" spans="1:30" x14ac:dyDescent="0.2">
      <c r="A92" s="43">
        <f>A91*'Berekening trap 1'!H$58</f>
        <v>1.1967308822701572</v>
      </c>
      <c r="B92" s="6">
        <f t="shared" si="21"/>
        <v>1.167128626500892</v>
      </c>
      <c r="C92" s="168">
        <f t="shared" si="17"/>
        <v>0.88748881876467645</v>
      </c>
      <c r="D92" s="200">
        <f t="shared" si="24"/>
        <v>0.97084869284263964</v>
      </c>
      <c r="E92" s="197">
        <f t="shared" si="18"/>
        <v>1</v>
      </c>
      <c r="F92" s="43">
        <f t="shared" si="3"/>
        <v>0.96362987560280156</v>
      </c>
      <c r="G92" s="155">
        <f t="shared" si="13"/>
        <v>1</v>
      </c>
      <c r="H92" s="170">
        <f t="shared" si="23"/>
        <v>0.97084869284263964</v>
      </c>
      <c r="I92" s="179">
        <f t="shared" si="19"/>
        <v>0.96362987560280156</v>
      </c>
      <c r="J92" s="145">
        <f>IF(INVOER!$S$36=1,100-H92*100,100-I92*100)</f>
        <v>3.6370124397198396</v>
      </c>
      <c r="K92" s="41">
        <f t="shared" si="4"/>
        <v>1</v>
      </c>
      <c r="L92" s="5">
        <f t="shared" si="5"/>
        <v>0.3</v>
      </c>
      <c r="M92" s="5">
        <f t="shared" si="6"/>
        <v>5</v>
      </c>
      <c r="N92" s="5">
        <f t="shared" si="7"/>
        <v>0.99998999999999993</v>
      </c>
      <c r="O92" s="5">
        <f t="shared" si="8"/>
        <v>0.94</v>
      </c>
      <c r="P92" s="365">
        <f t="shared" si="9"/>
        <v>3.103097560394227</v>
      </c>
      <c r="Q92" s="5">
        <f t="shared" si="10"/>
        <v>12.25783456169815</v>
      </c>
      <c r="R92" s="5">
        <f t="shared" si="11"/>
        <v>0.99926815736253127</v>
      </c>
      <c r="S92" s="5">
        <f t="shared" si="20"/>
        <v>99.926815736253133</v>
      </c>
      <c r="T92" s="363">
        <f t="shared" si="14"/>
        <v>1.065777625872677E-2</v>
      </c>
      <c r="U92" s="358">
        <f>'Berekening trap 1'!H92*$T92</f>
        <v>1.0347088149394203E-2</v>
      </c>
      <c r="V92" s="359">
        <f>'Berekening trap 1'!I92*$T92</f>
        <v>1.027015161039937E-2</v>
      </c>
      <c r="Y92" s="43">
        <f t="shared" si="15"/>
        <v>16</v>
      </c>
      <c r="Z92" s="6" t="str">
        <f>IF(INVOER!A51=0,"x",INVOER!A51)</f>
        <v>x</v>
      </c>
      <c r="AA92" s="6">
        <f>IF(INVOER!B$36&gt;INVOER!B$37,INVOER!B51,100-INVOER!B51)</f>
        <v>100</v>
      </c>
      <c r="AB92" s="6">
        <f t="shared" si="16"/>
        <v>16</v>
      </c>
      <c r="AC92" s="6">
        <f t="shared" si="12"/>
        <v>1</v>
      </c>
      <c r="AD92" s="44">
        <f>IF(INVOER!A51=0,10000,INVOER!A51)</f>
        <v>10000</v>
      </c>
    </row>
    <row r="93" spans="1:30" x14ac:dyDescent="0.2">
      <c r="A93" s="43">
        <f>A92*'Berekening trap 1'!H$58</f>
        <v>1.2590167941847168</v>
      </c>
      <c r="B93" s="6">
        <f t="shared" si="21"/>
        <v>1.227873838227437</v>
      </c>
      <c r="C93" s="168">
        <f t="shared" si="17"/>
        <v>0.93367969693928565</v>
      </c>
      <c r="D93" s="200">
        <f t="shared" si="24"/>
        <v>0.96311120110281012</v>
      </c>
      <c r="E93" s="197">
        <f t="shared" si="18"/>
        <v>1</v>
      </c>
      <c r="F93" s="43">
        <f t="shared" si="3"/>
        <v>0.95402217130950862</v>
      </c>
      <c r="G93" s="155">
        <f t="shared" si="13"/>
        <v>1</v>
      </c>
      <c r="H93" s="170">
        <f t="shared" si="23"/>
        <v>0.96311120110281012</v>
      </c>
      <c r="I93" s="179">
        <f t="shared" si="19"/>
        <v>0.95402217130950862</v>
      </c>
      <c r="J93" s="145">
        <f>IF(INVOER!$S$36=1,100-H93*100,100-I93*100)</f>
        <v>4.5977828690491407</v>
      </c>
      <c r="K93" s="43">
        <f t="shared" si="4"/>
        <v>1</v>
      </c>
      <c r="L93" s="6">
        <f t="shared" si="5"/>
        <v>0.3</v>
      </c>
      <c r="M93" s="6">
        <f t="shared" si="6"/>
        <v>5</v>
      </c>
      <c r="N93" s="6">
        <f t="shared" si="7"/>
        <v>0.99998999999999993</v>
      </c>
      <c r="O93" s="6">
        <f t="shared" si="8"/>
        <v>0.94</v>
      </c>
      <c r="P93" s="366">
        <f t="shared" si="9"/>
        <v>3.103097560394227</v>
      </c>
      <c r="Q93" s="6">
        <f t="shared" si="10"/>
        <v>12.25783456169815</v>
      </c>
      <c r="R93" s="6">
        <f t="shared" si="11"/>
        <v>0.99914342097444164</v>
      </c>
      <c r="S93" s="6">
        <f t="shared" si="20"/>
        <v>99.914342097444163</v>
      </c>
      <c r="T93" s="357">
        <f t="shared" si="14"/>
        <v>1.2473638808963017E-2</v>
      </c>
      <c r="U93" s="358">
        <f>'Berekening trap 1'!H93*$T93</f>
        <v>1.2013501255422996E-2</v>
      </c>
      <c r="V93" s="359">
        <f>'Berekening trap 1'!I93*$T93</f>
        <v>1.1900127980657451E-2</v>
      </c>
      <c r="Y93" s="43">
        <f t="shared" si="15"/>
        <v>17</v>
      </c>
      <c r="Z93" s="6" t="str">
        <f>IF(INVOER!A52=0,"x",INVOER!A52)</f>
        <v>x</v>
      </c>
      <c r="AA93" s="6">
        <f>IF(INVOER!B$36&gt;INVOER!B$37,INVOER!B52,100-INVOER!B52)</f>
        <v>100</v>
      </c>
      <c r="AB93" s="6">
        <f t="shared" si="16"/>
        <v>17</v>
      </c>
      <c r="AC93" s="6">
        <f t="shared" si="12"/>
        <v>1</v>
      </c>
      <c r="AD93" s="44">
        <f>IF(INVOER!A52=0,10000,INVOER!A52)</f>
        <v>10000</v>
      </c>
    </row>
    <row r="94" spans="1:30" x14ac:dyDescent="0.2">
      <c r="A94" s="43">
        <f>A93*'Berekening trap 1'!H$58</f>
        <v>1.3245444832444178</v>
      </c>
      <c r="B94" s="6">
        <f t="shared" si="21"/>
        <v>1.2917806387145672</v>
      </c>
      <c r="C94" s="168">
        <f t="shared" si="17"/>
        <v>0.98227465861492547</v>
      </c>
      <c r="D94" s="200">
        <f t="shared" si="24"/>
        <v>0.95481666218257855</v>
      </c>
      <c r="E94" s="197">
        <f t="shared" si="18"/>
        <v>1</v>
      </c>
      <c r="F94" s="43">
        <f t="shared" si="3"/>
        <v>0.94374438385291615</v>
      </c>
      <c r="G94" s="155">
        <f t="shared" si="13"/>
        <v>1</v>
      </c>
      <c r="H94" s="170">
        <f t="shared" si="23"/>
        <v>0.95481666218257855</v>
      </c>
      <c r="I94" s="179">
        <f t="shared" si="19"/>
        <v>0.94374438385291615</v>
      </c>
      <c r="J94" s="145">
        <f>IF(INVOER!$S$36=1,100-H94*100,100-I94*100)</f>
        <v>5.6255616147083884</v>
      </c>
      <c r="K94" s="43">
        <f t="shared" si="4"/>
        <v>1</v>
      </c>
      <c r="L94" s="6">
        <f t="shared" si="5"/>
        <v>0.3</v>
      </c>
      <c r="M94" s="6">
        <f t="shared" si="6"/>
        <v>5</v>
      </c>
      <c r="N94" s="6">
        <f t="shared" si="7"/>
        <v>0.99998999999999993</v>
      </c>
      <c r="O94" s="6">
        <f t="shared" si="8"/>
        <v>0.94</v>
      </c>
      <c r="P94" s="366">
        <f t="shared" si="9"/>
        <v>3.103097560394227</v>
      </c>
      <c r="Q94" s="6">
        <f t="shared" si="10"/>
        <v>12.25783456169815</v>
      </c>
      <c r="R94" s="6">
        <f t="shared" si="11"/>
        <v>0.99899743499137394</v>
      </c>
      <c r="S94" s="6">
        <f t="shared" si="20"/>
        <v>99.899743499137401</v>
      </c>
      <c r="T94" s="357">
        <f t="shared" si="14"/>
        <v>1.4598598306769794E-2</v>
      </c>
      <c r="U94" s="358">
        <f>'Berekening trap 1'!H94*$T94</f>
        <v>1.3938984907814178E-2</v>
      </c>
      <c r="V94" s="359">
        <f>'Berekening trap 1'!I94*$T94</f>
        <v>1.3777345164138685E-2</v>
      </c>
      <c r="Y94" s="43">
        <f t="shared" si="15"/>
        <v>18</v>
      </c>
      <c r="Z94" s="6" t="str">
        <f>IF(INVOER!A53=0,"x",INVOER!A53)</f>
        <v>x</v>
      </c>
      <c r="AA94" s="6">
        <f>IF(INVOER!B$36&gt;INVOER!B$37,INVOER!B53,100-INVOER!B53)</f>
        <v>100</v>
      </c>
      <c r="AB94" s="6">
        <f t="shared" si="16"/>
        <v>18</v>
      </c>
      <c r="AC94" s="6">
        <f t="shared" si="12"/>
        <v>1</v>
      </c>
      <c r="AD94" s="44">
        <f>IF(INVOER!A53=0,10000,INVOER!A53)</f>
        <v>10000</v>
      </c>
    </row>
    <row r="95" spans="1:30" x14ac:dyDescent="0.2">
      <c r="A95" s="43">
        <f>A94*'Berekening trap 1'!H$58</f>
        <v>1.3934826733024677</v>
      </c>
      <c r="B95" s="6">
        <f t="shared" si="21"/>
        <v>1.3590135782734427</v>
      </c>
      <c r="C95" s="168">
        <f t="shared" si="17"/>
        <v>1.0333988284419242</v>
      </c>
      <c r="D95" s="200">
        <f t="shared" si="24"/>
        <v>0.9459605764066813</v>
      </c>
      <c r="E95" s="197">
        <f t="shared" si="18"/>
        <v>1</v>
      </c>
      <c r="F95" s="43">
        <f t="shared" si="3"/>
        <v>0.93279562136729977</v>
      </c>
      <c r="G95" s="155">
        <f t="shared" si="13"/>
        <v>1</v>
      </c>
      <c r="H95" s="170">
        <f t="shared" si="23"/>
        <v>0.9459605764066813</v>
      </c>
      <c r="I95" s="179">
        <f t="shared" si="19"/>
        <v>0.93279562136729977</v>
      </c>
      <c r="J95" s="145">
        <f>IF(INVOER!$S$36=1,100-H95*100,100-I95*100)</f>
        <v>6.7204378632700212</v>
      </c>
      <c r="K95" s="43">
        <f t="shared" si="4"/>
        <v>1</v>
      </c>
      <c r="L95" s="6">
        <f t="shared" si="5"/>
        <v>0.3</v>
      </c>
      <c r="M95" s="6">
        <f t="shared" si="6"/>
        <v>5</v>
      </c>
      <c r="N95" s="6">
        <f t="shared" si="7"/>
        <v>0.99998999999999993</v>
      </c>
      <c r="O95" s="6">
        <f t="shared" si="8"/>
        <v>0.94</v>
      </c>
      <c r="P95" s="366">
        <f t="shared" si="9"/>
        <v>3.103097560394227</v>
      </c>
      <c r="Q95" s="6">
        <f t="shared" si="10"/>
        <v>12.25783456169815</v>
      </c>
      <c r="R95" s="6">
        <f t="shared" si="11"/>
        <v>0.99882658336373031</v>
      </c>
      <c r="S95" s="6">
        <f t="shared" si="20"/>
        <v>99.882658336373026</v>
      </c>
      <c r="T95" s="357">
        <f t="shared" si="14"/>
        <v>1.7085162764363115E-2</v>
      </c>
      <c r="U95" s="358">
        <f>'Berekening trap 1'!H95*$T95</f>
        <v>1.6161890416578902E-2</v>
      </c>
      <c r="V95" s="359">
        <f>'Berekening trap 1'!I95*$T95</f>
        <v>1.5936965016945547E-2</v>
      </c>
      <c r="Y95" s="43">
        <f t="shared" si="15"/>
        <v>19</v>
      </c>
      <c r="Z95" s="6" t="str">
        <f>IF(INVOER!A54=0,"x",INVOER!A54)</f>
        <v>x</v>
      </c>
      <c r="AA95" s="6">
        <f>IF(INVOER!B$36&gt;INVOER!B$37,INVOER!B54,100-INVOER!B54)</f>
        <v>100</v>
      </c>
      <c r="AB95" s="6">
        <f t="shared" si="16"/>
        <v>19</v>
      </c>
      <c r="AC95" s="6">
        <f t="shared" si="12"/>
        <v>1</v>
      </c>
      <c r="AD95" s="44">
        <f>IF(INVOER!A54=0,10000,INVOER!A54)</f>
        <v>10000</v>
      </c>
    </row>
    <row r="96" spans="1:30" x14ac:dyDescent="0.2">
      <c r="A96" s="45">
        <f>A95*'Berekening trap 1'!H$58</f>
        <v>1.4660088697344815</v>
      </c>
      <c r="B96" s="46">
        <f t="shared" si="21"/>
        <v>1.4297457715184745</v>
      </c>
      <c r="C96" s="182">
        <f t="shared" si="17"/>
        <v>1.087183843397703</v>
      </c>
      <c r="D96" s="201">
        <f t="shared" si="24"/>
        <v>0.93653494095775514</v>
      </c>
      <c r="E96" s="167">
        <f t="shared" si="18"/>
        <v>1</v>
      </c>
      <c r="F96" s="45">
        <f t="shared" si="3"/>
        <v>0.92117110315556505</v>
      </c>
      <c r="G96" s="183">
        <f t="shared" si="13"/>
        <v>1</v>
      </c>
      <c r="H96" s="171">
        <f t="shared" si="23"/>
        <v>0.93653494095775514</v>
      </c>
      <c r="I96" s="235">
        <f t="shared" si="19"/>
        <v>0.92117110315556505</v>
      </c>
      <c r="J96" s="145">
        <f>IF(INVOER!$S$36=1,100-H96*100,100-I96*100)</f>
        <v>7.8828896844434979</v>
      </c>
      <c r="K96" s="45">
        <f t="shared" si="4"/>
        <v>1</v>
      </c>
      <c r="L96" s="46">
        <f t="shared" si="5"/>
        <v>0.3</v>
      </c>
      <c r="M96" s="46">
        <f t="shared" si="6"/>
        <v>5</v>
      </c>
      <c r="N96" s="46">
        <f t="shared" si="7"/>
        <v>0.99998999999999993</v>
      </c>
      <c r="O96" s="46">
        <f t="shared" si="8"/>
        <v>0.94</v>
      </c>
      <c r="P96" s="367">
        <f t="shared" si="9"/>
        <v>3.103097560394227</v>
      </c>
      <c r="Q96" s="46">
        <f t="shared" si="10"/>
        <v>12.25783456169815</v>
      </c>
      <c r="R96" s="46">
        <f t="shared" si="11"/>
        <v>0.99862663615811909</v>
      </c>
      <c r="S96" s="46">
        <f t="shared" si="20"/>
        <v>99.862663615811911</v>
      </c>
      <c r="T96" s="360">
        <f t="shared" si="14"/>
        <v>1.9994720561122836E-2</v>
      </c>
      <c r="U96" s="361">
        <f>'Berekening trap 1'!H96*$T96</f>
        <v>1.8725754440177989E-2</v>
      </c>
      <c r="V96" s="362">
        <f>'Berekening trap 1'!I96*$T96</f>
        <v>1.8418558796576782E-2</v>
      </c>
      <c r="Y96" s="43">
        <f t="shared" si="15"/>
        <v>20</v>
      </c>
      <c r="Z96" s="6" t="str">
        <f>IF(INVOER!A55=0,"x",INVOER!A55)</f>
        <v>x</v>
      </c>
      <c r="AA96" s="6">
        <f>IF(INVOER!B$36&gt;INVOER!B$37,INVOER!B55,100-INVOER!B55)</f>
        <v>100</v>
      </c>
      <c r="AB96" s="6">
        <f t="shared" si="16"/>
        <v>20</v>
      </c>
      <c r="AC96" s="6">
        <f t="shared" si="12"/>
        <v>1</v>
      </c>
      <c r="AD96" s="44">
        <f>IF(INVOER!A55=0,10000,INVOER!A55)</f>
        <v>10000</v>
      </c>
    </row>
    <row r="97" spans="1:30" x14ac:dyDescent="0.2">
      <c r="A97" s="43">
        <f>A96*'Berekening trap 1'!H$58</f>
        <v>1.5423098164878819</v>
      </c>
      <c r="B97" s="6">
        <f t="shared" si="21"/>
        <v>1.5041593431111817</v>
      </c>
      <c r="C97" s="168">
        <f t="shared" si="17"/>
        <v>1.1437681917320139</v>
      </c>
      <c r="D97" s="200">
        <f t="shared" si="24"/>
        <v>0.92652958476332736</v>
      </c>
      <c r="E97" s="197">
        <f t="shared" si="18"/>
        <v>1</v>
      </c>
      <c r="F97" s="43">
        <f t="shared" si="3"/>
        <v>0.90886387991024631</v>
      </c>
      <c r="G97" s="155">
        <f t="shared" si="13"/>
        <v>1</v>
      </c>
      <c r="H97" s="170">
        <f t="shared" si="23"/>
        <v>0.92652958476332736</v>
      </c>
      <c r="I97" s="179">
        <f t="shared" si="19"/>
        <v>0.90886387991024631</v>
      </c>
      <c r="J97" s="147">
        <f>IF(INVOER!$S$36=1,100-H97*100,100-I97*100)</f>
        <v>9.1136120089753661</v>
      </c>
      <c r="K97" s="41">
        <f t="shared" si="4"/>
        <v>1</v>
      </c>
      <c r="L97" s="5">
        <f t="shared" si="5"/>
        <v>0.3</v>
      </c>
      <c r="M97" s="5">
        <f t="shared" si="6"/>
        <v>5</v>
      </c>
      <c r="N97" s="5">
        <f t="shared" si="7"/>
        <v>0.99998999999999993</v>
      </c>
      <c r="O97" s="5">
        <f t="shared" si="8"/>
        <v>0.94</v>
      </c>
      <c r="P97" s="365">
        <f t="shared" si="9"/>
        <v>3.103097560394227</v>
      </c>
      <c r="Q97" s="5">
        <f t="shared" si="10"/>
        <v>12.25783456169815</v>
      </c>
      <c r="R97" s="5">
        <f t="shared" si="11"/>
        <v>0.99839264588104726</v>
      </c>
      <c r="S97" s="5">
        <f t="shared" si="20"/>
        <v>99.839264588104726</v>
      </c>
      <c r="T97" s="363">
        <f t="shared" si="14"/>
        <v>2.3399027707182718E-2</v>
      </c>
      <c r="U97" s="358">
        <f>'Berekening trap 1'!H97*$T97</f>
        <v>2.1679891425401596E-2</v>
      </c>
      <c r="V97" s="359">
        <f>'Berekening trap 1'!I97*$T97</f>
        <v>2.1266531108077441E-2</v>
      </c>
      <c r="Y97" s="43">
        <f t="shared" si="15"/>
        <v>21</v>
      </c>
      <c r="Z97" s="6" t="str">
        <f>IF(INVOER!A56=0,"x",INVOER!A56)</f>
        <v>x</v>
      </c>
      <c r="AA97" s="6">
        <f>IF(INVOER!B$36&gt;INVOER!B$37,INVOER!B56,100-INVOER!B56)</f>
        <v>100</v>
      </c>
      <c r="AB97" s="6">
        <f t="shared" si="16"/>
        <v>21</v>
      </c>
      <c r="AC97" s="6">
        <f t="shared" si="12"/>
        <v>1</v>
      </c>
      <c r="AD97" s="44">
        <f>IF(INVOER!A56=0,10000,INVOER!A56)</f>
        <v>10000</v>
      </c>
    </row>
    <row r="98" spans="1:30" x14ac:dyDescent="0.2">
      <c r="A98" s="43">
        <f>A97*'Berekening trap 1'!H$58</f>
        <v>1.6225819769192185</v>
      </c>
      <c r="B98" s="6">
        <f t="shared" ref="B98:B138" si="25">(A97+A98)/2</f>
        <v>1.5824458967035502</v>
      </c>
      <c r="C98" s="168">
        <f t="shared" si="17"/>
        <v>1.2032975695531616</v>
      </c>
      <c r="D98" s="200">
        <f t="shared" si="24"/>
        <v>0.91593302669496413</v>
      </c>
      <c r="E98" s="197">
        <f t="shared" ref="E98:E138" si="26">IF(C98-$K$36&gt;0,EXP(-(((C98-$K$36)/$K$38)^$K$40)),1)</f>
        <v>1</v>
      </c>
      <c r="F98" s="43">
        <f t="shared" ref="F98:F138" si="27">D98^($B$54*$B$63)</f>
        <v>0.89586595519255907</v>
      </c>
      <c r="G98" s="155">
        <f t="shared" ref="G98:G138" si="28">E98^($B$54*$B$63)</f>
        <v>1</v>
      </c>
      <c r="H98" s="170">
        <f t="shared" ref="H98:H138" si="29">IF(C98&lt;$K$41,D98,E98)</f>
        <v>0.91593302669496413</v>
      </c>
      <c r="I98" s="179">
        <f t="shared" ref="I98:I138" si="30">IF(C98&lt;$K$41,F98,G98)</f>
        <v>0.89586595519255907</v>
      </c>
      <c r="J98" s="145">
        <f>IF(INVOER!$S$36=1,100-H98*100,100-I98*100)</f>
        <v>10.413404480744092</v>
      </c>
      <c r="K98" s="43">
        <f t="shared" si="4"/>
        <v>1</v>
      </c>
      <c r="L98" s="6">
        <f t="shared" si="5"/>
        <v>0.3</v>
      </c>
      <c r="M98" s="6">
        <f t="shared" si="6"/>
        <v>5</v>
      </c>
      <c r="N98" s="6">
        <f t="shared" si="7"/>
        <v>0.99998999999999993</v>
      </c>
      <c r="O98" s="6">
        <f t="shared" si="8"/>
        <v>0.94</v>
      </c>
      <c r="P98" s="366">
        <f t="shared" ref="P98:P138" si="31">(LN(LN(N98)/LN(O98)))/LN(L98/M98)</f>
        <v>3.103097560394227</v>
      </c>
      <c r="Q98" s="6">
        <f t="shared" ref="Q98:Q138" si="32">L98/((-LN(N98))^(1/P98))</f>
        <v>12.25783456169815</v>
      </c>
      <c r="R98" s="6">
        <f t="shared" si="11"/>
        <v>0.99811882649345696</v>
      </c>
      <c r="S98" s="6">
        <f t="shared" si="20"/>
        <v>99.811882649345691</v>
      </c>
      <c r="T98" s="357">
        <f t="shared" si="14"/>
        <v>2.7381938759030167E-2</v>
      </c>
      <c r="U98" s="358">
        <f>'Berekening trap 1'!H98*$T98</f>
        <v>2.5080022044334651E-2</v>
      </c>
      <c r="V98" s="359">
        <f>'Berekening trap 1'!I98*$T98</f>
        <v>2.4530546721382714E-2</v>
      </c>
      <c r="Y98" s="43">
        <f t="shared" si="15"/>
        <v>22</v>
      </c>
      <c r="Z98" s="6" t="str">
        <f>IF(INVOER!A57=0,"x",INVOER!A57)</f>
        <v>x</v>
      </c>
      <c r="AA98" s="6">
        <f>IF(INVOER!B$36&gt;INVOER!B$37,INVOER!B57,100-INVOER!B57)</f>
        <v>100</v>
      </c>
      <c r="AB98" s="6">
        <f t="shared" si="16"/>
        <v>22</v>
      </c>
      <c r="AC98" s="6">
        <f t="shared" si="12"/>
        <v>1</v>
      </c>
      <c r="AD98" s="44">
        <f>IF(INVOER!A57=0,10000,INVOER!A57)</f>
        <v>10000</v>
      </c>
    </row>
    <row r="99" spans="1:30" x14ac:dyDescent="0.2">
      <c r="A99" s="43">
        <f>A98*'Berekening trap 1'!H$58</f>
        <v>1.7070320396574905</v>
      </c>
      <c r="B99" s="6">
        <f t="shared" si="25"/>
        <v>1.6648070082883546</v>
      </c>
      <c r="C99" s="168">
        <f t="shared" si="17"/>
        <v>1.2659252559733678</v>
      </c>
      <c r="D99" s="200">
        <f t="shared" si="24"/>
        <v>0.90473308355798976</v>
      </c>
      <c r="E99" s="197">
        <f t="shared" si="26"/>
        <v>1</v>
      </c>
      <c r="F99" s="43">
        <f t="shared" si="27"/>
        <v>0.88216909208635608</v>
      </c>
      <c r="G99" s="155">
        <f t="shared" si="28"/>
        <v>1</v>
      </c>
      <c r="H99" s="170">
        <f t="shared" si="29"/>
        <v>0.90473308355798976</v>
      </c>
      <c r="I99" s="179">
        <f t="shared" si="30"/>
        <v>0.88216909208635608</v>
      </c>
      <c r="J99" s="145">
        <f>IF(INVOER!$S$36=1,100-H99*100,100-I99*100)</f>
        <v>11.783090791364387</v>
      </c>
      <c r="K99" s="43">
        <f t="shared" si="4"/>
        <v>1</v>
      </c>
      <c r="L99" s="6">
        <f t="shared" si="5"/>
        <v>0.3</v>
      </c>
      <c r="M99" s="6">
        <f t="shared" si="6"/>
        <v>5</v>
      </c>
      <c r="N99" s="6">
        <f t="shared" si="7"/>
        <v>0.99998999999999993</v>
      </c>
      <c r="O99" s="6">
        <f t="shared" si="8"/>
        <v>0.94</v>
      </c>
      <c r="P99" s="366">
        <f t="shared" si="31"/>
        <v>3.103097560394227</v>
      </c>
      <c r="Q99" s="6">
        <f t="shared" si="32"/>
        <v>12.25783456169815</v>
      </c>
      <c r="R99" s="6">
        <f t="shared" si="11"/>
        <v>0.9977984123007434</v>
      </c>
      <c r="S99" s="6">
        <f t="shared" si="20"/>
        <v>99.779841230074339</v>
      </c>
      <c r="T99" s="357">
        <f t="shared" si="14"/>
        <v>3.2041419271355842E-2</v>
      </c>
      <c r="U99" s="358">
        <f>'Berekening trap 1'!H99*$T99</f>
        <v>2.8988932058948168E-2</v>
      </c>
      <c r="V99" s="359">
        <f>'Berekening trap 1'!I99*$T99</f>
        <v>2.8265949747770257E-2</v>
      </c>
      <c r="Y99" s="43">
        <f t="shared" si="15"/>
        <v>23</v>
      </c>
      <c r="Z99" s="6" t="str">
        <f>IF(INVOER!A58=0,"x",INVOER!A58)</f>
        <v>x</v>
      </c>
      <c r="AA99" s="6">
        <f>IF(INVOER!B$36&gt;INVOER!B$37,INVOER!B58,100-INVOER!B58)</f>
        <v>100</v>
      </c>
      <c r="AB99" s="6">
        <f t="shared" si="16"/>
        <v>23</v>
      </c>
      <c r="AC99" s="6">
        <f t="shared" si="12"/>
        <v>1</v>
      </c>
      <c r="AD99" s="44">
        <f>IF(INVOER!A58=0,10000,INVOER!A58)</f>
        <v>10000</v>
      </c>
    </row>
    <row r="100" spans="1:30" x14ac:dyDescent="0.2">
      <c r="A100" s="43">
        <f>A99*'Berekening trap 1'!H$58</f>
        <v>1.7958774507959951</v>
      </c>
      <c r="B100" s="6">
        <f t="shared" si="25"/>
        <v>1.7514547452267428</v>
      </c>
      <c r="C100" s="168">
        <f t="shared" si="17"/>
        <v>1.3318125077792198</v>
      </c>
      <c r="D100" s="200">
        <f t="shared" si="24"/>
        <v>0.89291734065440953</v>
      </c>
      <c r="E100" s="197">
        <f t="shared" si="26"/>
        <v>1</v>
      </c>
      <c r="F100" s="43">
        <f t="shared" si="27"/>
        <v>0.86776544600438299</v>
      </c>
      <c r="G100" s="155">
        <f t="shared" si="28"/>
        <v>1</v>
      </c>
      <c r="H100" s="170">
        <f t="shared" si="29"/>
        <v>0.89291734065440953</v>
      </c>
      <c r="I100" s="179">
        <f t="shared" si="30"/>
        <v>0.86776544600438299</v>
      </c>
      <c r="J100" s="145">
        <f>IF(INVOER!$S$36=1,100-H100*100,100-I100*100)</f>
        <v>13.223455399561701</v>
      </c>
      <c r="K100" s="43">
        <f t="shared" si="4"/>
        <v>1</v>
      </c>
      <c r="L100" s="6">
        <f t="shared" si="5"/>
        <v>0.3</v>
      </c>
      <c r="M100" s="6">
        <f t="shared" si="6"/>
        <v>5</v>
      </c>
      <c r="N100" s="6">
        <f t="shared" si="7"/>
        <v>0.99998999999999993</v>
      </c>
      <c r="O100" s="6">
        <f t="shared" si="8"/>
        <v>0.94</v>
      </c>
      <c r="P100" s="366">
        <f t="shared" si="31"/>
        <v>3.103097560394227</v>
      </c>
      <c r="Q100" s="6">
        <f t="shared" si="32"/>
        <v>12.25783456169815</v>
      </c>
      <c r="R100" s="6">
        <f t="shared" si="11"/>
        <v>0.99742349347288639</v>
      </c>
      <c r="S100" s="6">
        <f t="shared" si="20"/>
        <v>99.742349347288638</v>
      </c>
      <c r="T100" s="357">
        <f t="shared" si="14"/>
        <v>3.7491882785700703E-2</v>
      </c>
      <c r="U100" s="358">
        <f>'Berekening trap 1'!H100*$T100</f>
        <v>3.3477152273134705E-2</v>
      </c>
      <c r="V100" s="359">
        <f>'Berekening trap 1'!I100*$T100</f>
        <v>3.2534160387077619E-2</v>
      </c>
      <c r="Y100" s="43">
        <f t="shared" si="15"/>
        <v>24</v>
      </c>
      <c r="Z100" s="6" t="str">
        <f>IF(INVOER!A59=0,"x",INVOER!A59)</f>
        <v>x</v>
      </c>
      <c r="AA100" s="6">
        <f>IF(INVOER!B$36&gt;INVOER!B$37,INVOER!B59,100-INVOER!B59)</f>
        <v>100</v>
      </c>
      <c r="AB100" s="6">
        <f t="shared" si="16"/>
        <v>24</v>
      </c>
      <c r="AC100" s="6">
        <f t="shared" si="12"/>
        <v>1</v>
      </c>
      <c r="AD100" s="44">
        <f>IF(INVOER!A59=0,10000,INVOER!A59)</f>
        <v>10000</v>
      </c>
    </row>
    <row r="101" spans="1:30" x14ac:dyDescent="0.2">
      <c r="A101" s="45">
        <f>A100*'Berekening trap 1'!H$58</f>
        <v>1.889346973783012</v>
      </c>
      <c r="B101" s="46">
        <f t="shared" si="25"/>
        <v>1.8426122122895037</v>
      </c>
      <c r="C101" s="182">
        <f t="shared" si="17"/>
        <v>1.4011289746434208</v>
      </c>
      <c r="D101" s="201">
        <f t="shared" si="24"/>
        <v>0.88047354565537905</v>
      </c>
      <c r="E101" s="167">
        <f t="shared" si="26"/>
        <v>1</v>
      </c>
      <c r="F101" s="45">
        <f t="shared" si="27"/>
        <v>0.85264809906720229</v>
      </c>
      <c r="G101" s="183">
        <f t="shared" si="28"/>
        <v>1</v>
      </c>
      <c r="H101" s="171">
        <f t="shared" si="29"/>
        <v>0.88047354565537905</v>
      </c>
      <c r="I101" s="235">
        <f t="shared" si="30"/>
        <v>0.85264809906720229</v>
      </c>
      <c r="J101" s="238">
        <f>IF(INVOER!$S$36=1,100-H101*100,100-I101*100)</f>
        <v>14.735190093279769</v>
      </c>
      <c r="K101" s="45">
        <f t="shared" si="4"/>
        <v>1</v>
      </c>
      <c r="L101" s="46">
        <f t="shared" si="5"/>
        <v>0.3</v>
      </c>
      <c r="M101" s="46">
        <f t="shared" si="6"/>
        <v>5</v>
      </c>
      <c r="N101" s="46">
        <f t="shared" si="7"/>
        <v>0.99998999999999993</v>
      </c>
      <c r="O101" s="46">
        <f t="shared" si="8"/>
        <v>0.94</v>
      </c>
      <c r="P101" s="367">
        <f t="shared" si="31"/>
        <v>3.103097560394227</v>
      </c>
      <c r="Q101" s="46">
        <f t="shared" si="32"/>
        <v>12.25783456169815</v>
      </c>
      <c r="R101" s="46">
        <f t="shared" si="11"/>
        <v>0.99698482446432923</v>
      </c>
      <c r="S101" s="46">
        <f t="shared" si="20"/>
        <v>99.698482446432919</v>
      </c>
      <c r="T101" s="360">
        <f t="shared" si="14"/>
        <v>4.3866900855715762E-2</v>
      </c>
      <c r="U101" s="361">
        <f>'Berekening trap 1'!H101*$T101</f>
        <v>3.8623645733345036E-2</v>
      </c>
      <c r="V101" s="362">
        <f>'Berekening trap 1'!I101*$T101</f>
        <v>3.7403029626595474E-2</v>
      </c>
      <c r="Y101" s="43">
        <f t="shared" si="15"/>
        <v>25</v>
      </c>
      <c r="Z101" s="6" t="str">
        <f>IF(INVOER!A60=0,"x",INVOER!A60)</f>
        <v>x</v>
      </c>
      <c r="AA101" s="6">
        <f>IF(INVOER!B$36&gt;INVOER!B$37,INVOER!B60,100-INVOER!B60)</f>
        <v>100</v>
      </c>
      <c r="AB101" s="6">
        <f t="shared" si="16"/>
        <v>25</v>
      </c>
      <c r="AC101" s="6">
        <f t="shared" si="12"/>
        <v>1</v>
      </c>
      <c r="AD101" s="44">
        <f>IF(INVOER!A60=0,10000,INVOER!A60)</f>
        <v>10000</v>
      </c>
    </row>
    <row r="102" spans="1:30" x14ac:dyDescent="0.2">
      <c r="A102" s="43">
        <f>A101*'Berekening trap 1'!H$58</f>
        <v>1.9876812784529594</v>
      </c>
      <c r="B102" s="6">
        <f t="shared" si="25"/>
        <v>1.9385141261179857</v>
      </c>
      <c r="C102" s="168">
        <f t="shared" si="17"/>
        <v>1.4740531359469446</v>
      </c>
      <c r="D102" s="200">
        <f t="shared" si="24"/>
        <v>0.8673899605795532</v>
      </c>
      <c r="E102" s="197">
        <f t="shared" si="26"/>
        <v>1</v>
      </c>
      <c r="F102" s="43">
        <f t="shared" si="27"/>
        <v>0.83681153868481428</v>
      </c>
      <c r="G102" s="155">
        <f t="shared" si="28"/>
        <v>1</v>
      </c>
      <c r="H102" s="170">
        <f t="shared" si="29"/>
        <v>0.8673899605795532</v>
      </c>
      <c r="I102" s="179">
        <f t="shared" si="30"/>
        <v>0.83681153868481428</v>
      </c>
      <c r="J102" s="145">
        <f>IF(INVOER!$S$36=1,100-H102*100,100-I102*100)</f>
        <v>16.318846131518569</v>
      </c>
      <c r="K102" s="41">
        <f t="shared" si="4"/>
        <v>1</v>
      </c>
      <c r="L102" s="5">
        <f t="shared" si="5"/>
        <v>0.3</v>
      </c>
      <c r="M102" s="5">
        <f t="shared" si="6"/>
        <v>5</v>
      </c>
      <c r="N102" s="5">
        <f t="shared" si="7"/>
        <v>0.99998999999999993</v>
      </c>
      <c r="O102" s="5">
        <f t="shared" si="8"/>
        <v>0.94</v>
      </c>
      <c r="P102" s="365">
        <f t="shared" si="31"/>
        <v>3.103097560394227</v>
      </c>
      <c r="Q102" s="5">
        <f t="shared" si="32"/>
        <v>12.25783456169815</v>
      </c>
      <c r="R102" s="5">
        <f t="shared" si="11"/>
        <v>0.99647160106054844</v>
      </c>
      <c r="S102" s="5">
        <f t="shared" si="20"/>
        <v>99.647160106054841</v>
      </c>
      <c r="T102" s="363">
        <f t="shared" si="14"/>
        <v>5.1322340378079367E-2</v>
      </c>
      <c r="U102" s="358">
        <f>'Berekening trap 1'!H102*$T102</f>
        <v>4.4516482797392676E-2</v>
      </c>
      <c r="V102" s="359">
        <f>'Berekening trap 1'!I102*$T102</f>
        <v>4.2947126620686366E-2</v>
      </c>
      <c r="Y102" s="43">
        <f t="shared" si="15"/>
        <v>26</v>
      </c>
      <c r="Z102" s="6" t="str">
        <f>IF(INVOER!A61=0,"x",INVOER!A61)</f>
        <v>x</v>
      </c>
      <c r="AA102" s="6">
        <f>IF(INVOER!B$36&gt;INVOER!B$37,INVOER!B61,100-INVOER!B61)</f>
        <v>100</v>
      </c>
      <c r="AB102" s="6">
        <f t="shared" si="16"/>
        <v>26</v>
      </c>
      <c r="AC102" s="6">
        <f t="shared" si="12"/>
        <v>1</v>
      </c>
      <c r="AD102" s="44">
        <f>IF(INVOER!A61=0,10000,INVOER!A61)</f>
        <v>10000</v>
      </c>
    </row>
    <row r="103" spans="1:30" x14ac:dyDescent="0.2">
      <c r="A103" s="43">
        <f>A102*'Berekening trap 1'!H$58</f>
        <v>2.0911335607146886</v>
      </c>
      <c r="B103" s="6">
        <f t="shared" si="25"/>
        <v>2.0394074195838239</v>
      </c>
      <c r="C103" s="168">
        <f t="shared" si="17"/>
        <v>1.5507727603363533</v>
      </c>
      <c r="D103" s="200">
        <f t="shared" si="24"/>
        <v>0.85365569279905762</v>
      </c>
      <c r="E103" s="197">
        <f t="shared" si="26"/>
        <v>1</v>
      </c>
      <c r="F103" s="43">
        <f t="shared" si="27"/>
        <v>0.820252105318103</v>
      </c>
      <c r="G103" s="155">
        <f t="shared" si="28"/>
        <v>1</v>
      </c>
      <c r="H103" s="170">
        <f t="shared" si="29"/>
        <v>0.85365569279905762</v>
      </c>
      <c r="I103" s="179">
        <f t="shared" si="30"/>
        <v>0.820252105318103</v>
      </c>
      <c r="J103" s="145">
        <f>IF(INVOER!$S$36=1,100-H103*100,100-I103*100)</f>
        <v>17.974789468189698</v>
      </c>
      <c r="K103" s="43">
        <f t="shared" si="4"/>
        <v>1</v>
      </c>
      <c r="L103" s="6">
        <f t="shared" si="5"/>
        <v>0.3</v>
      </c>
      <c r="M103" s="6">
        <f t="shared" si="6"/>
        <v>5</v>
      </c>
      <c r="N103" s="6">
        <f t="shared" si="7"/>
        <v>0.99998999999999993</v>
      </c>
      <c r="O103" s="6">
        <f t="shared" si="8"/>
        <v>0.94</v>
      </c>
      <c r="P103" s="366">
        <f t="shared" si="31"/>
        <v>3.103097560394227</v>
      </c>
      <c r="Q103" s="6">
        <f t="shared" si="32"/>
        <v>12.25783456169815</v>
      </c>
      <c r="R103" s="6">
        <f t="shared" si="11"/>
        <v>0.99587120117709815</v>
      </c>
      <c r="S103" s="6">
        <f t="shared" si="20"/>
        <v>99.587120117709816</v>
      </c>
      <c r="T103" s="357">
        <f t="shared" si="14"/>
        <v>6.0039988345028661E-2</v>
      </c>
      <c r="U103" s="358">
        <f>'Berekening trap 1'!H103*$T103</f>
        <v>5.1253477846322788E-2</v>
      </c>
      <c r="V103" s="359">
        <f>'Berekening trap 1'!I103*$T103</f>
        <v>4.9247926843284127E-2</v>
      </c>
      <c r="Y103" s="43">
        <f t="shared" si="15"/>
        <v>27</v>
      </c>
      <c r="Z103" s="6" t="str">
        <f>IF(INVOER!A62=0,"x",INVOER!A62)</f>
        <v>x</v>
      </c>
      <c r="AA103" s="6">
        <f>IF(INVOER!B$36&gt;INVOER!B$37,INVOER!B62,100-INVOER!B62)</f>
        <v>100</v>
      </c>
      <c r="AB103" s="6">
        <f t="shared" si="16"/>
        <v>27</v>
      </c>
      <c r="AC103" s="6">
        <f t="shared" si="12"/>
        <v>1</v>
      </c>
      <c r="AD103" s="44">
        <f>IF(INVOER!A62=0,10000,INVOER!A62)</f>
        <v>10000</v>
      </c>
    </row>
    <row r="104" spans="1:30" x14ac:dyDescent="0.2">
      <c r="A104" s="43">
        <f>A103*'Berekening trap 1'!H$58</f>
        <v>2.1999701944925172</v>
      </c>
      <c r="B104" s="6">
        <f t="shared" si="25"/>
        <v>2.1455518776036029</v>
      </c>
      <c r="C104" s="168">
        <f t="shared" si="17"/>
        <v>1.6314853891995598</v>
      </c>
      <c r="D104" s="200">
        <f t="shared" si="24"/>
        <v>0.83926101809167541</v>
      </c>
      <c r="E104" s="197">
        <f t="shared" si="26"/>
        <v>1</v>
      </c>
      <c r="F104" s="43">
        <f t="shared" si="27"/>
        <v>0.80296842422933656</v>
      </c>
      <c r="G104" s="155">
        <f t="shared" si="28"/>
        <v>1</v>
      </c>
      <c r="H104" s="170">
        <f t="shared" si="29"/>
        <v>0.83926101809167541</v>
      </c>
      <c r="I104" s="179">
        <f t="shared" si="30"/>
        <v>0.80296842422933656</v>
      </c>
      <c r="J104" s="145">
        <f>IF(INVOER!$S$36=1,100-H104*100,100-I104*100)</f>
        <v>19.703157577066349</v>
      </c>
      <c r="K104" s="43">
        <f t="shared" si="4"/>
        <v>1</v>
      </c>
      <c r="L104" s="6">
        <f t="shared" si="5"/>
        <v>0.3</v>
      </c>
      <c r="M104" s="6">
        <f t="shared" si="6"/>
        <v>5</v>
      </c>
      <c r="N104" s="6">
        <f t="shared" si="7"/>
        <v>0.99998999999999993</v>
      </c>
      <c r="O104" s="6">
        <f t="shared" si="8"/>
        <v>0.94</v>
      </c>
      <c r="P104" s="366">
        <f t="shared" si="31"/>
        <v>3.103097560394227</v>
      </c>
      <c r="Q104" s="6">
        <f t="shared" si="32"/>
        <v>12.25783456169815</v>
      </c>
      <c r="R104" s="6">
        <f t="shared" si="11"/>
        <v>0.99516888387964175</v>
      </c>
      <c r="S104" s="6">
        <f t="shared" si="20"/>
        <v>99.516888387964173</v>
      </c>
      <c r="T104" s="357">
        <f t="shared" si="14"/>
        <v>7.023172974564007E-2</v>
      </c>
      <c r="U104" s="358">
        <f>'Berekening trap 1'!H104*$T104</f>
        <v>5.8942753008665291E-2</v>
      </c>
      <c r="V104" s="359">
        <f>'Berekening trap 1'!I104*$T104</f>
        <v>5.6393861364757235E-2</v>
      </c>
      <c r="Y104" s="43">
        <f t="shared" si="15"/>
        <v>28</v>
      </c>
      <c r="Z104" s="6" t="str">
        <f>IF(INVOER!A63=0,"x",INVOER!A63)</f>
        <v>x</v>
      </c>
      <c r="AA104" s="6">
        <f>IF(INVOER!B$36&gt;INVOER!B$37,INVOER!B63,100-INVOER!B63)</f>
        <v>100</v>
      </c>
      <c r="AB104" s="6">
        <f t="shared" si="16"/>
        <v>28</v>
      </c>
      <c r="AC104" s="6">
        <f t="shared" si="12"/>
        <v>1</v>
      </c>
      <c r="AD104" s="44">
        <f>IF(INVOER!A63=0,10000,INVOER!A63)</f>
        <v>10000</v>
      </c>
    </row>
    <row r="105" spans="1:30" x14ac:dyDescent="0.2">
      <c r="A105" s="43">
        <f>A104*'Berekening trap 1'!H$58</f>
        <v>2.3144714175986527</v>
      </c>
      <c r="B105" s="6">
        <f t="shared" si="25"/>
        <v>2.2572208060455852</v>
      </c>
      <c r="C105" s="168">
        <f t="shared" si="17"/>
        <v>1.7163988453049193</v>
      </c>
      <c r="D105" s="200">
        <f t="shared" si="24"/>
        <v>0.8241977039718853</v>
      </c>
      <c r="E105" s="197">
        <f t="shared" si="26"/>
        <v>1</v>
      </c>
      <c r="F105" s="43">
        <f t="shared" si="27"/>
        <v>0.78496182976471385</v>
      </c>
      <c r="G105" s="155">
        <f t="shared" si="28"/>
        <v>1</v>
      </c>
      <c r="H105" s="170">
        <f t="shared" si="29"/>
        <v>0.8241977039718853</v>
      </c>
      <c r="I105" s="179">
        <f t="shared" si="30"/>
        <v>0.78496182976471385</v>
      </c>
      <c r="J105" s="145">
        <f>IF(INVOER!$S$36=1,100-H105*100,100-I105*100)</f>
        <v>21.503817023528612</v>
      </c>
      <c r="K105" s="43">
        <f t="shared" si="4"/>
        <v>1</v>
      </c>
      <c r="L105" s="6">
        <f t="shared" si="5"/>
        <v>0.3</v>
      </c>
      <c r="M105" s="6">
        <f t="shared" si="6"/>
        <v>5</v>
      </c>
      <c r="N105" s="6">
        <f t="shared" si="7"/>
        <v>0.99998999999999993</v>
      </c>
      <c r="O105" s="6">
        <f t="shared" si="8"/>
        <v>0.94</v>
      </c>
      <c r="P105" s="366">
        <f t="shared" si="31"/>
        <v>3.103097560394227</v>
      </c>
      <c r="Q105" s="6">
        <f t="shared" si="32"/>
        <v>12.25783456169815</v>
      </c>
      <c r="R105" s="6">
        <f t="shared" si="11"/>
        <v>0.99434744038720957</v>
      </c>
      <c r="S105" s="6">
        <f t="shared" si="20"/>
        <v>99.43474403872095</v>
      </c>
      <c r="T105" s="357">
        <f t="shared" si="14"/>
        <v>8.214434924321834E-2</v>
      </c>
      <c r="U105" s="358">
        <f>'Berekening trap 1'!H105*$T105</f>
        <v>6.7703184040525236E-2</v>
      </c>
      <c r="V105" s="359">
        <f>'Berekening trap 1'!I105*$T105</f>
        <v>6.4480178686788361E-2</v>
      </c>
      <c r="Y105" s="43">
        <f t="shared" si="15"/>
        <v>29</v>
      </c>
      <c r="Z105" s="6" t="str">
        <f>IF(INVOER!A64=0,"x",INVOER!A64)</f>
        <v>x</v>
      </c>
      <c r="AA105" s="6">
        <f>IF(INVOER!B$36&gt;INVOER!B$37,INVOER!B64,100-INVOER!B64)</f>
        <v>100</v>
      </c>
      <c r="AB105" s="6">
        <f t="shared" si="16"/>
        <v>29</v>
      </c>
      <c r="AC105" s="6">
        <f t="shared" si="12"/>
        <v>1</v>
      </c>
      <c r="AD105" s="44">
        <f>IF(INVOER!A64=0,10000,INVOER!A64)</f>
        <v>10000</v>
      </c>
    </row>
    <row r="106" spans="1:30" x14ac:dyDescent="0.2">
      <c r="A106" s="45">
        <f>A105*'Berekening trap 1'!H$58</f>
        <v>2.4349320533030236</v>
      </c>
      <c r="B106" s="46">
        <f t="shared" si="25"/>
        <v>2.374701735450838</v>
      </c>
      <c r="C106" s="182">
        <f t="shared" si="17"/>
        <v>1.8057317679133122</v>
      </c>
      <c r="D106" s="201">
        <f t="shared" si="24"/>
        <v>0.80845933844019002</v>
      </c>
      <c r="E106" s="167">
        <f t="shared" si="26"/>
        <v>1</v>
      </c>
      <c r="F106" s="45">
        <f t="shared" si="27"/>
        <v>0.76623678656122518</v>
      </c>
      <c r="G106" s="183">
        <f t="shared" si="28"/>
        <v>1</v>
      </c>
      <c r="H106" s="171">
        <f t="shared" si="29"/>
        <v>0.80845933844019002</v>
      </c>
      <c r="I106" s="235">
        <f t="shared" si="30"/>
        <v>0.76623678656122518</v>
      </c>
      <c r="J106" s="145">
        <f>IF(INVOER!$S$36=1,100-H106*100,100-I106*100)</f>
        <v>23.376321343877478</v>
      </c>
      <c r="K106" s="45">
        <f t="shared" si="4"/>
        <v>1</v>
      </c>
      <c r="L106" s="46">
        <f t="shared" si="5"/>
        <v>0.3</v>
      </c>
      <c r="M106" s="46">
        <f t="shared" si="6"/>
        <v>5</v>
      </c>
      <c r="N106" s="46">
        <f t="shared" si="7"/>
        <v>0.99998999999999993</v>
      </c>
      <c r="O106" s="46">
        <f t="shared" si="8"/>
        <v>0.94</v>
      </c>
      <c r="P106" s="367">
        <f t="shared" si="31"/>
        <v>3.103097560394227</v>
      </c>
      <c r="Q106" s="46">
        <f t="shared" si="32"/>
        <v>12.25783456169815</v>
      </c>
      <c r="R106" s="46">
        <f t="shared" si="11"/>
        <v>0.9933867900799086</v>
      </c>
      <c r="S106" s="46">
        <f t="shared" si="20"/>
        <v>99.338679007990862</v>
      </c>
      <c r="T106" s="360">
        <f t="shared" si="14"/>
        <v>9.6065030730096979E-2</v>
      </c>
      <c r="U106" s="361">
        <f>'Berekening trap 1'!H106*$T106</f>
        <v>7.7664671191290724E-2</v>
      </c>
      <c r="V106" s="362">
        <f>'Berekening trap 1'!I106*$T106</f>
        <v>7.360856044753486E-2</v>
      </c>
      <c r="Y106" s="43">
        <f t="shared" si="15"/>
        <v>30</v>
      </c>
      <c r="Z106" s="6" t="str">
        <f>IF(INVOER!A65=0,"x",INVOER!A65)</f>
        <v>x</v>
      </c>
      <c r="AA106" s="6">
        <f>IF(INVOER!B$36&gt;INVOER!B$37,INVOER!B65,100-INVOER!B65)</f>
        <v>100</v>
      </c>
      <c r="AB106" s="6">
        <f t="shared" si="16"/>
        <v>30</v>
      </c>
      <c r="AC106" s="6">
        <f t="shared" si="12"/>
        <v>1</v>
      </c>
      <c r="AD106" s="44">
        <f>IF(INVOER!A65=0,10000,INVOER!A65)</f>
        <v>10000</v>
      </c>
    </row>
    <row r="107" spans="1:30" x14ac:dyDescent="0.2">
      <c r="A107" s="43">
        <f>A106*'Berekening trap 1'!H$58</f>
        <v>2.561662269458449</v>
      </c>
      <c r="B107" s="6">
        <f t="shared" si="25"/>
        <v>2.4982971613807363</v>
      </c>
      <c r="C107" s="168">
        <f t="shared" si="17"/>
        <v>1.8997141757410569</v>
      </c>
      <c r="D107" s="200">
        <f t="shared" si="24"/>
        <v>0.79204166713916591</v>
      </c>
      <c r="E107" s="197">
        <f t="shared" si="26"/>
        <v>1</v>
      </c>
      <c r="F107" s="43">
        <f t="shared" si="27"/>
        <v>0.746801309097051</v>
      </c>
      <c r="G107" s="155">
        <f t="shared" si="28"/>
        <v>1</v>
      </c>
      <c r="H107" s="170">
        <f t="shared" si="29"/>
        <v>0.79204166713916591</v>
      </c>
      <c r="I107" s="179">
        <f t="shared" si="30"/>
        <v>0.746801309097051</v>
      </c>
      <c r="J107" s="147">
        <f>IF(INVOER!$S$36=1,100-H107*100,100-I107*100)</f>
        <v>25.319869090294901</v>
      </c>
      <c r="K107" s="41">
        <f t="shared" si="4"/>
        <v>1</v>
      </c>
      <c r="L107" s="5">
        <f t="shared" si="5"/>
        <v>0.3</v>
      </c>
      <c r="M107" s="5">
        <f t="shared" si="6"/>
        <v>5</v>
      </c>
      <c r="N107" s="5">
        <f t="shared" si="7"/>
        <v>0.99998999999999993</v>
      </c>
      <c r="O107" s="5">
        <f t="shared" si="8"/>
        <v>0.94</v>
      </c>
      <c r="P107" s="365">
        <f t="shared" si="31"/>
        <v>3.103097560394227</v>
      </c>
      <c r="Q107" s="5">
        <f t="shared" si="32"/>
        <v>12.25783456169815</v>
      </c>
      <c r="R107" s="5">
        <f t="shared" si="11"/>
        <v>0.99226351378111144</v>
      </c>
      <c r="S107" s="5">
        <f t="shared" si="20"/>
        <v>99.226351378111147</v>
      </c>
      <c r="T107" s="363">
        <f t="shared" si="14"/>
        <v>0.11232762987971601</v>
      </c>
      <c r="U107" s="358">
        <f>'Berekening trap 1'!H107*$T107</f>
        <v>8.8968163235721445E-2</v>
      </c>
      <c r="V107" s="359">
        <f>'Berekening trap 1'!I107*$T107</f>
        <v>8.388642104194094E-2</v>
      </c>
      <c r="Y107" s="43">
        <f t="shared" si="15"/>
        <v>31</v>
      </c>
      <c r="Z107" s="6" t="str">
        <f>IF(INVOER!A66=0,"x",INVOER!A66)</f>
        <v>x</v>
      </c>
      <c r="AA107" s="6">
        <f>IF(INVOER!B$36&gt;INVOER!B$37,INVOER!B66,100-INVOER!B66)</f>
        <v>100</v>
      </c>
      <c r="AB107" s="6">
        <f t="shared" si="16"/>
        <v>31</v>
      </c>
      <c r="AC107" s="6">
        <f t="shared" si="12"/>
        <v>1</v>
      </c>
      <c r="AD107" s="44">
        <f>IF(INVOER!A66=0,10000,INVOER!A66)</f>
        <v>10000</v>
      </c>
    </row>
    <row r="108" spans="1:30" x14ac:dyDescent="0.2">
      <c r="A108" s="43">
        <f>A107*'Berekening trap 1'!H$58</f>
        <v>2.6949883771357812</v>
      </c>
      <c r="B108" s="6">
        <f t="shared" si="25"/>
        <v>2.6283253232971151</v>
      </c>
      <c r="C108" s="168">
        <f t="shared" si="17"/>
        <v>1.9985880592231884</v>
      </c>
      <c r="D108" s="200">
        <f t="shared" si="24"/>
        <v>0.77494294028125343</v>
      </c>
      <c r="E108" s="197">
        <f t="shared" si="26"/>
        <v>1</v>
      </c>
      <c r="F108" s="43">
        <f t="shared" si="27"/>
        <v>0.72666737869585196</v>
      </c>
      <c r="G108" s="155">
        <f t="shared" si="28"/>
        <v>1</v>
      </c>
      <c r="H108" s="170">
        <f t="shared" si="29"/>
        <v>0.77494294028125343</v>
      </c>
      <c r="I108" s="179">
        <f t="shared" si="30"/>
        <v>0.72666737869585196</v>
      </c>
      <c r="J108" s="145">
        <f>IF(INVOER!$S$36=1,100-H108*100,100-I108*100)</f>
        <v>27.333262130414809</v>
      </c>
      <c r="K108" s="43">
        <f t="shared" ref="K108:K139" si="33">VLOOKUP(A108,Z$76:AB$146,3)</f>
        <v>1</v>
      </c>
      <c r="L108" s="6">
        <f t="shared" ref="L108:L139" si="34">IF(K108=0,VLOOKUP(1,Y$77:AA$146,2),VLOOKUP(K108,Y$76:Z$145,2))</f>
        <v>0.3</v>
      </c>
      <c r="M108" s="6">
        <f t="shared" ref="M108:M139" si="35">IF(K108=0,VLOOKUP(2,Y$77:AA$145,2),VLOOKUP(K108+1,Y$77:Z$145,2))</f>
        <v>5</v>
      </c>
      <c r="N108" s="6">
        <f t="shared" ref="N108:N139" si="36">(VLOOKUP(L108,Z$76:AA$146,2))/100</f>
        <v>0.99998999999999993</v>
      </c>
      <c r="O108" s="6">
        <f t="shared" ref="O108:O139" si="37">(VLOOKUP(M108,Z$76:AA$145,2))/100</f>
        <v>0.94</v>
      </c>
      <c r="P108" s="366">
        <f t="shared" si="31"/>
        <v>3.103097560394227</v>
      </c>
      <c r="Q108" s="6">
        <f t="shared" si="32"/>
        <v>12.25783456169815</v>
      </c>
      <c r="R108" s="6">
        <f t="shared" si="11"/>
        <v>0.99095031586213178</v>
      </c>
      <c r="S108" s="6">
        <f t="shared" si="20"/>
        <v>99.095031586213182</v>
      </c>
      <c r="T108" s="357">
        <f t="shared" si="14"/>
        <v>0.13131979189796583</v>
      </c>
      <c r="U108" s="358">
        <f>'Berekening trap 1'!H108*$T108</f>
        <v>0.10176534565053197</v>
      </c>
      <c r="V108" s="359">
        <f>'Berekening trap 1'!I108*$T108</f>
        <v>9.5425808949379604E-2</v>
      </c>
      <c r="Y108" s="43">
        <f t="shared" si="15"/>
        <v>32</v>
      </c>
      <c r="Z108" s="6" t="str">
        <f>IF(INVOER!A67=0,"x",INVOER!A67)</f>
        <v>x</v>
      </c>
      <c r="AA108" s="6">
        <f>IF(INVOER!B$36&gt;INVOER!B$37,INVOER!B67,100-INVOER!B67)</f>
        <v>100</v>
      </c>
      <c r="AB108" s="6">
        <f t="shared" si="16"/>
        <v>32</v>
      </c>
      <c r="AC108" s="6">
        <f t="shared" si="12"/>
        <v>1</v>
      </c>
      <c r="AD108" s="44">
        <f>IF(INVOER!A67=0,10000,INVOER!A67)</f>
        <v>10000</v>
      </c>
    </row>
    <row r="109" spans="1:30" x14ac:dyDescent="0.2">
      <c r="A109" s="43">
        <f>A108*'Berekening trap 1'!H$58</f>
        <v>2.8352536708253844</v>
      </c>
      <c r="B109" s="6">
        <f t="shared" si="25"/>
        <v>2.7651210239805826</v>
      </c>
      <c r="C109" s="168">
        <f t="shared" si="17"/>
        <v>2.1026080036020987</v>
      </c>
      <c r="D109" s="200">
        <f t="shared" si="24"/>
        <v>0.75716426937890036</v>
      </c>
      <c r="E109" s="197">
        <f t="shared" si="26"/>
        <v>1</v>
      </c>
      <c r="F109" s="43">
        <f t="shared" si="27"/>
        <v>0.70585135516086606</v>
      </c>
      <c r="G109" s="155">
        <f t="shared" si="28"/>
        <v>1</v>
      </c>
      <c r="H109" s="170">
        <f t="shared" si="29"/>
        <v>0.75716426937890036</v>
      </c>
      <c r="I109" s="179">
        <f t="shared" si="30"/>
        <v>0.70585135516086606</v>
      </c>
      <c r="J109" s="145">
        <f>IF(INVOER!$S$36=1,100-H109*100,100-I109*100)</f>
        <v>29.414864483913391</v>
      </c>
      <c r="K109" s="43">
        <f t="shared" si="33"/>
        <v>1</v>
      </c>
      <c r="L109" s="6">
        <f t="shared" si="34"/>
        <v>0.3</v>
      </c>
      <c r="M109" s="6">
        <f t="shared" si="35"/>
        <v>5</v>
      </c>
      <c r="N109" s="6">
        <f t="shared" si="36"/>
        <v>0.99998999999999993</v>
      </c>
      <c r="O109" s="6">
        <f t="shared" si="37"/>
        <v>0.94</v>
      </c>
      <c r="P109" s="366">
        <f t="shared" si="31"/>
        <v>3.103097560394227</v>
      </c>
      <c r="Q109" s="6">
        <f t="shared" si="32"/>
        <v>12.25783456169815</v>
      </c>
      <c r="R109" s="6">
        <f t="shared" si="11"/>
        <v>0.98941540608464706</v>
      </c>
      <c r="S109" s="6">
        <f t="shared" si="20"/>
        <v>98.941540608464706</v>
      </c>
      <c r="T109" s="357">
        <f t="shared" si="14"/>
        <v>0.15349097774847165</v>
      </c>
      <c r="U109" s="358">
        <f>'Berekening trap 1'!H109*$T109</f>
        <v>0.11621788402317458</v>
      </c>
      <c r="V109" s="359">
        <f>'Berekening trap 1'!I109*$T109</f>
        <v>0.10834181464872505</v>
      </c>
      <c r="Y109" s="43">
        <f t="shared" si="15"/>
        <v>33</v>
      </c>
      <c r="Z109" s="6" t="str">
        <f>IF(INVOER!A68=0,"x",INVOER!A68)</f>
        <v>x</v>
      </c>
      <c r="AA109" s="6">
        <f>IF(INVOER!B$36&gt;INVOER!B$37,INVOER!B68,100-INVOER!B68)</f>
        <v>100</v>
      </c>
      <c r="AB109" s="6">
        <f t="shared" si="16"/>
        <v>33</v>
      </c>
      <c r="AC109" s="6">
        <f t="shared" si="12"/>
        <v>1</v>
      </c>
      <c r="AD109" s="44">
        <f>IF(INVOER!A68=0,10000,INVOER!A68)</f>
        <v>10000</v>
      </c>
    </row>
    <row r="110" spans="1:30" x14ac:dyDescent="0.2">
      <c r="A110" s="43">
        <f>A109*'Berekening trap 1'!H$58</f>
        <v>2.9828193123683389</v>
      </c>
      <c r="B110" s="6">
        <f t="shared" si="25"/>
        <v>2.9090364915968614</v>
      </c>
      <c r="C110" s="168">
        <f t="shared" si="17"/>
        <v>2.2120418444458951</v>
      </c>
      <c r="D110" s="200">
        <f t="shared" si="24"/>
        <v>0.73870999262029913</v>
      </c>
      <c r="E110" s="197">
        <f t="shared" si="26"/>
        <v>1</v>
      </c>
      <c r="F110" s="43">
        <f t="shared" si="27"/>
        <v>0.68437437848938032</v>
      </c>
      <c r="G110" s="155">
        <f t="shared" si="28"/>
        <v>1</v>
      </c>
      <c r="H110" s="170">
        <f t="shared" si="29"/>
        <v>0.73870999262029913</v>
      </c>
      <c r="I110" s="179">
        <f t="shared" si="30"/>
        <v>0.68437437848938032</v>
      </c>
      <c r="J110" s="145">
        <f>IF(INVOER!$S$36=1,100-H110*100,100-I110*100)</f>
        <v>31.562562151061968</v>
      </c>
      <c r="K110" s="43">
        <f t="shared" si="33"/>
        <v>1</v>
      </c>
      <c r="L110" s="6">
        <f t="shared" si="34"/>
        <v>0.3</v>
      </c>
      <c r="M110" s="6">
        <f t="shared" si="35"/>
        <v>5</v>
      </c>
      <c r="N110" s="6">
        <f t="shared" si="36"/>
        <v>0.99998999999999993</v>
      </c>
      <c r="O110" s="6">
        <f t="shared" si="37"/>
        <v>0.94</v>
      </c>
      <c r="P110" s="366">
        <f t="shared" si="31"/>
        <v>3.103097560394227</v>
      </c>
      <c r="Q110" s="6">
        <f t="shared" si="32"/>
        <v>12.25783456169815</v>
      </c>
      <c r="R110" s="6">
        <f t="shared" si="11"/>
        <v>0.9876217916416119</v>
      </c>
      <c r="S110" s="6">
        <f t="shared" si="20"/>
        <v>98.762179164161196</v>
      </c>
      <c r="T110" s="357">
        <f t="shared" si="14"/>
        <v>0.1793614443035163</v>
      </c>
      <c r="U110" s="358">
        <f>'Berekening trap 1'!H110*$T110</f>
        <v>0.13249609119781672</v>
      </c>
      <c r="V110" s="359">
        <f>'Berekening trap 1'!I110*$T110</f>
        <v>0.12275037697017657</v>
      </c>
      <c r="Y110" s="43">
        <f t="shared" si="15"/>
        <v>34</v>
      </c>
      <c r="Z110" s="6" t="str">
        <f>IF(INVOER!A69=0,"x",INVOER!A69)</f>
        <v>x</v>
      </c>
      <c r="AA110" s="6">
        <f>IF(INVOER!B$36&gt;INVOER!B$37,INVOER!B69,100-INVOER!B69)</f>
        <v>100</v>
      </c>
      <c r="AB110" s="6">
        <f t="shared" si="16"/>
        <v>34</v>
      </c>
      <c r="AC110" s="6">
        <f t="shared" si="12"/>
        <v>1</v>
      </c>
      <c r="AD110" s="44">
        <f>IF(INVOER!A69=0,10000,INVOER!A69)</f>
        <v>10000</v>
      </c>
    </row>
    <row r="111" spans="1:30" x14ac:dyDescent="0.2">
      <c r="A111" s="45">
        <f>A110*'Berekening trap 1'!H$58</f>
        <v>3.1380652608933648</v>
      </c>
      <c r="B111" s="46">
        <f t="shared" si="25"/>
        <v>3.0604422866308516</v>
      </c>
      <c r="C111" s="182">
        <f t="shared" si="17"/>
        <v>2.3271713572843327</v>
      </c>
      <c r="D111" s="201">
        <f t="shared" si="24"/>
        <v>0.7195880466073189</v>
      </c>
      <c r="E111" s="167">
        <f t="shared" si="26"/>
        <v>1</v>
      </c>
      <c r="F111" s="45">
        <f t="shared" si="27"/>
        <v>0.66226275450989891</v>
      </c>
      <c r="G111" s="183">
        <f t="shared" si="28"/>
        <v>1</v>
      </c>
      <c r="H111" s="171">
        <f t="shared" si="29"/>
        <v>0.7195880466073189</v>
      </c>
      <c r="I111" s="235">
        <f t="shared" si="30"/>
        <v>0.66226275450989891</v>
      </c>
      <c r="J111" s="238">
        <f>IF(INVOER!$S$36=1,100-H111*100,100-I111*100)</f>
        <v>33.773724549010112</v>
      </c>
      <c r="K111" s="45">
        <f t="shared" si="33"/>
        <v>1</v>
      </c>
      <c r="L111" s="46">
        <f t="shared" si="34"/>
        <v>0.3</v>
      </c>
      <c r="M111" s="46">
        <f t="shared" si="35"/>
        <v>5</v>
      </c>
      <c r="N111" s="46">
        <f t="shared" si="36"/>
        <v>0.99998999999999993</v>
      </c>
      <c r="O111" s="46">
        <f t="shared" si="37"/>
        <v>0.94</v>
      </c>
      <c r="P111" s="367">
        <f t="shared" si="31"/>
        <v>3.103097560394227</v>
      </c>
      <c r="Q111" s="46">
        <f t="shared" si="32"/>
        <v>12.25783456169815</v>
      </c>
      <c r="R111" s="46">
        <f t="shared" si="11"/>
        <v>0.98552646970963087</v>
      </c>
      <c r="S111" s="46">
        <f t="shared" si="20"/>
        <v>98.552646970963082</v>
      </c>
      <c r="T111" s="360">
        <f t="shared" si="14"/>
        <v>0.20953219319810312</v>
      </c>
      <c r="U111" s="361">
        <f>'Berekening trap 1'!H111*$T111</f>
        <v>0.15077686160477038</v>
      </c>
      <c r="V111" s="362">
        <f>'Berekening trap 1'!I111*$T111</f>
        <v>0.13876536742587608</v>
      </c>
      <c r="Y111" s="43">
        <f t="shared" si="15"/>
        <v>35</v>
      </c>
      <c r="Z111" s="6" t="str">
        <f>IF(INVOER!A70=0,"x",INVOER!A70)</f>
        <v>x</v>
      </c>
      <c r="AA111" s="6">
        <f>IF(INVOER!B$36&gt;INVOER!B$37,INVOER!B70,100-INVOER!B70)</f>
        <v>100</v>
      </c>
      <c r="AB111" s="6">
        <f t="shared" si="16"/>
        <v>35</v>
      </c>
      <c r="AC111" s="6">
        <f t="shared" si="12"/>
        <v>1</v>
      </c>
      <c r="AD111" s="44">
        <f>IF(INVOER!A70=0,10000,INVOER!A70)</f>
        <v>10000</v>
      </c>
    </row>
    <row r="112" spans="1:30" x14ac:dyDescent="0.2">
      <c r="A112" s="43">
        <f>A111*'Berekening trap 1'!H$58</f>
        <v>3.3013912511539054</v>
      </c>
      <c r="B112" s="6">
        <f t="shared" si="25"/>
        <v>3.2197282560236351</v>
      </c>
      <c r="C112" s="168">
        <f t="shared" si="17"/>
        <v>2.4482929831380362</v>
      </c>
      <c r="D112" s="200">
        <f t="shared" si="24"/>
        <v>0.69981034105398476</v>
      </c>
      <c r="E112" s="197">
        <f t="shared" si="26"/>
        <v>1</v>
      </c>
      <c r="F112" s="43">
        <f t="shared" si="27"/>
        <v>0.63954831674753709</v>
      </c>
      <c r="G112" s="155">
        <f t="shared" si="28"/>
        <v>1</v>
      </c>
      <c r="H112" s="170">
        <f t="shared" si="29"/>
        <v>0.69981034105398476</v>
      </c>
      <c r="I112" s="179">
        <f t="shared" si="30"/>
        <v>0.63954831674753709</v>
      </c>
      <c r="J112" s="145">
        <f>IF(INVOER!$S$36=1,100-H112*100,100-I112*100)</f>
        <v>36.045168325246294</v>
      </c>
      <c r="K112" s="41">
        <f t="shared" si="33"/>
        <v>1</v>
      </c>
      <c r="L112" s="5">
        <f t="shared" si="34"/>
        <v>0.3</v>
      </c>
      <c r="M112" s="5">
        <f t="shared" si="35"/>
        <v>5</v>
      </c>
      <c r="N112" s="5">
        <f t="shared" si="36"/>
        <v>0.99998999999999993</v>
      </c>
      <c r="O112" s="5">
        <f t="shared" si="37"/>
        <v>0.94</v>
      </c>
      <c r="P112" s="365">
        <f t="shared" si="31"/>
        <v>3.103097560394227</v>
      </c>
      <c r="Q112" s="5">
        <f t="shared" si="32"/>
        <v>12.25783456169815</v>
      </c>
      <c r="R112" s="5">
        <f t="shared" si="11"/>
        <v>0.98307951116689718</v>
      </c>
      <c r="S112" s="5">
        <f t="shared" si="20"/>
        <v>98.307951116689722</v>
      </c>
      <c r="T112" s="363">
        <f t="shared" si="14"/>
        <v>0.24469585427336904</v>
      </c>
      <c r="U112" s="358">
        <f>'Berekening trap 1'!H112*$T112</f>
        <v>0.17124068923354255</v>
      </c>
      <c r="V112" s="359">
        <f>'Berekening trap 1'!I112*$T112</f>
        <v>0.15649482171563381</v>
      </c>
      <c r="Y112" s="43">
        <f t="shared" si="15"/>
        <v>36</v>
      </c>
      <c r="Z112" s="6" t="str">
        <f>IF(INVOER!A71=0,"x",INVOER!A71)</f>
        <v>x</v>
      </c>
      <c r="AA112" s="6">
        <f>IF(INVOER!B$36&gt;INVOER!B$37,INVOER!B71,100-INVOER!B71)</f>
        <v>100</v>
      </c>
      <c r="AB112" s="6">
        <f t="shared" si="16"/>
        <v>36</v>
      </c>
      <c r="AC112" s="6">
        <f t="shared" si="12"/>
        <v>1</v>
      </c>
      <c r="AD112" s="44">
        <f>IF(INVOER!A71=0,10000,INVOER!A71)</f>
        <v>10000</v>
      </c>
    </row>
    <row r="113" spans="1:30" x14ac:dyDescent="0.2">
      <c r="A113" s="43">
        <f>A112*'Berekening trap 1'!H$58</f>
        <v>3.4732178227844432</v>
      </c>
      <c r="B113" s="6">
        <f t="shared" si="25"/>
        <v>3.3873045369691743</v>
      </c>
      <c r="C113" s="168">
        <f t="shared" si="17"/>
        <v>2.5757185918091303</v>
      </c>
      <c r="D113" s="200">
        <f t="shared" si="24"/>
        <v>0.67939313190392514</v>
      </c>
      <c r="E113" s="197">
        <f t="shared" si="26"/>
        <v>1</v>
      </c>
      <c r="F113" s="43">
        <f t="shared" si="27"/>
        <v>0.61626875534408265</v>
      </c>
      <c r="G113" s="155">
        <f t="shared" si="28"/>
        <v>1</v>
      </c>
      <c r="H113" s="170">
        <f t="shared" si="29"/>
        <v>0.67939313190392514</v>
      </c>
      <c r="I113" s="179">
        <f t="shared" si="30"/>
        <v>0.61626875534408265</v>
      </c>
      <c r="J113" s="145">
        <f>IF(INVOER!$S$36=1,100-H113*100,100-I113*100)</f>
        <v>38.373124465591737</v>
      </c>
      <c r="K113" s="43">
        <f t="shared" si="33"/>
        <v>1</v>
      </c>
      <c r="L113" s="6">
        <f t="shared" si="34"/>
        <v>0.3</v>
      </c>
      <c r="M113" s="6">
        <f t="shared" si="35"/>
        <v>5</v>
      </c>
      <c r="N113" s="6">
        <f t="shared" si="36"/>
        <v>0.99998999999999993</v>
      </c>
      <c r="O113" s="6">
        <f t="shared" si="37"/>
        <v>0.94</v>
      </c>
      <c r="P113" s="366">
        <f t="shared" si="31"/>
        <v>3.103097560394227</v>
      </c>
      <c r="Q113" s="6">
        <f t="shared" si="32"/>
        <v>12.25783456169815</v>
      </c>
      <c r="R113" s="6">
        <f t="shared" si="11"/>
        <v>0.98022302721489785</v>
      </c>
      <c r="S113" s="6">
        <f t="shared" si="20"/>
        <v>98.02230272148978</v>
      </c>
      <c r="T113" s="357">
        <f t="shared" si="14"/>
        <v>0.28564839519993335</v>
      </c>
      <c r="U113" s="358">
        <f>'Berekening trap 1'!H113*$T113</f>
        <v>0.19406755783821286</v>
      </c>
      <c r="V113" s="359">
        <f>'Berekening trap 1'!I113*$T113</f>
        <v>0.17603618097589754</v>
      </c>
      <c r="Y113" s="43">
        <f t="shared" si="15"/>
        <v>37</v>
      </c>
      <c r="Z113" s="6" t="str">
        <f>IF(INVOER!A72=0,"x",INVOER!A72)</f>
        <v>x</v>
      </c>
      <c r="AA113" s="6">
        <f>IF(INVOER!B$36&gt;INVOER!B$37,INVOER!B72,100-INVOER!B72)</f>
        <v>100</v>
      </c>
      <c r="AB113" s="6">
        <f t="shared" si="16"/>
        <v>37</v>
      </c>
      <c r="AC113" s="6">
        <f t="shared" si="12"/>
        <v>1</v>
      </c>
      <c r="AD113" s="44">
        <f>IF(INVOER!A72=0,10000,INVOER!A72)</f>
        <v>10000</v>
      </c>
    </row>
    <row r="114" spans="1:30" x14ac:dyDescent="0.2">
      <c r="A114" s="43">
        <f>A113*'Berekening trap 1'!H$58</f>
        <v>3.6539874031262283</v>
      </c>
      <c r="B114" s="6">
        <f t="shared" si="25"/>
        <v>3.5636026129553358</v>
      </c>
      <c r="C114" s="168">
        <f t="shared" si="17"/>
        <v>2.7097762848986453</v>
      </c>
      <c r="D114" s="200">
        <f t="shared" si="24"/>
        <v>0.65835738714954728</v>
      </c>
      <c r="E114" s="197">
        <f t="shared" si="26"/>
        <v>1</v>
      </c>
      <c r="F114" s="43">
        <f t="shared" si="27"/>
        <v>0.59246790244809844</v>
      </c>
      <c r="G114" s="155">
        <f t="shared" si="28"/>
        <v>1</v>
      </c>
      <c r="H114" s="170">
        <f t="shared" si="29"/>
        <v>0.65835738714954728</v>
      </c>
      <c r="I114" s="179">
        <f t="shared" si="30"/>
        <v>0.59246790244809844</v>
      </c>
      <c r="J114" s="145">
        <f>IF(INVOER!$S$36=1,100-H114*100,100-I114*100)</f>
        <v>40.753209755190156</v>
      </c>
      <c r="K114" s="43">
        <f t="shared" si="33"/>
        <v>1</v>
      </c>
      <c r="L114" s="6">
        <f t="shared" si="34"/>
        <v>0.3</v>
      </c>
      <c r="M114" s="6">
        <f t="shared" si="35"/>
        <v>5</v>
      </c>
      <c r="N114" s="6">
        <f t="shared" si="36"/>
        <v>0.99998999999999993</v>
      </c>
      <c r="O114" s="6">
        <f t="shared" si="37"/>
        <v>0.94</v>
      </c>
      <c r="P114" s="366">
        <f t="shared" si="31"/>
        <v>3.103097560394227</v>
      </c>
      <c r="Q114" s="6">
        <f t="shared" si="32"/>
        <v>12.25783456169815</v>
      </c>
      <c r="R114" s="6">
        <f t="shared" si="11"/>
        <v>0.97689001281827492</v>
      </c>
      <c r="S114" s="6">
        <f t="shared" si="20"/>
        <v>97.689001281827487</v>
      </c>
      <c r="T114" s="357">
        <f t="shared" si="14"/>
        <v>0.33330143966229242</v>
      </c>
      <c r="U114" s="358">
        <f>'Berekening trap 1'!H114*$T114</f>
        <v>0.21943146494924931</v>
      </c>
      <c r="V114" s="359">
        <f>'Berekening trap 1'!I114*$T114</f>
        <v>0.19747040483964984</v>
      </c>
      <c r="Y114" s="43">
        <f t="shared" si="15"/>
        <v>38</v>
      </c>
      <c r="Z114" s="6" t="str">
        <f>IF(INVOER!A73=0,"x",INVOER!A73)</f>
        <v>x</v>
      </c>
      <c r="AA114" s="6">
        <f>IF(INVOER!B$36&gt;INVOER!B$37,INVOER!B73,100-INVOER!B73)</f>
        <v>100</v>
      </c>
      <c r="AB114" s="6">
        <f t="shared" si="16"/>
        <v>38</v>
      </c>
      <c r="AC114" s="6">
        <f t="shared" si="12"/>
        <v>1</v>
      </c>
      <c r="AD114" s="44">
        <f>IF(INVOER!A73=0,10000,INVOER!A73)</f>
        <v>10000</v>
      </c>
    </row>
    <row r="115" spans="1:30" x14ac:dyDescent="0.2">
      <c r="A115" s="43">
        <f>A114*'Berekening trap 1'!H$58</f>
        <v>3.844165446410527</v>
      </c>
      <c r="B115" s="6">
        <f t="shared" si="25"/>
        <v>3.7490764247683774</v>
      </c>
      <c r="C115" s="168">
        <f t="shared" si="17"/>
        <v>2.850811240618337</v>
      </c>
      <c r="D115" s="200">
        <f t="shared" si="24"/>
        <v>0.63672913842316103</v>
      </c>
      <c r="E115" s="197">
        <f t="shared" si="26"/>
        <v>1</v>
      </c>
      <c r="F115" s="43">
        <f t="shared" si="27"/>
        <v>0.56819596217768176</v>
      </c>
      <c r="G115" s="155">
        <f t="shared" si="28"/>
        <v>1</v>
      </c>
      <c r="H115" s="170">
        <f t="shared" si="29"/>
        <v>0.63672913842316103</v>
      </c>
      <c r="I115" s="179">
        <f t="shared" si="30"/>
        <v>0.56819596217768176</v>
      </c>
      <c r="J115" s="145">
        <f>IF(INVOER!$S$36=1,100-H115*100,100-I115*100)</f>
        <v>43.180403782231821</v>
      </c>
      <c r="K115" s="43">
        <f t="shared" si="33"/>
        <v>1</v>
      </c>
      <c r="L115" s="6">
        <f t="shared" si="34"/>
        <v>0.3</v>
      </c>
      <c r="M115" s="6">
        <f t="shared" si="35"/>
        <v>5</v>
      </c>
      <c r="N115" s="6">
        <f t="shared" si="36"/>
        <v>0.99998999999999993</v>
      </c>
      <c r="O115" s="6">
        <f t="shared" si="37"/>
        <v>0.94</v>
      </c>
      <c r="P115" s="366">
        <f t="shared" si="31"/>
        <v>3.103097560394227</v>
      </c>
      <c r="Q115" s="6">
        <f t="shared" si="32"/>
        <v>12.25783456169815</v>
      </c>
      <c r="R115" s="6">
        <f t="shared" si="11"/>
        <v>0.97300306461848396</v>
      </c>
      <c r="S115" s="6">
        <f t="shared" si="20"/>
        <v>97.300306461848393</v>
      </c>
      <c r="T115" s="357">
        <f t="shared" si="14"/>
        <v>0.38869481997909627</v>
      </c>
      <c r="U115" s="358">
        <f>'Berekening trap 1'!H115*$T115</f>
        <v>0.24749331783483566</v>
      </c>
      <c r="V115" s="359">
        <f>'Berekening trap 1'!I115*$T115</f>
        <v>0.2208548272315034</v>
      </c>
      <c r="Y115" s="43">
        <f t="shared" si="15"/>
        <v>39</v>
      </c>
      <c r="Z115" s="6" t="str">
        <f>IF(INVOER!A74=0,"x",INVOER!A74)</f>
        <v>x</v>
      </c>
      <c r="AA115" s="6">
        <f>IF(INVOER!B$36&gt;INVOER!B$37,INVOER!B74,100-INVOER!B74)</f>
        <v>100</v>
      </c>
      <c r="AB115" s="6">
        <f t="shared" si="16"/>
        <v>39</v>
      </c>
      <c r="AC115" s="6">
        <f t="shared" si="12"/>
        <v>1</v>
      </c>
      <c r="AD115" s="44">
        <f>IF(INVOER!A74=0,10000,INVOER!A74)</f>
        <v>10000</v>
      </c>
    </row>
    <row r="116" spans="1:30" x14ac:dyDescent="0.2">
      <c r="A116" s="45">
        <f>A115*'Berekening trap 1'!H$58</f>
        <v>4.0442416322326187</v>
      </c>
      <c r="B116" s="46">
        <f t="shared" si="25"/>
        <v>3.9442035393215731</v>
      </c>
      <c r="C116" s="182">
        <f t="shared" si="17"/>
        <v>2.9991866025721921</v>
      </c>
      <c r="D116" s="201">
        <f t="shared" si="24"/>
        <v>0.61453981019115433</v>
      </c>
      <c r="E116" s="167">
        <f t="shared" si="26"/>
        <v>1</v>
      </c>
      <c r="F116" s="45">
        <f t="shared" si="27"/>
        <v>0.54350967209192746</v>
      </c>
      <c r="G116" s="183">
        <f t="shared" si="28"/>
        <v>1</v>
      </c>
      <c r="H116" s="171">
        <f t="shared" si="29"/>
        <v>0.61453981019115433</v>
      </c>
      <c r="I116" s="235">
        <f t="shared" si="30"/>
        <v>0.54350967209192746</v>
      </c>
      <c r="J116" s="145">
        <f>IF(INVOER!$S$36=1,100-H116*100,100-I116*100)</f>
        <v>45.649032790807254</v>
      </c>
      <c r="K116" s="45">
        <f t="shared" si="33"/>
        <v>1</v>
      </c>
      <c r="L116" s="46">
        <f t="shared" si="34"/>
        <v>0.3</v>
      </c>
      <c r="M116" s="46">
        <f t="shared" si="35"/>
        <v>5</v>
      </c>
      <c r="N116" s="46">
        <f t="shared" si="36"/>
        <v>0.99998999999999993</v>
      </c>
      <c r="O116" s="46">
        <f t="shared" si="37"/>
        <v>0.94</v>
      </c>
      <c r="P116" s="367">
        <f t="shared" si="31"/>
        <v>3.103097560394227</v>
      </c>
      <c r="Q116" s="46">
        <f t="shared" si="32"/>
        <v>12.25783456169815</v>
      </c>
      <c r="R116" s="46">
        <f t="shared" si="11"/>
        <v>0.96847297691479528</v>
      </c>
      <c r="S116" s="46">
        <f t="shared" si="20"/>
        <v>96.847297691479525</v>
      </c>
      <c r="T116" s="360">
        <f t="shared" si="14"/>
        <v>0.45300877036886789</v>
      </c>
      <c r="U116" s="361">
        <f>'Berekening trap 1'!H116*$T116</f>
        <v>0.27839192375741229</v>
      </c>
      <c r="V116" s="362">
        <f>'Berekening trap 1'!I116*$T116</f>
        <v>0.24621464823795064</v>
      </c>
      <c r="Y116" s="43">
        <f t="shared" si="15"/>
        <v>40</v>
      </c>
      <c r="Z116" s="6" t="str">
        <f>IF(INVOER!A75=0,"x",INVOER!A75)</f>
        <v>x</v>
      </c>
      <c r="AA116" s="6">
        <f>IF(INVOER!B$36&gt;INVOER!B$37,INVOER!B75,100-INVOER!B75)</f>
        <v>100</v>
      </c>
      <c r="AB116" s="6">
        <f t="shared" si="16"/>
        <v>40</v>
      </c>
      <c r="AC116" s="6">
        <f t="shared" si="12"/>
        <v>1</v>
      </c>
      <c r="AD116" s="44">
        <f>IF(INVOER!A75=0,10000,INVOER!A75)</f>
        <v>10000</v>
      </c>
    </row>
    <row r="117" spans="1:30" x14ac:dyDescent="0.2">
      <c r="A117" s="43">
        <f>A116*'Berekening trap 1'!H$58</f>
        <v>4.2547311264024286</v>
      </c>
      <c r="B117" s="6">
        <f t="shared" si="25"/>
        <v>4.1494863793175236</v>
      </c>
      <c r="C117" s="168">
        <f t="shared" si="17"/>
        <v>3.1552844147960832</v>
      </c>
      <c r="D117" s="200">
        <f t="shared" si="24"/>
        <v>0.59182651713807499</v>
      </c>
      <c r="E117" s="197">
        <f t="shared" si="26"/>
        <v>1</v>
      </c>
      <c r="F117" s="43">
        <f t="shared" si="27"/>
        <v>0.51847238215094849</v>
      </c>
      <c r="G117" s="155">
        <f t="shared" si="28"/>
        <v>1</v>
      </c>
      <c r="H117" s="170">
        <f t="shared" si="29"/>
        <v>0.59182651713807499</v>
      </c>
      <c r="I117" s="179">
        <f t="shared" si="30"/>
        <v>0.51847238215094849</v>
      </c>
      <c r="J117" s="147">
        <f>IF(INVOER!$S$36=1,100-H117*100,100-I117*100)</f>
        <v>48.152761784905152</v>
      </c>
      <c r="K117" s="41">
        <f t="shared" si="33"/>
        <v>1</v>
      </c>
      <c r="L117" s="5">
        <f t="shared" si="34"/>
        <v>0.3</v>
      </c>
      <c r="M117" s="5">
        <f t="shared" si="35"/>
        <v>5</v>
      </c>
      <c r="N117" s="5">
        <f t="shared" si="36"/>
        <v>0.99998999999999993</v>
      </c>
      <c r="O117" s="5">
        <f t="shared" si="37"/>
        <v>0.94</v>
      </c>
      <c r="P117" s="365">
        <f t="shared" si="31"/>
        <v>3.103097560394227</v>
      </c>
      <c r="Q117" s="5">
        <f t="shared" si="32"/>
        <v>12.25783456169815</v>
      </c>
      <c r="R117" s="5">
        <f t="shared" si="11"/>
        <v>0.96319722827093301</v>
      </c>
      <c r="S117" s="5">
        <f t="shared" si="20"/>
        <v>96.319722827093301</v>
      </c>
      <c r="T117" s="363">
        <f t="shared" si="14"/>
        <v>0.52757486438622658</v>
      </c>
      <c r="U117" s="358">
        <f>'Berekening trap 1'!H117*$T117</f>
        <v>0.3122327945192927</v>
      </c>
      <c r="V117" s="359">
        <f>'Berekening trap 1'!I117*$T117</f>
        <v>0.2735329967012905</v>
      </c>
      <c r="Y117" s="43">
        <f t="shared" si="15"/>
        <v>41</v>
      </c>
      <c r="Z117" s="6" t="str">
        <f>IF(INVOER!A76=0,"x",INVOER!A76)</f>
        <v>x</v>
      </c>
      <c r="AA117" s="6">
        <f>IF(INVOER!B$36&gt;INVOER!B$37,INVOER!B76,100-INVOER!B76)</f>
        <v>100</v>
      </c>
      <c r="AB117" s="6">
        <f t="shared" si="16"/>
        <v>41</v>
      </c>
      <c r="AC117" s="6">
        <f t="shared" si="12"/>
        <v>1</v>
      </c>
      <c r="AD117" s="44">
        <f>IF(INVOER!A76=0,10000,INVOER!A76)</f>
        <v>10000</v>
      </c>
    </row>
    <row r="118" spans="1:30" x14ac:dyDescent="0.2">
      <c r="A118" s="43">
        <f>A117*'Berekening trap 1'!H$58</f>
        <v>4.476175907418293</v>
      </c>
      <c r="B118" s="6">
        <f t="shared" si="25"/>
        <v>4.3654535169103603</v>
      </c>
      <c r="C118" s="168">
        <f t="shared" si="17"/>
        <v>3.3195066054631788</v>
      </c>
      <c r="D118" s="200">
        <f t="shared" si="24"/>
        <v>0.56863231911082157</v>
      </c>
      <c r="E118" s="197">
        <f t="shared" si="26"/>
        <v>1</v>
      </c>
      <c r="F118" s="43">
        <f t="shared" si="27"/>
        <v>0.49315403647760975</v>
      </c>
      <c r="G118" s="155">
        <f t="shared" si="28"/>
        <v>1</v>
      </c>
      <c r="H118" s="170">
        <f t="shared" si="29"/>
        <v>0.56863231911082157</v>
      </c>
      <c r="I118" s="179">
        <f t="shared" si="30"/>
        <v>0.49315403647760975</v>
      </c>
      <c r="J118" s="145">
        <f>IF(INVOER!$S$36=1,100-H118*100,100-I118*100)</f>
        <v>50.684596352239026</v>
      </c>
      <c r="K118" s="43">
        <f t="shared" si="33"/>
        <v>1</v>
      </c>
      <c r="L118" s="6">
        <f t="shared" si="34"/>
        <v>0.3</v>
      </c>
      <c r="M118" s="6">
        <f t="shared" si="35"/>
        <v>5</v>
      </c>
      <c r="N118" s="6">
        <f t="shared" si="36"/>
        <v>0.99998999999999993</v>
      </c>
      <c r="O118" s="6">
        <f t="shared" si="37"/>
        <v>0.94</v>
      </c>
      <c r="P118" s="366">
        <f t="shared" si="31"/>
        <v>3.103097560394227</v>
      </c>
      <c r="Q118" s="6">
        <f t="shared" si="32"/>
        <v>12.25783456169815</v>
      </c>
      <c r="R118" s="6">
        <f t="shared" si="11"/>
        <v>0.95705838436913826</v>
      </c>
      <c r="S118" s="6">
        <f t="shared" si="20"/>
        <v>95.705838436913822</v>
      </c>
      <c r="T118" s="357">
        <f t="shared" si="14"/>
        <v>0.61388439017947549</v>
      </c>
      <c r="U118" s="358">
        <f>'Berekening trap 1'!H118*$T118</f>
        <v>0.3490745044536876</v>
      </c>
      <c r="V118" s="359">
        <f>'Berekening trap 1'!I118*$T118</f>
        <v>0.30273956494760429</v>
      </c>
      <c r="Y118" s="43">
        <f t="shared" si="15"/>
        <v>42</v>
      </c>
      <c r="Z118" s="6" t="str">
        <f>IF(INVOER!A77=0,"x",INVOER!A77)</f>
        <v>x</v>
      </c>
      <c r="AA118" s="6">
        <f>IF(INVOER!B$36&gt;INVOER!B$37,INVOER!B77,100-INVOER!B77)</f>
        <v>100</v>
      </c>
      <c r="AB118" s="6">
        <f t="shared" si="16"/>
        <v>42</v>
      </c>
      <c r="AC118" s="6">
        <f t="shared" si="12"/>
        <v>1</v>
      </c>
      <c r="AD118" s="44">
        <f>IF(INVOER!A77=0,10000,INVOER!A77)</f>
        <v>10000</v>
      </c>
    </row>
    <row r="119" spans="1:30" x14ac:dyDescent="0.2">
      <c r="A119" s="43">
        <f>A118*'Berekening trap 1'!H$58</f>
        <v>4.7091461619793273</v>
      </c>
      <c r="B119" s="6">
        <f t="shared" si="25"/>
        <v>4.5926610346988106</v>
      </c>
      <c r="C119" s="168">
        <f t="shared" si="17"/>
        <v>3.4922760217879802</v>
      </c>
      <c r="D119" s="200">
        <f t="shared" si="24"/>
        <v>0.54500642184865666</v>
      </c>
      <c r="E119" s="197">
        <f t="shared" si="26"/>
        <v>1</v>
      </c>
      <c r="F119" s="43">
        <f t="shared" si="27"/>
        <v>0.46763104294954749</v>
      </c>
      <c r="G119" s="155">
        <f t="shared" si="28"/>
        <v>1</v>
      </c>
      <c r="H119" s="170">
        <f t="shared" si="29"/>
        <v>0.54500642184865666</v>
      </c>
      <c r="I119" s="179">
        <f t="shared" si="30"/>
        <v>0.46763104294954749</v>
      </c>
      <c r="J119" s="145">
        <f>IF(INVOER!$S$36=1,100-H119*100,100-I119*100)</f>
        <v>53.236895705045249</v>
      </c>
      <c r="K119" s="43">
        <f t="shared" si="33"/>
        <v>1</v>
      </c>
      <c r="L119" s="6">
        <f t="shared" si="34"/>
        <v>0.3</v>
      </c>
      <c r="M119" s="6">
        <f t="shared" si="35"/>
        <v>5</v>
      </c>
      <c r="N119" s="6">
        <f t="shared" si="36"/>
        <v>0.99998999999999993</v>
      </c>
      <c r="O119" s="6">
        <f t="shared" si="37"/>
        <v>0.94</v>
      </c>
      <c r="P119" s="366">
        <f t="shared" si="31"/>
        <v>3.103097560394227</v>
      </c>
      <c r="Q119" s="6">
        <f t="shared" si="32"/>
        <v>12.25783456169815</v>
      </c>
      <c r="R119" s="6">
        <f t="shared" si="11"/>
        <v>0.94992246125025126</v>
      </c>
      <c r="S119" s="6">
        <f t="shared" si="20"/>
        <v>94.992246125025133</v>
      </c>
      <c r="T119" s="357">
        <f t="shared" si="14"/>
        <v>0.71359231188869998</v>
      </c>
      <c r="U119" s="358">
        <f>'Berekening trap 1'!H119*$T119</f>
        <v>0.38891239256117099</v>
      </c>
      <c r="V119" s="359">
        <f>'Berekening trap 1'!I119*$T119</f>
        <v>0.33369791704929153</v>
      </c>
      <c r="Y119" s="43">
        <f t="shared" si="15"/>
        <v>43</v>
      </c>
      <c r="Z119" s="6" t="str">
        <f>IF(INVOER!A78=0,"x",INVOER!A78)</f>
        <v>x</v>
      </c>
      <c r="AA119" s="6">
        <f>IF(INVOER!B$36&gt;INVOER!B$37,INVOER!B78,100-INVOER!B78)</f>
        <v>100</v>
      </c>
      <c r="AB119" s="6">
        <f t="shared" si="16"/>
        <v>43</v>
      </c>
      <c r="AC119" s="6">
        <f t="shared" si="12"/>
        <v>1</v>
      </c>
      <c r="AD119" s="44">
        <f>IF(INVOER!A78=0,10000,INVOER!A78)</f>
        <v>10000</v>
      </c>
    </row>
    <row r="120" spans="1:30" x14ac:dyDescent="0.2">
      <c r="A120" s="43">
        <f>A119*'Berekening trap 1'!H$58</f>
        <v>4.954241753129633</v>
      </c>
      <c r="B120" s="6">
        <f t="shared" si="25"/>
        <v>4.8316939575544797</v>
      </c>
      <c r="C120" s="168">
        <f t="shared" si="17"/>
        <v>3.6740375187937118</v>
      </c>
      <c r="D120" s="200">
        <f t="shared" si="24"/>
        <v>0.5210043107091511</v>
      </c>
      <c r="E120" s="197">
        <f t="shared" si="26"/>
        <v>1</v>
      </c>
      <c r="F120" s="43">
        <f t="shared" si="27"/>
        <v>0.44198601585119696</v>
      </c>
      <c r="G120" s="155">
        <f t="shared" si="28"/>
        <v>1</v>
      </c>
      <c r="H120" s="170">
        <f t="shared" si="29"/>
        <v>0.5210043107091511</v>
      </c>
      <c r="I120" s="179">
        <f t="shared" si="30"/>
        <v>0.44198601585119696</v>
      </c>
      <c r="J120" s="145">
        <f>IF(INVOER!$S$36=1,100-H120*100,100-I120*100)</f>
        <v>55.801398414880303</v>
      </c>
      <c r="K120" s="43">
        <f t="shared" si="33"/>
        <v>1</v>
      </c>
      <c r="L120" s="6">
        <f t="shared" si="34"/>
        <v>0.3</v>
      </c>
      <c r="M120" s="6">
        <f t="shared" si="35"/>
        <v>5</v>
      </c>
      <c r="N120" s="6">
        <f t="shared" si="36"/>
        <v>0.99998999999999993</v>
      </c>
      <c r="O120" s="6">
        <f t="shared" si="37"/>
        <v>0.94</v>
      </c>
      <c r="P120" s="366">
        <f t="shared" si="31"/>
        <v>3.103097560394227</v>
      </c>
      <c r="Q120" s="6">
        <f t="shared" si="32"/>
        <v>12.25783456169815</v>
      </c>
      <c r="R120" s="6">
        <f t="shared" si="11"/>
        <v>0.94163731871432255</v>
      </c>
      <c r="S120" s="6">
        <f t="shared" si="20"/>
        <v>94.163731871432248</v>
      </c>
      <c r="T120" s="357">
        <f t="shared" si="14"/>
        <v>0.82851425359287134</v>
      </c>
      <c r="U120" s="358">
        <f>'Berekening trap 1'!H120*$T120</f>
        <v>0.43165949760586075</v>
      </c>
      <c r="V120" s="359">
        <f>'Berekening trap 1'!I120*$T120</f>
        <v>0.36619171402144146</v>
      </c>
      <c r="Y120" s="43">
        <f t="shared" si="15"/>
        <v>44</v>
      </c>
      <c r="Z120" s="6" t="str">
        <f>IF(INVOER!A79=0,"x",INVOER!A79)</f>
        <v>x</v>
      </c>
      <c r="AA120" s="6">
        <f>IF(INVOER!B$36&gt;INVOER!B$37,INVOER!B79,100-INVOER!B79)</f>
        <v>100</v>
      </c>
      <c r="AB120" s="6">
        <f t="shared" si="16"/>
        <v>44</v>
      </c>
      <c r="AC120" s="6">
        <f t="shared" si="12"/>
        <v>1</v>
      </c>
      <c r="AD120" s="44">
        <f>IF(INVOER!A79=0,10000,INVOER!A79)</f>
        <v>10000</v>
      </c>
    </row>
    <row r="121" spans="1:30" x14ac:dyDescent="0.2">
      <c r="A121" s="45">
        <f>A120*'Berekening trap 1'!H$58</f>
        <v>5.2120937648145835</v>
      </c>
      <c r="B121" s="46">
        <f t="shared" si="25"/>
        <v>5.0831677589721078</v>
      </c>
      <c r="C121" s="182">
        <f t="shared" si="17"/>
        <v>3.8652591047464946</v>
      </c>
      <c r="D121" s="201">
        <f t="shared" si="24"/>
        <v>0.49668780378268107</v>
      </c>
      <c r="E121" s="167">
        <f t="shared" si="26"/>
        <v>1</v>
      </c>
      <c r="F121" s="45">
        <f t="shared" si="27"/>
        <v>0.41630737761370024</v>
      </c>
      <c r="G121" s="183">
        <f t="shared" si="28"/>
        <v>1</v>
      </c>
      <c r="H121" s="171">
        <f t="shared" si="29"/>
        <v>0.49668780378268107</v>
      </c>
      <c r="I121" s="235">
        <f t="shared" si="30"/>
        <v>0.41630737761370024</v>
      </c>
      <c r="J121" s="238">
        <f>IF(INVOER!$S$36=1,100-H121*100,100-I121*100)</f>
        <v>58.369262238629979</v>
      </c>
      <c r="K121" s="43">
        <f t="shared" si="33"/>
        <v>2</v>
      </c>
      <c r="L121" s="6">
        <f t="shared" si="34"/>
        <v>5</v>
      </c>
      <c r="M121" s="6">
        <f t="shared" si="35"/>
        <v>10</v>
      </c>
      <c r="N121" s="6">
        <f t="shared" si="36"/>
        <v>0.94</v>
      </c>
      <c r="O121" s="6">
        <f t="shared" si="37"/>
        <v>0.82</v>
      </c>
      <c r="P121" s="366">
        <f t="shared" si="31"/>
        <v>1.6813444483045319</v>
      </c>
      <c r="Q121" s="6">
        <f t="shared" si="32"/>
        <v>26.165515883011505</v>
      </c>
      <c r="R121" s="6">
        <f t="shared" si="11"/>
        <v>0.93580151763294672</v>
      </c>
      <c r="S121" s="6">
        <f t="shared" si="20"/>
        <v>93.580151763294666</v>
      </c>
      <c r="T121" s="357">
        <f t="shared" si="14"/>
        <v>0.58358010813758243</v>
      </c>
      <c r="U121" s="361">
        <f>'Berekening trap 1'!H121*$T121</f>
        <v>0.28985712224211535</v>
      </c>
      <c r="V121" s="362">
        <f>'Berekening trap 1'!I121*$T121</f>
        <v>0.24294870444627656</v>
      </c>
      <c r="Y121" s="43">
        <f t="shared" si="15"/>
        <v>45</v>
      </c>
      <c r="Z121" s="6" t="str">
        <f>IF(INVOER!A80=0,"x",INVOER!A80)</f>
        <v>x</v>
      </c>
      <c r="AA121" s="6">
        <f>IF(INVOER!B$36&gt;INVOER!B$37,INVOER!B80,100-INVOER!B80)</f>
        <v>100</v>
      </c>
      <c r="AB121" s="6">
        <f t="shared" si="16"/>
        <v>45</v>
      </c>
      <c r="AC121" s="6">
        <f t="shared" si="12"/>
        <v>1</v>
      </c>
      <c r="AD121" s="44">
        <f>IF(INVOER!A80=0,10000,INVOER!A80)</f>
        <v>10000</v>
      </c>
    </row>
    <row r="122" spans="1:30" x14ac:dyDescent="0.2">
      <c r="A122" s="43">
        <f>A121*'Berekening trap 1'!H$58</f>
        <v>5.483366126826196</v>
      </c>
      <c r="B122" s="6">
        <f t="shared" si="25"/>
        <v>5.3477299458203902</v>
      </c>
      <c r="C122" s="168">
        <f t="shared" si="17"/>
        <v>4.0664331462055854</v>
      </c>
      <c r="D122" s="200">
        <f t="shared" si="24"/>
        <v>0.47212501025009906</v>
      </c>
      <c r="E122" s="197">
        <f t="shared" si="26"/>
        <v>1</v>
      </c>
      <c r="F122" s="43">
        <f t="shared" si="27"/>
        <v>0.39068880717952637</v>
      </c>
      <c r="G122" s="155">
        <f t="shared" si="28"/>
        <v>1</v>
      </c>
      <c r="H122" s="170">
        <f t="shared" si="29"/>
        <v>0.47212501025009906</v>
      </c>
      <c r="I122" s="179">
        <f t="shared" si="30"/>
        <v>0.39068880717952637</v>
      </c>
      <c r="J122" s="145">
        <f>IF(INVOER!$S$36=1,100-H122*100,100-I122*100)</f>
        <v>60.931119282047362</v>
      </c>
      <c r="K122" s="41">
        <f t="shared" si="33"/>
        <v>2</v>
      </c>
      <c r="L122" s="5">
        <f t="shared" si="34"/>
        <v>5</v>
      </c>
      <c r="M122" s="5">
        <f t="shared" si="35"/>
        <v>10</v>
      </c>
      <c r="N122" s="5">
        <f t="shared" si="36"/>
        <v>0.94</v>
      </c>
      <c r="O122" s="5">
        <f t="shared" si="37"/>
        <v>0.82</v>
      </c>
      <c r="P122" s="365">
        <f t="shared" si="31"/>
        <v>1.6813444483045319</v>
      </c>
      <c r="Q122" s="5">
        <f t="shared" si="32"/>
        <v>26.165515883011505</v>
      </c>
      <c r="R122" s="5">
        <f t="shared" si="11"/>
        <v>0.93028841121330652</v>
      </c>
      <c r="S122" s="5">
        <f t="shared" si="20"/>
        <v>93.028841121330657</v>
      </c>
      <c r="T122" s="363">
        <f t="shared" si="14"/>
        <v>0.55131064196402013</v>
      </c>
      <c r="U122" s="358">
        <f>'Berekening trap 1'!H122*$T122</f>
        <v>0.2602875424882517</v>
      </c>
      <c r="V122" s="359">
        <f>'Berekening trap 1'!I122*$T122</f>
        <v>0.21539089709430195</v>
      </c>
      <c r="Y122" s="43">
        <f t="shared" si="15"/>
        <v>46</v>
      </c>
      <c r="Z122" s="6" t="str">
        <f>IF(INVOER!A81=0,"x",INVOER!A81)</f>
        <v>x</v>
      </c>
      <c r="AA122" s="6">
        <f>IF(INVOER!B$36&gt;INVOER!B$37,INVOER!B81,100-INVOER!B81)</f>
        <v>100</v>
      </c>
      <c r="AB122" s="6">
        <f t="shared" si="16"/>
        <v>46</v>
      </c>
      <c r="AC122" s="6">
        <f t="shared" si="12"/>
        <v>1</v>
      </c>
      <c r="AD122" s="44">
        <f>IF(INVOER!A81=0,10000,INVOER!A81)</f>
        <v>10000</v>
      </c>
    </row>
    <row r="123" spans="1:30" x14ac:dyDescent="0.2">
      <c r="A123" s="43">
        <f>A122*'Berekening trap 1'!H$58</f>
        <v>5.7687573243215704</v>
      </c>
      <c r="B123" s="6">
        <f t="shared" si="25"/>
        <v>5.6260617255738836</v>
      </c>
      <c r="C123" s="168">
        <f t="shared" si="17"/>
        <v>4.2780776357925339</v>
      </c>
      <c r="D123" s="200">
        <f t="shared" si="24"/>
        <v>0.44739017967220335</v>
      </c>
      <c r="E123" s="197">
        <f t="shared" si="26"/>
        <v>1</v>
      </c>
      <c r="F123" s="43">
        <f t="shared" si="27"/>
        <v>0.36522852485802637</v>
      </c>
      <c r="G123" s="155">
        <f t="shared" si="28"/>
        <v>1</v>
      </c>
      <c r="H123" s="170">
        <f t="shared" si="29"/>
        <v>0.44739017967220335</v>
      </c>
      <c r="I123" s="179">
        <f t="shared" si="30"/>
        <v>0.36522852485802637</v>
      </c>
      <c r="J123" s="145">
        <f>IF(INVOER!$S$36=1,100-H123*100,100-I123*100)</f>
        <v>63.477147514197362</v>
      </c>
      <c r="K123" s="43">
        <f t="shared" si="33"/>
        <v>2</v>
      </c>
      <c r="L123" s="6">
        <f t="shared" si="34"/>
        <v>5</v>
      </c>
      <c r="M123" s="6">
        <f t="shared" si="35"/>
        <v>10</v>
      </c>
      <c r="N123" s="6">
        <f t="shared" si="36"/>
        <v>0.94</v>
      </c>
      <c r="O123" s="6">
        <f t="shared" si="37"/>
        <v>0.82</v>
      </c>
      <c r="P123" s="366">
        <f t="shared" si="31"/>
        <v>1.6813444483045319</v>
      </c>
      <c r="Q123" s="6">
        <f t="shared" si="32"/>
        <v>26.165515883011505</v>
      </c>
      <c r="R123" s="6">
        <f t="shared" si="11"/>
        <v>0.92432129403163488</v>
      </c>
      <c r="S123" s="6">
        <f t="shared" si="20"/>
        <v>92.432129403163486</v>
      </c>
      <c r="T123" s="357">
        <f t="shared" si="14"/>
        <v>0.5967117181671644</v>
      </c>
      <c r="U123" s="358">
        <f>'Berekening trap 1'!H123*$T123</f>
        <v>0.26696296280331683</v>
      </c>
      <c r="V123" s="359">
        <f>'Berekening trap 1'!I123*$T123</f>
        <v>0.21793614059169183</v>
      </c>
      <c r="Y123" s="43">
        <f t="shared" si="15"/>
        <v>47</v>
      </c>
      <c r="Z123" s="6" t="str">
        <f>IF(INVOER!A82=0,"x",INVOER!A82)</f>
        <v>x</v>
      </c>
      <c r="AA123" s="6">
        <f>IF(INVOER!B$36&gt;INVOER!B$37,INVOER!B82,100-INVOER!B82)</f>
        <v>100</v>
      </c>
      <c r="AB123" s="6">
        <f t="shared" si="16"/>
        <v>47</v>
      </c>
      <c r="AC123" s="6">
        <f t="shared" si="12"/>
        <v>1</v>
      </c>
      <c r="AD123" s="44">
        <f>IF(INVOER!A82=0,10000,INVOER!A82)</f>
        <v>10000</v>
      </c>
    </row>
    <row r="124" spans="1:30" x14ac:dyDescent="0.2">
      <c r="A124" s="43">
        <f>A123*'Berekening trap 1'!H$58</f>
        <v>6.0690021963161502</v>
      </c>
      <c r="B124" s="6">
        <f t="shared" si="25"/>
        <v>5.9188797603188608</v>
      </c>
      <c r="C124" s="168">
        <f t="shared" si="17"/>
        <v>4.500737525943566</v>
      </c>
      <c r="D124" s="200">
        <f t="shared" si="24"/>
        <v>0.42256342820737858</v>
      </c>
      <c r="E124" s="197">
        <f t="shared" si="26"/>
        <v>0.71506154129033561</v>
      </c>
      <c r="F124" s="43">
        <f t="shared" si="27"/>
        <v>0.3400284067847375</v>
      </c>
      <c r="G124" s="155">
        <f t="shared" si="28"/>
        <v>0.65705005657727389</v>
      </c>
      <c r="H124" s="170">
        <f t="shared" si="29"/>
        <v>0.42256342820737858</v>
      </c>
      <c r="I124" s="179">
        <f t="shared" si="30"/>
        <v>0.3400284067847375</v>
      </c>
      <c r="J124" s="145">
        <f>IF(INVOER!$S$36=1,100-H124*100,100-I124*100)</f>
        <v>65.997159321526254</v>
      </c>
      <c r="K124" s="43">
        <f t="shared" si="33"/>
        <v>2</v>
      </c>
      <c r="L124" s="6">
        <f t="shared" si="34"/>
        <v>5</v>
      </c>
      <c r="M124" s="6">
        <f t="shared" si="35"/>
        <v>10</v>
      </c>
      <c r="N124" s="6">
        <f t="shared" si="36"/>
        <v>0.94</v>
      </c>
      <c r="O124" s="6">
        <f t="shared" si="37"/>
        <v>0.82</v>
      </c>
      <c r="P124" s="366">
        <f t="shared" si="31"/>
        <v>1.6813444483045319</v>
      </c>
      <c r="Q124" s="6">
        <f t="shared" si="32"/>
        <v>26.165515883011505</v>
      </c>
      <c r="R124" s="6">
        <f t="shared" si="11"/>
        <v>0.91786632614741159</v>
      </c>
      <c r="S124" s="6">
        <f t="shared" si="20"/>
        <v>91.786632614741166</v>
      </c>
      <c r="T124" s="357">
        <f t="shared" si="14"/>
        <v>0.64549678842232838</v>
      </c>
      <c r="U124" s="358">
        <f>'Berekening trap 1'!H124*$T124</f>
        <v>0.27276333581259199</v>
      </c>
      <c r="V124" s="359">
        <f>'Berekening trap 1'!I124*$T124</f>
        <v>0.2194872445519091</v>
      </c>
      <c r="Y124" s="43">
        <f t="shared" si="15"/>
        <v>48</v>
      </c>
      <c r="Z124" s="6" t="str">
        <f>IF(INVOER!A83=0,"x",INVOER!A83)</f>
        <v>x</v>
      </c>
      <c r="AA124" s="6">
        <f>IF(INVOER!B$36&gt;INVOER!B$37,INVOER!B83,100-INVOER!B83)</f>
        <v>100</v>
      </c>
      <c r="AB124" s="6">
        <f t="shared" si="16"/>
        <v>48</v>
      </c>
      <c r="AC124" s="6">
        <f t="shared" si="12"/>
        <v>1</v>
      </c>
      <c r="AD124" s="44">
        <f>IF(INVOER!A83=0,10000,INVOER!A83)</f>
        <v>10000</v>
      </c>
    </row>
    <row r="125" spans="1:30" x14ac:dyDescent="0.2">
      <c r="A125" s="43">
        <f>A124*'Berekening trap 1'!H$58</f>
        <v>6.3848738277826493</v>
      </c>
      <c r="B125" s="6">
        <f t="shared" si="25"/>
        <v>6.2269380120494002</v>
      </c>
      <c r="C125" s="168">
        <f t="shared" si="17"/>
        <v>4.7349861320793858</v>
      </c>
      <c r="D125" s="200">
        <f t="shared" si="24"/>
        <v>0.39773032864283964</v>
      </c>
      <c r="E125" s="197">
        <f t="shared" si="26"/>
        <v>0.59389165235630748</v>
      </c>
      <c r="F125" s="43">
        <f t="shared" si="27"/>
        <v>0.31519292633402823</v>
      </c>
      <c r="G125" s="155">
        <f t="shared" si="28"/>
        <v>0.52073895167246553</v>
      </c>
      <c r="H125" s="170">
        <f t="shared" si="29"/>
        <v>0.39773032864283964</v>
      </c>
      <c r="I125" s="179">
        <f t="shared" si="30"/>
        <v>0.31519292633402823</v>
      </c>
      <c r="J125" s="145">
        <f>IF(INVOER!$S$36=1,100-H125*100,100-I125*100)</f>
        <v>68.480707366597173</v>
      </c>
      <c r="K125" s="43">
        <f t="shared" si="33"/>
        <v>2</v>
      </c>
      <c r="L125" s="6">
        <f t="shared" si="34"/>
        <v>5</v>
      </c>
      <c r="M125" s="6">
        <f t="shared" si="35"/>
        <v>10</v>
      </c>
      <c r="N125" s="6">
        <f t="shared" si="36"/>
        <v>0.94</v>
      </c>
      <c r="O125" s="6">
        <f t="shared" si="37"/>
        <v>0.82</v>
      </c>
      <c r="P125" s="366">
        <f t="shared" si="31"/>
        <v>1.6813444483045319</v>
      </c>
      <c r="Q125" s="6">
        <f t="shared" si="32"/>
        <v>26.165515883011505</v>
      </c>
      <c r="R125" s="6">
        <f t="shared" si="11"/>
        <v>0.91088780045711515</v>
      </c>
      <c r="S125" s="6">
        <f t="shared" si="20"/>
        <v>91.088780045711516</v>
      </c>
      <c r="T125" s="357">
        <f t="shared" si="14"/>
        <v>0.69785256902964443</v>
      </c>
      <c r="U125" s="358">
        <f>'Berekening trap 1'!H125*$T125</f>
        <v>0.27755713162441042</v>
      </c>
      <c r="V125" s="359">
        <f>'Berekening trap 1'!I125*$T125</f>
        <v>0.21995819338217307</v>
      </c>
      <c r="Y125" s="43">
        <f t="shared" si="15"/>
        <v>49</v>
      </c>
      <c r="Z125" s="6" t="str">
        <f>IF(INVOER!A84=0,"x",INVOER!A84)</f>
        <v>x</v>
      </c>
      <c r="AA125" s="6">
        <f>IF(INVOER!B$36&gt;INVOER!B$37,INVOER!B84,100-INVOER!B84)</f>
        <v>100</v>
      </c>
      <c r="AB125" s="6">
        <f t="shared" si="16"/>
        <v>49</v>
      </c>
      <c r="AC125" s="6">
        <f t="shared" si="12"/>
        <v>1</v>
      </c>
      <c r="AD125" s="44">
        <f>IF(INVOER!A84=0,10000,INVOER!A84)</f>
        <v>10000</v>
      </c>
    </row>
    <row r="126" spans="1:30" x14ac:dyDescent="0.2">
      <c r="A126" s="45">
        <f>A125*'Berekening trap 1'!H$58</f>
        <v>6.7171855402275122</v>
      </c>
      <c r="B126" s="46">
        <f t="shared" si="25"/>
        <v>6.5510296840050808</v>
      </c>
      <c r="C126" s="182">
        <f t="shared" si="17"/>
        <v>4.9814266088053643</v>
      </c>
      <c r="D126" s="201">
        <f t="shared" si="24"/>
        <v>0.37298135270392968</v>
      </c>
      <c r="E126" s="167">
        <f t="shared" si="26"/>
        <v>0.50886621283195932</v>
      </c>
      <c r="F126" s="45">
        <f t="shared" si="27"/>
        <v>0.29082792509822764</v>
      </c>
      <c r="G126" s="183">
        <f t="shared" si="28"/>
        <v>0.42912928289698721</v>
      </c>
      <c r="H126" s="171">
        <f t="shared" si="29"/>
        <v>0.37298135270392968</v>
      </c>
      <c r="I126" s="235">
        <f t="shared" si="30"/>
        <v>0.29082792509822764</v>
      </c>
      <c r="J126" s="145">
        <f>IF(INVOER!$S$36=1,100-H126*100,100-I126*100)</f>
        <v>70.917207490177233</v>
      </c>
      <c r="K126" s="43">
        <f t="shared" si="33"/>
        <v>2</v>
      </c>
      <c r="L126" s="6">
        <f t="shared" si="34"/>
        <v>5</v>
      </c>
      <c r="M126" s="6">
        <f t="shared" si="35"/>
        <v>10</v>
      </c>
      <c r="N126" s="6">
        <f t="shared" si="36"/>
        <v>0.94</v>
      </c>
      <c r="O126" s="6">
        <f t="shared" si="37"/>
        <v>0.82</v>
      </c>
      <c r="P126" s="366">
        <f t="shared" si="31"/>
        <v>1.6813444483045319</v>
      </c>
      <c r="Q126" s="6">
        <f t="shared" si="32"/>
        <v>26.165515883011505</v>
      </c>
      <c r="R126" s="6">
        <f t="shared" si="11"/>
        <v>0.90334816740159463</v>
      </c>
      <c r="S126" s="6">
        <f t="shared" si="20"/>
        <v>90.334816740159468</v>
      </c>
      <c r="T126" s="357">
        <f t="shared" si="14"/>
        <v>0.75396330555205227</v>
      </c>
      <c r="U126" s="361">
        <f>'Berekening trap 1'!H126*$T126</f>
        <v>0.28121425359393071</v>
      </c>
      <c r="V126" s="362">
        <f>'Berekening trap 1'!I126*$T126</f>
        <v>0.21927358375390438</v>
      </c>
      <c r="Y126" s="43">
        <f t="shared" si="15"/>
        <v>50</v>
      </c>
      <c r="Z126" s="6" t="str">
        <f>IF(INVOER!A85=0,"x",INVOER!A85)</f>
        <v>x</v>
      </c>
      <c r="AA126" s="6">
        <f>IF(INVOER!B$36&gt;INVOER!B$37,INVOER!B85,100-INVOER!B85)</f>
        <v>100</v>
      </c>
      <c r="AB126" s="6">
        <f t="shared" si="16"/>
        <v>50</v>
      </c>
      <c r="AC126" s="6">
        <f t="shared" si="12"/>
        <v>1</v>
      </c>
      <c r="AD126" s="44">
        <f>IF(INVOER!A85=0,10000,INVOER!A85)</f>
        <v>10000</v>
      </c>
    </row>
    <row r="127" spans="1:30" x14ac:dyDescent="0.2">
      <c r="A127" s="43">
        <f>A126*'Berekening trap 1'!H$58</f>
        <v>7.0667929858703467</v>
      </c>
      <c r="B127" s="6">
        <f t="shared" si="25"/>
        <v>6.891989263048929</v>
      </c>
      <c r="C127" s="168">
        <f t="shared" si="17"/>
        <v>5.240693502943099</v>
      </c>
      <c r="D127" s="200">
        <f t="shared" si="24"/>
        <v>0.34841115647805898</v>
      </c>
      <c r="E127" s="197">
        <f t="shared" si="26"/>
        <v>0.44264449165260528</v>
      </c>
      <c r="F127" s="43">
        <f t="shared" si="27"/>
        <v>0.2670392223226204</v>
      </c>
      <c r="G127" s="155">
        <f t="shared" si="28"/>
        <v>0.36038353564125009</v>
      </c>
      <c r="H127" s="170">
        <f t="shared" si="29"/>
        <v>0.34841115647805898</v>
      </c>
      <c r="I127" s="179">
        <f t="shared" si="30"/>
        <v>0.2670392223226204</v>
      </c>
      <c r="J127" s="147">
        <f>IF(INVOER!$S$36=1,100-H127*100,100-I127*100)</f>
        <v>73.296077767737955</v>
      </c>
      <c r="K127" s="41">
        <f t="shared" si="33"/>
        <v>2</v>
      </c>
      <c r="L127" s="5">
        <f t="shared" si="34"/>
        <v>5</v>
      </c>
      <c r="M127" s="5">
        <f t="shared" si="35"/>
        <v>10</v>
      </c>
      <c r="N127" s="5">
        <f t="shared" si="36"/>
        <v>0.94</v>
      </c>
      <c r="O127" s="5">
        <f t="shared" si="37"/>
        <v>0.82</v>
      </c>
      <c r="P127" s="365">
        <f t="shared" si="31"/>
        <v>1.6813444483045319</v>
      </c>
      <c r="Q127" s="5">
        <f t="shared" si="32"/>
        <v>26.165515883011505</v>
      </c>
      <c r="R127" s="5">
        <f t="shared" si="11"/>
        <v>0.89520809128778234</v>
      </c>
      <c r="S127" s="5">
        <f t="shared" si="20"/>
        <v>89.520809128778239</v>
      </c>
      <c r="T127" s="363">
        <f t="shared" si="14"/>
        <v>0.8140076113812289</v>
      </c>
      <c r="U127" s="358">
        <f>'Berekening trap 1'!H127*$T127</f>
        <v>0.28360933326327636</v>
      </c>
      <c r="V127" s="359">
        <f>'Berekening trap 1'!I127*$T127</f>
        <v>0.21737195950793717</v>
      </c>
      <c r="Y127" s="43">
        <f t="shared" si="15"/>
        <v>51</v>
      </c>
      <c r="Z127" s="6" t="str">
        <f>IF(INVOER!A86=0,"x",INVOER!A86)</f>
        <v>x</v>
      </c>
      <c r="AA127" s="6">
        <f>IF(INVOER!B$36&gt;INVOER!B$37,INVOER!B86,100-INVOER!B86)</f>
        <v>100</v>
      </c>
      <c r="AB127" s="6">
        <f t="shared" si="16"/>
        <v>51</v>
      </c>
      <c r="AC127" s="6">
        <f t="shared" si="12"/>
        <v>1</v>
      </c>
      <c r="AD127" s="44">
        <f>IF(INVOER!A86=0,10000,INVOER!A86)</f>
        <v>10000</v>
      </c>
    </row>
    <row r="128" spans="1:30" x14ac:dyDescent="0.2">
      <c r="A128" s="43">
        <f>A127*'Berekening trap 1'!H$58</f>
        <v>7.4345963508185102</v>
      </c>
      <c r="B128" s="6">
        <f t="shared" si="25"/>
        <v>7.250694668344428</v>
      </c>
      <c r="C128" s="168">
        <f t="shared" si="17"/>
        <v>5.5134543873921649</v>
      </c>
      <c r="D128" s="200">
        <f t="shared" si="24"/>
        <v>0.32411770304416998</v>
      </c>
      <c r="E128" s="197">
        <f t="shared" si="26"/>
        <v>0.38846073365586897</v>
      </c>
      <c r="F128" s="43">
        <f t="shared" si="27"/>
        <v>0.24393107889460236</v>
      </c>
      <c r="G128" s="155">
        <f t="shared" si="28"/>
        <v>0.30602099482551565</v>
      </c>
      <c r="H128" s="170">
        <f t="shared" si="29"/>
        <v>0.32411770304416998</v>
      </c>
      <c r="I128" s="179">
        <f t="shared" si="30"/>
        <v>0.24393107889460236</v>
      </c>
      <c r="J128" s="145">
        <f>IF(INVOER!$S$36=1,100-H128*100,100-I128*100)</f>
        <v>75.606892110539761</v>
      </c>
      <c r="K128" s="43">
        <f t="shared" si="33"/>
        <v>2</v>
      </c>
      <c r="L128" s="6">
        <f t="shared" si="34"/>
        <v>5</v>
      </c>
      <c r="M128" s="6">
        <f t="shared" si="35"/>
        <v>10</v>
      </c>
      <c r="N128" s="6">
        <f t="shared" si="36"/>
        <v>0.94</v>
      </c>
      <c r="O128" s="6">
        <f t="shared" si="37"/>
        <v>0.82</v>
      </c>
      <c r="P128" s="366">
        <f t="shared" si="31"/>
        <v>1.6813444483045319</v>
      </c>
      <c r="Q128" s="6">
        <f t="shared" si="32"/>
        <v>26.165515883011505</v>
      </c>
      <c r="R128" s="6">
        <f t="shared" si="11"/>
        <v>0.88642654487752559</v>
      </c>
      <c r="S128" s="6">
        <f t="shared" si="20"/>
        <v>88.642654487752566</v>
      </c>
      <c r="T128" s="357">
        <f t="shared" si="14"/>
        <v>0.87815464102567464</v>
      </c>
      <c r="U128" s="358">
        <f>'Berekening trap 1'!H128*$T128</f>
        <v>0.2846254651668193</v>
      </c>
      <c r="V128" s="359">
        <f>'Berekening trap 1'!I128*$T128</f>
        <v>0.21420920902169505</v>
      </c>
      <c r="Y128" s="43">
        <f t="shared" si="15"/>
        <v>52</v>
      </c>
      <c r="Z128" s="6" t="str">
        <f>IF(INVOER!A87=0,"x",INVOER!A87)</f>
        <v>x</v>
      </c>
      <c r="AA128" s="6">
        <f>IF(INVOER!B$36&gt;INVOER!B$37,INVOER!B87,100-INVOER!B87)</f>
        <v>100</v>
      </c>
      <c r="AB128" s="6">
        <f t="shared" si="16"/>
        <v>52</v>
      </c>
      <c r="AC128" s="6">
        <f t="shared" si="12"/>
        <v>1</v>
      </c>
      <c r="AD128" s="44">
        <f>IF(INVOER!A87=0,10000,INVOER!A87)</f>
        <v>10000</v>
      </c>
    </row>
    <row r="129" spans="1:30" x14ac:dyDescent="0.2">
      <c r="A129" s="43">
        <f>A128*'Berekening trap 1'!H$58</f>
        <v>7.8215426729097057</v>
      </c>
      <c r="B129" s="6">
        <f t="shared" si="25"/>
        <v>7.6280695118641084</v>
      </c>
      <c r="C129" s="168">
        <f t="shared" si="17"/>
        <v>5.8004115800290039</v>
      </c>
      <c r="D129" s="200">
        <f t="shared" si="24"/>
        <v>0.3002012205996798</v>
      </c>
      <c r="E129" s="197">
        <f t="shared" si="26"/>
        <v>0.34282627969852048</v>
      </c>
      <c r="F129" s="43">
        <f t="shared" si="27"/>
        <v>0.22160453996621085</v>
      </c>
      <c r="G129" s="155">
        <f t="shared" si="28"/>
        <v>0.26168973121371975</v>
      </c>
      <c r="H129" s="170">
        <f t="shared" si="29"/>
        <v>0.3002012205996798</v>
      </c>
      <c r="I129" s="179">
        <f t="shared" si="30"/>
        <v>0.22160453996621085</v>
      </c>
      <c r="J129" s="145">
        <f>IF(INVOER!$S$36=1,100-H129*100,100-I129*100)</f>
        <v>77.839546003378913</v>
      </c>
      <c r="K129" s="43">
        <f t="shared" si="33"/>
        <v>2</v>
      </c>
      <c r="L129" s="6">
        <f t="shared" si="34"/>
        <v>5</v>
      </c>
      <c r="M129" s="6">
        <f t="shared" si="35"/>
        <v>10</v>
      </c>
      <c r="N129" s="6">
        <f t="shared" si="36"/>
        <v>0.94</v>
      </c>
      <c r="O129" s="6">
        <f t="shared" si="37"/>
        <v>0.82</v>
      </c>
      <c r="P129" s="366">
        <f>(LN(LN(N129)/LN(O129)))/LN(L129/M129)</f>
        <v>1.6813444483045319</v>
      </c>
      <c r="Q129" s="6">
        <f>L129/((-LN(N129))^(1/P129))</f>
        <v>26.165515883011505</v>
      </c>
      <c r="R129" s="6">
        <f t="shared" si="11"/>
        <v>0.87696094978311667</v>
      </c>
      <c r="S129" s="6">
        <f t="shared" si="20"/>
        <v>87.696094978311663</v>
      </c>
      <c r="T129" s="357">
        <f t="shared" si="14"/>
        <v>0.94655950944089184</v>
      </c>
      <c r="U129" s="358">
        <f>'Berekening trap 1'!H129*$T129</f>
        <v>0.28415832010438985</v>
      </c>
      <c r="V129" s="359">
        <f>'Berekening trap 1'!I129*$T129</f>
        <v>0.20976188464029105</v>
      </c>
      <c r="Y129" s="43">
        <f t="shared" si="15"/>
        <v>53</v>
      </c>
      <c r="Z129" s="6" t="str">
        <f>IF(INVOER!A88=0,"x",INVOER!A88)</f>
        <v>x</v>
      </c>
      <c r="AA129" s="6">
        <f>IF(INVOER!B$36&gt;INVOER!B$37,INVOER!B88,100-INVOER!B88)</f>
        <v>100</v>
      </c>
      <c r="AB129" s="6">
        <f t="shared" si="16"/>
        <v>53</v>
      </c>
      <c r="AC129" s="6">
        <f t="shared" si="12"/>
        <v>1</v>
      </c>
      <c r="AD129" s="44">
        <f>IF(INVOER!A88=0,10000,INVOER!A88)</f>
        <v>10000</v>
      </c>
    </row>
    <row r="130" spans="1:30" x14ac:dyDescent="0.2">
      <c r="A130" s="43">
        <f>A129*'Berekening trap 1'!H$58</f>
        <v>8.2286282801906641</v>
      </c>
      <c r="B130" s="6">
        <f t="shared" si="25"/>
        <v>8.0250854765501849</v>
      </c>
      <c r="C130" s="168">
        <f t="shared" si="17"/>
        <v>6.1023039520688522</v>
      </c>
      <c r="D130" s="200">
        <f t="shared" si="24"/>
        <v>0.27676299955243455</v>
      </c>
      <c r="E130" s="197">
        <f t="shared" si="26"/>
        <v>0.3036615789883218</v>
      </c>
      <c r="F130" s="43">
        <f t="shared" si="27"/>
        <v>0.20015568878755466</v>
      </c>
      <c r="G130" s="155">
        <f t="shared" si="28"/>
        <v>0.2248079671661404</v>
      </c>
      <c r="H130" s="170">
        <f t="shared" si="29"/>
        <v>0.27676299955243455</v>
      </c>
      <c r="I130" s="179">
        <f t="shared" si="30"/>
        <v>0.20015568878755466</v>
      </c>
      <c r="J130" s="145">
        <f>IF(INVOER!$S$36=1,100-H130*100,100-I130*100)</f>
        <v>79.98443112124454</v>
      </c>
      <c r="K130" s="43">
        <f>VLOOKUP(A130,Z$76:AB$146,3)</f>
        <v>2</v>
      </c>
      <c r="L130" s="6">
        <f>IF(K130=0,VLOOKUP(1,Y$77:AA$146,2),VLOOKUP(K130,Y$76:Z$145,2))</f>
        <v>5</v>
      </c>
      <c r="M130" s="6">
        <f t="shared" si="35"/>
        <v>10</v>
      </c>
      <c r="N130" s="6">
        <f t="shared" si="36"/>
        <v>0.94</v>
      </c>
      <c r="O130" s="6">
        <f t="shared" si="37"/>
        <v>0.82</v>
      </c>
      <c r="P130" s="366">
        <f>(LN(LN(N130)/LN(O130)))/LN(L130/M130)</f>
        <v>1.6813444483045319</v>
      </c>
      <c r="Q130" s="6">
        <f t="shared" si="32"/>
        <v>26.165515883011505</v>
      </c>
      <c r="R130" s="6">
        <f t="shared" si="11"/>
        <v>0.86676737112882385</v>
      </c>
      <c r="S130" s="6">
        <f t="shared" si="20"/>
        <v>86.676737112882378</v>
      </c>
      <c r="T130" s="357">
        <f t="shared" si="14"/>
        <v>1.0193578654292823</v>
      </c>
      <c r="U130" s="358">
        <f>'Berekening trap 1'!H130*$T130</f>
        <v>0.2821205404535751</v>
      </c>
      <c r="V130" s="359">
        <f>'Berekening trap 1'!I130*$T130</f>
        <v>0.20403027567600945</v>
      </c>
      <c r="Y130" s="43">
        <f t="shared" si="15"/>
        <v>54</v>
      </c>
      <c r="Z130" s="6" t="str">
        <f>IF(INVOER!A89=0,"x",INVOER!A89)</f>
        <v>x</v>
      </c>
      <c r="AA130" s="6">
        <f>IF(INVOER!B$36&gt;INVOER!B$37,INVOER!B89,100-INVOER!B89)</f>
        <v>100</v>
      </c>
      <c r="AB130" s="6">
        <f t="shared" si="16"/>
        <v>54</v>
      </c>
      <c r="AC130" s="6">
        <f t="shared" si="12"/>
        <v>1</v>
      </c>
      <c r="AD130" s="44">
        <f>IF(INVOER!A89=0,10000,INVOER!A89)</f>
        <v>10000</v>
      </c>
    </row>
    <row r="131" spans="1:30" x14ac:dyDescent="0.2">
      <c r="A131" s="45">
        <f>A130*'Berekening trap 1'!H$58</f>
        <v>8.6569013563106374</v>
      </c>
      <c r="B131" s="46">
        <f t="shared" si="25"/>
        <v>8.4427648182506516</v>
      </c>
      <c r="C131" s="182">
        <f t="shared" si="17"/>
        <v>6.4199088305469756</v>
      </c>
      <c r="D131" s="201">
        <f t="shared" si="24"/>
        <v>0.25390403817262847</v>
      </c>
      <c r="E131" s="167">
        <f t="shared" si="26"/>
        <v>0.26960842544413949</v>
      </c>
      <c r="F131" s="45">
        <f t="shared" si="27"/>
        <v>0.1796738529865973</v>
      </c>
      <c r="G131" s="183">
        <f t="shared" si="28"/>
        <v>0.1936974453470946</v>
      </c>
      <c r="H131" s="171">
        <f t="shared" si="29"/>
        <v>0.25390403817262847</v>
      </c>
      <c r="I131" s="235">
        <f t="shared" si="30"/>
        <v>0.1796738529865973</v>
      </c>
      <c r="J131" s="238">
        <f>IF(INVOER!$S$36=1,100-H131*100,100-I131*100)</f>
        <v>82.032614701340265</v>
      </c>
      <c r="K131" s="43">
        <f t="shared" si="33"/>
        <v>2</v>
      </c>
      <c r="L131" s="6">
        <f t="shared" si="34"/>
        <v>5</v>
      </c>
      <c r="M131" s="6">
        <f t="shared" si="35"/>
        <v>10</v>
      </c>
      <c r="N131" s="6">
        <f t="shared" si="36"/>
        <v>0.94</v>
      </c>
      <c r="O131" s="6">
        <f t="shared" si="37"/>
        <v>0.82</v>
      </c>
      <c r="P131" s="366">
        <f t="shared" si="31"/>
        <v>1.6813444483045319</v>
      </c>
      <c r="Q131" s="6">
        <f t="shared" si="32"/>
        <v>26.165515883011505</v>
      </c>
      <c r="R131" s="6">
        <f t="shared" si="11"/>
        <v>0.85580077586323633</v>
      </c>
      <c r="S131" s="6">
        <f t="shared" si="20"/>
        <v>85.58007758632364</v>
      </c>
      <c r="T131" s="357">
        <f t="shared" si="14"/>
        <v>1.096659526558752</v>
      </c>
      <c r="U131" s="361">
        <f>'Berekening trap 1'!H131*$T131</f>
        <v>0.27844628229375001</v>
      </c>
      <c r="V131" s="362">
        <f>'Berekening trap 1'!I131*$T131</f>
        <v>0.19704104255126861</v>
      </c>
      <c r="Y131" s="43">
        <f t="shared" si="15"/>
        <v>55</v>
      </c>
      <c r="Z131" s="6" t="str">
        <f>IF(INVOER!A90=0,"x",INVOER!A90)</f>
        <v>x</v>
      </c>
      <c r="AA131" s="6">
        <f>IF(INVOER!B$36&gt;INVOER!B$37,INVOER!B90,100-INVOER!B90)</f>
        <v>100</v>
      </c>
      <c r="AB131" s="6">
        <f t="shared" si="16"/>
        <v>55</v>
      </c>
      <c r="AC131" s="6">
        <f t="shared" si="12"/>
        <v>1</v>
      </c>
      <c r="AD131" s="44">
        <f>IF(INVOER!A90=0,10000,INVOER!A90)</f>
        <v>10000</v>
      </c>
    </row>
    <row r="132" spans="1:30" x14ac:dyDescent="0.2">
      <c r="A132" s="43">
        <f>A131*'Berekening trap 1'!H$58</f>
        <v>9.1074646394352001</v>
      </c>
      <c r="B132" s="6">
        <f t="shared" si="25"/>
        <v>8.8821829978729188</v>
      </c>
      <c r="C132" s="168">
        <f t="shared" si="17"/>
        <v>6.7540439998177915</v>
      </c>
      <c r="D132" s="200">
        <f t="shared" si="24"/>
        <v>0.23172355339139022</v>
      </c>
      <c r="E132" s="197">
        <f t="shared" si="26"/>
        <v>0.23972136178608913</v>
      </c>
      <c r="F132" s="43">
        <f t="shared" si="27"/>
        <v>0.16023981288404607</v>
      </c>
      <c r="G132" s="155">
        <f t="shared" si="28"/>
        <v>0.16719550401274016</v>
      </c>
      <c r="H132" s="170">
        <f t="shared" si="29"/>
        <v>0.23172355339139022</v>
      </c>
      <c r="I132" s="179">
        <f t="shared" si="30"/>
        <v>0.16023981288404607</v>
      </c>
      <c r="J132" s="145">
        <f>IF(INVOER!$S$36=1,100-H132*100,100-I132*100)</f>
        <v>83.976018711595401</v>
      </c>
      <c r="K132" s="41">
        <f t="shared" si="33"/>
        <v>2</v>
      </c>
      <c r="L132" s="5">
        <f t="shared" si="34"/>
        <v>5</v>
      </c>
      <c r="M132" s="5">
        <f t="shared" si="35"/>
        <v>10</v>
      </c>
      <c r="N132" s="5">
        <f t="shared" si="36"/>
        <v>0.94</v>
      </c>
      <c r="O132" s="5">
        <f t="shared" si="37"/>
        <v>0.82</v>
      </c>
      <c r="P132" s="365">
        <f t="shared" si="31"/>
        <v>1.6813444483045319</v>
      </c>
      <c r="Q132" s="5">
        <f t="shared" si="32"/>
        <v>26.165515883011505</v>
      </c>
      <c r="R132" s="5">
        <f t="shared" si="11"/>
        <v>0.84401536499990215</v>
      </c>
      <c r="S132" s="5">
        <f t="shared" si="20"/>
        <v>84.401536499990215</v>
      </c>
      <c r="T132" s="363">
        <f>IF(M132="x",0,(R131-R132)*100)</f>
        <v>1.1785410863334178</v>
      </c>
      <c r="U132" s="358">
        <f>'Berekening trap 1'!H132*$T132</f>
        <v>0.27309572834292878</v>
      </c>
      <c r="V132" s="359">
        <f>'Berekening trap 1'!I132*$T132</f>
        <v>0.18884920315022724</v>
      </c>
      <c r="Y132" s="43">
        <f t="shared" si="15"/>
        <v>56</v>
      </c>
      <c r="Z132" s="6" t="str">
        <f>IF(INVOER!A91=0,"x",INVOER!A91)</f>
        <v>x</v>
      </c>
      <c r="AA132" s="6">
        <f>IF(INVOER!B$36&gt;INVOER!B$37,INVOER!B91,100-INVOER!B91)</f>
        <v>100</v>
      </c>
      <c r="AB132" s="6">
        <f t="shared" si="16"/>
        <v>56</v>
      </c>
      <c r="AC132" s="6">
        <f t="shared" si="12"/>
        <v>1</v>
      </c>
      <c r="AD132" s="44">
        <f>IF(INVOER!A91=0,10000,INVOER!A91)</f>
        <v>10000</v>
      </c>
    </row>
    <row r="133" spans="1:30" x14ac:dyDescent="0.2">
      <c r="A133" s="43">
        <f>A132*'Berekening trap 1'!H$58</f>
        <v>9.581478261629643</v>
      </c>
      <c r="B133" s="6">
        <f t="shared" si="25"/>
        <v>9.3444714505324207</v>
      </c>
      <c r="C133" s="168">
        <f t="shared" si="17"/>
        <v>7.1055698072254616</v>
      </c>
      <c r="D133" s="200">
        <f t="shared" si="24"/>
        <v>0.21031738102254002</v>
      </c>
      <c r="E133" s="197">
        <f t="shared" si="26"/>
        <v>0.2133102625294806</v>
      </c>
      <c r="F133" s="43">
        <f t="shared" si="27"/>
        <v>0.14192406891569781</v>
      </c>
      <c r="G133" s="155">
        <f t="shared" si="28"/>
        <v>0.14445770891864301</v>
      </c>
      <c r="H133" s="170">
        <f t="shared" si="29"/>
        <v>0.21031738102254002</v>
      </c>
      <c r="I133" s="179">
        <f t="shared" si="30"/>
        <v>0.14192406891569781</v>
      </c>
      <c r="J133" s="145">
        <f>IF(INVOER!$S$36=1,100-H133*100,100-I133*100)</f>
        <v>85.807593108430211</v>
      </c>
      <c r="K133" s="43">
        <f t="shared" si="33"/>
        <v>2</v>
      </c>
      <c r="L133" s="6">
        <f t="shared" si="34"/>
        <v>5</v>
      </c>
      <c r="M133" s="6">
        <f t="shared" si="35"/>
        <v>10</v>
      </c>
      <c r="N133" s="6">
        <f t="shared" si="36"/>
        <v>0.94</v>
      </c>
      <c r="O133" s="6">
        <f t="shared" si="37"/>
        <v>0.82</v>
      </c>
      <c r="P133" s="366">
        <f t="shared" si="31"/>
        <v>1.6813444483045319</v>
      </c>
      <c r="Q133" s="6">
        <f t="shared" si="32"/>
        <v>26.165515883011505</v>
      </c>
      <c r="R133" s="6">
        <f t="shared" si="11"/>
        <v>0.83136499087065008</v>
      </c>
      <c r="S133" s="6">
        <f t="shared" si="20"/>
        <v>83.136499087065005</v>
      </c>
      <c r="T133" s="357">
        <f t="shared" si="14"/>
        <v>1.2650374129252073</v>
      </c>
      <c r="U133" s="358">
        <f>'Berekening trap 1'!H133*$T133</f>
        <v>0.26605935558195914</v>
      </c>
      <c r="V133" s="359">
        <f>'Berekening trap 1'!I133*$T133</f>
        <v>0.17953925697293319</v>
      </c>
      <c r="Y133" s="43">
        <f t="shared" si="15"/>
        <v>57</v>
      </c>
      <c r="Z133" s="6" t="str">
        <f>IF(INVOER!A92=0,"x",INVOER!A92)</f>
        <v>x</v>
      </c>
      <c r="AA133" s="6">
        <f>IF(INVOER!B$36&gt;INVOER!B$37,INVOER!B92,100-INVOER!B92)</f>
        <v>100</v>
      </c>
      <c r="AB133" s="6">
        <f t="shared" si="16"/>
        <v>57</v>
      </c>
      <c r="AC133" s="6">
        <f t="shared" si="12"/>
        <v>1</v>
      </c>
      <c r="AD133" s="44">
        <f>IF(INVOER!A92=0,10000,INVOER!A92)</f>
        <v>10000</v>
      </c>
    </row>
    <row r="134" spans="1:30" x14ac:dyDescent="0.2">
      <c r="A134" s="43">
        <f>A133*'Berekening trap 1'!H$58</f>
        <v>10.080162736022951</v>
      </c>
      <c r="B134" s="6">
        <f t="shared" si="25"/>
        <v>9.8308204988262968</v>
      </c>
      <c r="C134" s="168">
        <f t="shared" si="17"/>
        <v>7.4753913783677124</v>
      </c>
      <c r="D134" s="200">
        <f t="shared" si="24"/>
        <v>0.1897762978149026</v>
      </c>
      <c r="E134" s="197">
        <f t="shared" si="26"/>
        <v>0.18985238448567551</v>
      </c>
      <c r="F134" s="43">
        <f t="shared" si="27"/>
        <v>0.12478523119962932</v>
      </c>
      <c r="G134" s="155">
        <f t="shared" si="28"/>
        <v>0.12484788539556506</v>
      </c>
      <c r="H134" s="170">
        <f t="shared" si="29"/>
        <v>0.1897762978149026</v>
      </c>
      <c r="I134" s="179">
        <f t="shared" si="30"/>
        <v>0.12478523119962932</v>
      </c>
      <c r="J134" s="145">
        <f>IF(INVOER!$S$36=1,100-H134*100,100-I134*100)</f>
        <v>87.521476880037071</v>
      </c>
      <c r="K134" s="43">
        <f t="shared" si="33"/>
        <v>3</v>
      </c>
      <c r="L134" s="6">
        <f t="shared" si="34"/>
        <v>10</v>
      </c>
      <c r="M134" s="6">
        <f t="shared" si="35"/>
        <v>15</v>
      </c>
      <c r="N134" s="6">
        <f t="shared" si="36"/>
        <v>0.82</v>
      </c>
      <c r="O134" s="6">
        <f t="shared" si="37"/>
        <v>0.61099999999999999</v>
      </c>
      <c r="P134" s="366">
        <f t="shared" si="31"/>
        <v>2.2425455182678649</v>
      </c>
      <c r="Q134" s="6">
        <f t="shared" si="32"/>
        <v>20.567986985971981</v>
      </c>
      <c r="R134" s="6">
        <f t="shared" si="11"/>
        <v>0.8170653153497287</v>
      </c>
      <c r="S134" s="6">
        <f t="shared" si="20"/>
        <v>81.706531534972868</v>
      </c>
      <c r="T134" s="357">
        <f t="shared" si="14"/>
        <v>1.4299675520921373</v>
      </c>
      <c r="U134" s="358">
        <f>'Berekening trap 1'!H134*$T134</f>
        <v>0.27137394803148468</v>
      </c>
      <c r="V134" s="359">
        <f>'Berekening trap 1'!I134*$T134</f>
        <v>0.17843883159578536</v>
      </c>
      <c r="Y134" s="43">
        <f t="shared" si="15"/>
        <v>58</v>
      </c>
      <c r="Z134" s="6" t="str">
        <f>IF(INVOER!A93=0,"x",INVOER!A93)</f>
        <v>x</v>
      </c>
      <c r="AA134" s="6">
        <f>IF(INVOER!B$36&gt;INVOER!B$37,INVOER!B93,100-INVOER!B93)</f>
        <v>100</v>
      </c>
      <c r="AB134" s="6">
        <f t="shared" si="16"/>
        <v>58</v>
      </c>
      <c r="AC134" s="6">
        <f t="shared" si="12"/>
        <v>1</v>
      </c>
      <c r="AD134" s="44">
        <f>IF(INVOER!A93=0,10000,INVOER!A93)</f>
        <v>10000</v>
      </c>
    </row>
    <row r="135" spans="1:30" x14ac:dyDescent="0.2">
      <c r="A135" s="43">
        <f>A134*'Berekening trap 1'!H$58</f>
        <v>10.604802099443855</v>
      </c>
      <c r="B135" s="6">
        <f t="shared" si="25"/>
        <v>10.342482417733404</v>
      </c>
      <c r="C135" s="168">
        <f t="shared" si="17"/>
        <v>7.8644609476568599</v>
      </c>
      <c r="D135" s="200">
        <f t="shared" si="24"/>
        <v>0.17018430595873077</v>
      </c>
      <c r="E135" s="197">
        <f t="shared" si="26"/>
        <v>0.16893975807507572</v>
      </c>
      <c r="F135" s="43">
        <f t="shared" si="27"/>
        <v>0.10886859803037187</v>
      </c>
      <c r="G135" s="155">
        <f t="shared" si="28"/>
        <v>0.10787252400931109</v>
      </c>
      <c r="H135" s="170">
        <f t="shared" si="29"/>
        <v>0.17018430595873077</v>
      </c>
      <c r="I135" s="179">
        <f t="shared" si="30"/>
        <v>0.10886859803037187</v>
      </c>
      <c r="J135" s="145">
        <f>IF(INVOER!$S$36=1,100-H135*100,100-I135*100)</f>
        <v>89.113140196962817</v>
      </c>
      <c r="K135" s="43">
        <f t="shared" si="33"/>
        <v>3</v>
      </c>
      <c r="L135" s="6">
        <f t="shared" si="34"/>
        <v>10</v>
      </c>
      <c r="M135" s="6">
        <f t="shared" si="35"/>
        <v>15</v>
      </c>
      <c r="N135" s="6">
        <f t="shared" si="36"/>
        <v>0.82</v>
      </c>
      <c r="O135" s="6">
        <f t="shared" si="37"/>
        <v>0.61099999999999999</v>
      </c>
      <c r="P135" s="366">
        <f t="shared" si="31"/>
        <v>2.2425455182678649</v>
      </c>
      <c r="Q135" s="6">
        <f t="shared" si="32"/>
        <v>20.567986985971981</v>
      </c>
      <c r="R135" s="6">
        <f t="shared" si="11"/>
        <v>0.79741262700115056</v>
      </c>
      <c r="S135" s="6">
        <f t="shared" si="20"/>
        <v>79.741262700115058</v>
      </c>
      <c r="T135" s="357">
        <f t="shared" si="14"/>
        <v>1.965268834857814</v>
      </c>
      <c r="U135" s="358">
        <f>'Berekening trap 1'!H135*$T135</f>
        <v>0.33445791268260056</v>
      </c>
      <c r="V135" s="359">
        <f>'Berekening trap 1'!I135*$T135</f>
        <v>0.21395606280375262</v>
      </c>
      <c r="Y135" s="43">
        <f t="shared" si="15"/>
        <v>59</v>
      </c>
      <c r="Z135" s="6" t="str">
        <f>IF(INVOER!A94=0,"x",INVOER!A94)</f>
        <v>x</v>
      </c>
      <c r="AA135" s="6">
        <f>IF(INVOER!B$36&gt;INVOER!B$37,INVOER!B94,100-INVOER!B94)</f>
        <v>100</v>
      </c>
      <c r="AB135" s="6">
        <f t="shared" si="16"/>
        <v>59</v>
      </c>
      <c r="AC135" s="6">
        <f t="shared" si="12"/>
        <v>1</v>
      </c>
      <c r="AD135" s="44">
        <f>IF(INVOER!A94=0,10000,INVOER!A94)</f>
        <v>10000</v>
      </c>
    </row>
    <row r="136" spans="1:30" x14ac:dyDescent="0.2">
      <c r="A136" s="45">
        <f>A135*'Berekening trap 1'!H$58</f>
        <v>11.156747218620771</v>
      </c>
      <c r="B136" s="46">
        <f t="shared" si="25"/>
        <v>10.880774659032312</v>
      </c>
      <c r="C136" s="182">
        <f t="shared" si="17"/>
        <v>8.2737803101788909</v>
      </c>
      <c r="D136" s="201">
        <f t="shared" si="24"/>
        <v>0.1516169285147525</v>
      </c>
      <c r="E136" s="167">
        <f t="shared" si="26"/>
        <v>0.15024599923503676</v>
      </c>
      <c r="F136" s="45">
        <f t="shared" si="27"/>
        <v>9.4204990898274707E-2</v>
      </c>
      <c r="G136" s="183">
        <f t="shared" si="28"/>
        <v>9.3139516688003049E-2</v>
      </c>
      <c r="H136" s="171">
        <f t="shared" si="29"/>
        <v>0.1516169285147525</v>
      </c>
      <c r="I136" s="235">
        <f t="shared" si="30"/>
        <v>9.4204990898274707E-2</v>
      </c>
      <c r="J136" s="145">
        <f>IF(INVOER!$S$36=1,100-H136*100,100-I136*100)</f>
        <v>90.579500910172527</v>
      </c>
      <c r="K136" s="43">
        <f t="shared" si="33"/>
        <v>3</v>
      </c>
      <c r="L136" s="6">
        <f t="shared" si="34"/>
        <v>10</v>
      </c>
      <c r="M136" s="6">
        <f t="shared" si="35"/>
        <v>15</v>
      </c>
      <c r="N136" s="6">
        <f t="shared" si="36"/>
        <v>0.82</v>
      </c>
      <c r="O136" s="6">
        <f t="shared" si="37"/>
        <v>0.61099999999999999</v>
      </c>
      <c r="P136" s="366">
        <f t="shared" si="31"/>
        <v>2.2425455182678649</v>
      </c>
      <c r="Q136" s="6">
        <f t="shared" si="32"/>
        <v>20.567986985971981</v>
      </c>
      <c r="R136" s="6">
        <f t="shared" si="11"/>
        <v>0.77595268776863791</v>
      </c>
      <c r="S136" s="6">
        <f t="shared" si="20"/>
        <v>77.59526877686379</v>
      </c>
      <c r="T136" s="357">
        <f t="shared" si="14"/>
        <v>2.1459939232512659</v>
      </c>
      <c r="U136" s="361">
        <f>'Berekening trap 1'!H136*$T136</f>
        <v>0.32536900725468043</v>
      </c>
      <c r="V136" s="362">
        <f>'Berekening trap 1'!I136*$T136</f>
        <v>0.20216333800763833</v>
      </c>
      <c r="Y136" s="43">
        <f t="shared" si="15"/>
        <v>60</v>
      </c>
      <c r="Z136" s="6" t="str">
        <f>IF(INVOER!A95=0,"x",INVOER!A95)</f>
        <v>x</v>
      </c>
      <c r="AA136" s="6">
        <f>IF(INVOER!B$36&gt;INVOER!B$37,INVOER!B95,100-INVOER!B95)</f>
        <v>100</v>
      </c>
      <c r="AB136" s="6">
        <f t="shared" si="16"/>
        <v>60</v>
      </c>
      <c r="AC136" s="6">
        <f t="shared" si="12"/>
        <v>1</v>
      </c>
      <c r="AD136" s="44">
        <f>IF(INVOER!A95=0,10000,INVOER!A95)</f>
        <v>10000</v>
      </c>
    </row>
    <row r="137" spans="1:30" x14ac:dyDescent="0.2">
      <c r="A137" s="43">
        <f>A136*'Berekening trap 1'!H$58</f>
        <v>11.737419268458579</v>
      </c>
      <c r="B137" s="6">
        <f t="shared" si="25"/>
        <v>11.447083243539675</v>
      </c>
      <c r="C137" s="168">
        <f t="shared" si="17"/>
        <v>8.7044034011637557</v>
      </c>
      <c r="D137" s="200">
        <f t="shared" si="24"/>
        <v>0.13413957115778916</v>
      </c>
      <c r="E137" s="197">
        <f t="shared" si="26"/>
        <v>0.13350446123031021</v>
      </c>
      <c r="F137" s="43">
        <f t="shared" si="27"/>
        <v>8.0809910866402587E-2</v>
      </c>
      <c r="G137" s="155">
        <f t="shared" si="28"/>
        <v>8.0331065525941728E-2</v>
      </c>
      <c r="H137" s="170">
        <f t="shared" si="29"/>
        <v>0.13413957115778916</v>
      </c>
      <c r="I137" s="179">
        <f t="shared" si="30"/>
        <v>8.0809910866402587E-2</v>
      </c>
      <c r="J137" s="147">
        <f>IF(INVOER!$S$36=1,100-H137*100,100-I137*100)</f>
        <v>91.919008913359747</v>
      </c>
      <c r="K137" s="41">
        <f t="shared" si="33"/>
        <v>3</v>
      </c>
      <c r="L137" s="5">
        <f t="shared" si="34"/>
        <v>10</v>
      </c>
      <c r="M137" s="5">
        <f t="shared" si="35"/>
        <v>15</v>
      </c>
      <c r="N137" s="5">
        <f t="shared" si="36"/>
        <v>0.82</v>
      </c>
      <c r="O137" s="5">
        <f t="shared" si="37"/>
        <v>0.61099999999999999</v>
      </c>
      <c r="P137" s="365">
        <f t="shared" si="31"/>
        <v>2.2425455182678649</v>
      </c>
      <c r="Q137" s="5">
        <f t="shared" si="32"/>
        <v>20.567986985971981</v>
      </c>
      <c r="R137" s="5">
        <f t="shared" si="11"/>
        <v>0.75259204792358647</v>
      </c>
      <c r="S137" s="5">
        <f t="shared" si="20"/>
        <v>75.259204792358645</v>
      </c>
      <c r="T137" s="363">
        <f t="shared" si="14"/>
        <v>2.3360639845051434</v>
      </c>
      <c r="U137" s="358">
        <f>'Berekening trap 1'!H137*$T137</f>
        <v>0.31335862107867613</v>
      </c>
      <c r="V137" s="359">
        <f>'Berekening trap 1'!I137*$T137</f>
        <v>0.18877712236607391</v>
      </c>
      <c r="Y137" s="43">
        <f t="shared" si="15"/>
        <v>61</v>
      </c>
      <c r="Z137" s="6" t="str">
        <f>IF(INVOER!A96=0,"x",INVOER!A96)</f>
        <v>x</v>
      </c>
      <c r="AA137" s="6">
        <f>IF(INVOER!B$36&gt;INVOER!B$37,INVOER!B96,100-INVOER!B96)</f>
        <v>100</v>
      </c>
      <c r="AB137" s="6">
        <f t="shared" si="16"/>
        <v>61</v>
      </c>
      <c r="AC137" s="6">
        <f t="shared" si="12"/>
        <v>1</v>
      </c>
      <c r="AD137" s="44">
        <f>IF(INVOER!A96=0,10000,INVOER!A96)</f>
        <v>10000</v>
      </c>
    </row>
    <row r="138" spans="1:30" x14ac:dyDescent="0.2">
      <c r="A138" s="43">
        <f>A137*'Berekening trap 1'!H$58</f>
        <v>12.348313391348297</v>
      </c>
      <c r="B138" s="6">
        <f t="shared" si="25"/>
        <v>12.042866329903438</v>
      </c>
      <c r="C138" s="168">
        <f t="shared" si="17"/>
        <v>9.1574390097086091</v>
      </c>
      <c r="D138" s="200">
        <f t="shared" si="24"/>
        <v>0.11780601100267524</v>
      </c>
      <c r="E138" s="197">
        <f t="shared" si="26"/>
        <v>0.118493341500075</v>
      </c>
      <c r="F138" s="43">
        <f t="shared" si="27"/>
        <v>6.8683074266736324E-2</v>
      </c>
      <c r="G138" s="155">
        <f t="shared" si="28"/>
        <v>6.9185261097820847E-2</v>
      </c>
      <c r="H138" s="170">
        <f t="shared" si="29"/>
        <v>0.118493341500075</v>
      </c>
      <c r="I138" s="179">
        <f t="shared" si="30"/>
        <v>6.9185261097820847E-2</v>
      </c>
      <c r="J138" s="145">
        <f>IF(INVOER!$S$36=1,100-H138*100,100-I138*100)</f>
        <v>93.081473890217922</v>
      </c>
      <c r="K138" s="43">
        <f t="shared" si="33"/>
        <v>3</v>
      </c>
      <c r="L138" s="6">
        <f t="shared" si="34"/>
        <v>10</v>
      </c>
      <c r="M138" s="6">
        <f t="shared" si="35"/>
        <v>15</v>
      </c>
      <c r="N138" s="6">
        <f t="shared" si="36"/>
        <v>0.82</v>
      </c>
      <c r="O138" s="6">
        <f t="shared" si="37"/>
        <v>0.61099999999999999</v>
      </c>
      <c r="P138" s="366">
        <f t="shared" si="31"/>
        <v>2.2425455182678649</v>
      </c>
      <c r="Q138" s="6">
        <f t="shared" si="32"/>
        <v>20.567986985971981</v>
      </c>
      <c r="R138" s="6">
        <f t="shared" si="11"/>
        <v>0.72725079506516255</v>
      </c>
      <c r="S138" s="6">
        <f t="shared" si="20"/>
        <v>72.725079506516252</v>
      </c>
      <c r="T138" s="357">
        <f t="shared" si="14"/>
        <v>2.5341252858423924</v>
      </c>
      <c r="U138" s="358">
        <f>'Berekening trap 1'!H138*$T138</f>
        <v>0.30027697289929778</v>
      </c>
      <c r="V138" s="359">
        <f>'Berekening trap 1'!I138*$T138</f>
        <v>0.17532411955559579</v>
      </c>
      <c r="Y138" s="43">
        <f t="shared" si="15"/>
        <v>62</v>
      </c>
      <c r="Z138" s="6" t="str">
        <f>IF(INVOER!A97=0,"x",INVOER!A97)</f>
        <v>x</v>
      </c>
      <c r="AA138" s="6">
        <f>IF(INVOER!B$36&gt;INVOER!B$37,INVOER!B97,100-INVOER!B97)</f>
        <v>100</v>
      </c>
      <c r="AB138" s="6">
        <f t="shared" si="16"/>
        <v>62</v>
      </c>
      <c r="AC138" s="6">
        <f t="shared" si="12"/>
        <v>1</v>
      </c>
      <c r="AD138" s="44">
        <f>IF(INVOER!A97=0,10000,INVOER!A97)</f>
        <v>10000</v>
      </c>
    </row>
    <row r="139" spans="1:30" x14ac:dyDescent="0.2">
      <c r="A139" s="43">
        <f>A138*'Berekening trap 1'!H$58</f>
        <v>12.991002546931792</v>
      </c>
      <c r="B139" s="6">
        <f t="shared" ref="B139:B174" si="38">(A138+A139)/2</f>
        <v>12.669657969140044</v>
      </c>
      <c r="C139" s="168">
        <f t="shared" si="17"/>
        <v>9.6340536337414342</v>
      </c>
      <c r="D139" s="200">
        <f t="shared" si="24"/>
        <v>0.1026570764379599</v>
      </c>
      <c r="E139" s="197">
        <f t="shared" ref="E139:E175" si="39">IF(C139-$K$36&gt;0,EXP(-(((C139-$K$36)/$K$38)^$K$40)),1)</f>
        <v>0.10502523123942385</v>
      </c>
      <c r="F139" s="43">
        <f t="shared" ref="F139:F175" si="40">D139^($B$54*$B$63)</f>
        <v>5.780837439445316E-2</v>
      </c>
      <c r="G139" s="155">
        <f t="shared" ref="G139:G175" si="41">E139^($B$54*$B$63)</f>
        <v>5.948318246237496E-2</v>
      </c>
      <c r="H139" s="170">
        <f t="shared" ref="H139:H175" si="42">IF(C139&lt;$K$41,D139,E139)</f>
        <v>0.10502523123942385</v>
      </c>
      <c r="I139" s="179">
        <f t="shared" ref="I139:I175" si="43">IF(C139&lt;$K$41,F139,G139)</f>
        <v>5.948318246237496E-2</v>
      </c>
      <c r="J139" s="145">
        <f>IF(INVOER!$S$36=1,100-H139*100,100-I139*100)</f>
        <v>94.051681753762509</v>
      </c>
      <c r="K139" s="43">
        <f t="shared" si="33"/>
        <v>3</v>
      </c>
      <c r="L139" s="6">
        <f t="shared" si="34"/>
        <v>10</v>
      </c>
      <c r="M139" s="6">
        <f t="shared" si="35"/>
        <v>15</v>
      </c>
      <c r="N139" s="6">
        <f t="shared" si="36"/>
        <v>0.82</v>
      </c>
      <c r="O139" s="6">
        <f t="shared" si="37"/>
        <v>0.61099999999999999</v>
      </c>
      <c r="P139" s="366">
        <f t="shared" ref="P139:P175" si="44">(LN(LN(N139)/LN(O139)))/LN(L139/M139)</f>
        <v>2.2425455182678649</v>
      </c>
      <c r="Q139" s="6">
        <f t="shared" ref="Q139:Q175" si="45">L139/((-LN(N139))^(1/P139))</f>
        <v>20.567986985971981</v>
      </c>
      <c r="R139" s="6">
        <f t="shared" si="11"/>
        <v>0.69986809071131162</v>
      </c>
      <c r="S139" s="6">
        <f t="shared" si="20"/>
        <v>69.986809071131162</v>
      </c>
      <c r="T139" s="357">
        <f t="shared" si="14"/>
        <v>2.7382704353850928</v>
      </c>
      <c r="U139" s="358">
        <f>'Berekening trap 1'!H139*$T139</f>
        <v>0.28758748567239723</v>
      </c>
      <c r="V139" s="359">
        <f>'Berekening trap 1'!I139*$T139</f>
        <v>0.16288103993933839</v>
      </c>
      <c r="Y139" s="43">
        <f t="shared" si="15"/>
        <v>63</v>
      </c>
      <c r="Z139" s="6" t="str">
        <f>IF(INVOER!A98=0,"x",INVOER!A98)</f>
        <v>x</v>
      </c>
      <c r="AA139" s="6">
        <f>IF(INVOER!B$36&gt;INVOER!B$37,INVOER!B98,100-INVOER!B98)</f>
        <v>100</v>
      </c>
      <c r="AB139" s="6">
        <f t="shared" si="16"/>
        <v>63</v>
      </c>
      <c r="AC139" s="6">
        <f t="shared" si="12"/>
        <v>1</v>
      </c>
      <c r="AD139" s="44">
        <f>IF(INVOER!A98=0,10000,INVOER!A98)</f>
        <v>10000</v>
      </c>
    </row>
    <row r="140" spans="1:30" x14ac:dyDescent="0.2">
      <c r="A140" s="43">
        <f>A139*'Berekening trap 1'!H$58</f>
        <v>13.667141562234107</v>
      </c>
      <c r="B140" s="6">
        <f t="shared" si="38"/>
        <v>13.32907205458295</v>
      </c>
      <c r="C140" s="168">
        <f t="shared" si="17"/>
        <v>10.135474483576161</v>
      </c>
      <c r="D140" s="200">
        <f t="shared" si="24"/>
        <v>8.8719582163971869E-2</v>
      </c>
      <c r="E140" s="197">
        <f t="shared" si="39"/>
        <v>9.2939601723625836E-2</v>
      </c>
      <c r="F140" s="43">
        <f t="shared" si="40"/>
        <v>4.8154300177197393E-2</v>
      </c>
      <c r="G140" s="155">
        <f t="shared" si="41"/>
        <v>5.1039635131794568E-2</v>
      </c>
      <c r="H140" s="170">
        <f t="shared" si="42"/>
        <v>9.2939601723625836E-2</v>
      </c>
      <c r="I140" s="179">
        <f t="shared" si="43"/>
        <v>5.1039635131794568E-2</v>
      </c>
      <c r="J140" s="145">
        <f>IF(INVOER!$S$36=1,100-H140*100,100-I140*100)</f>
        <v>94.896036486820549</v>
      </c>
      <c r="K140" s="43">
        <f t="shared" ref="K140:K171" si="46">VLOOKUP(A140,Z$76:AB$146,3)</f>
        <v>3</v>
      </c>
      <c r="L140" s="6">
        <f t="shared" ref="L140:L171" si="47">IF(K140=0,VLOOKUP(1,Y$77:AA$146,2),VLOOKUP(K140,Y$76:Z$145,2))</f>
        <v>10</v>
      </c>
      <c r="M140" s="6">
        <f t="shared" ref="M140:M171" si="48">IF(K140=0,VLOOKUP(2,Y$77:AA$145,2),VLOOKUP(K140+1,Y$77:Z$145,2))</f>
        <v>15</v>
      </c>
      <c r="N140" s="6">
        <f t="shared" ref="N140:N171" si="49">(VLOOKUP(L140,Z$76:AA$146,2))/100</f>
        <v>0.82</v>
      </c>
      <c r="O140" s="6">
        <f t="shared" ref="O140:O171" si="50">(VLOOKUP(M140,Z$76:AA$145,2))/100</f>
        <v>0.61099999999999999</v>
      </c>
      <c r="P140" s="366">
        <f t="shared" si="44"/>
        <v>2.2425455182678649</v>
      </c>
      <c r="Q140" s="6">
        <f t="shared" si="45"/>
        <v>20.567986985971981</v>
      </c>
      <c r="R140" s="6">
        <f t="shared" ref="R140:R181" si="51">IF(M140="x",0,EXP(-((A140/Q140)^P140)))</f>
        <v>0.67040859029606226</v>
      </c>
      <c r="S140" s="6">
        <f t="shared" si="20"/>
        <v>67.040859029606224</v>
      </c>
      <c r="T140" s="357">
        <f t="shared" si="14"/>
        <v>2.9459500415249362</v>
      </c>
      <c r="U140" s="358">
        <f>'Berekening trap 1'!H140*$T140</f>
        <v>0.27379542355702657</v>
      </c>
      <c r="V140" s="359">
        <f>'Berekening trap 1'!I140*$T140</f>
        <v>0.1503602152359278</v>
      </c>
      <c r="Y140" s="43">
        <f t="shared" si="15"/>
        <v>64</v>
      </c>
      <c r="Z140" s="6" t="str">
        <f>IF(INVOER!A99=0,"x",INVOER!A99)</f>
        <v>x</v>
      </c>
      <c r="AA140" s="6">
        <f>IF(INVOER!B$36&gt;INVOER!B$37,INVOER!B99,100-INVOER!B99)</f>
        <v>100</v>
      </c>
      <c r="AB140" s="6">
        <f t="shared" si="16"/>
        <v>64</v>
      </c>
      <c r="AC140" s="6">
        <f t="shared" si="12"/>
        <v>1</v>
      </c>
      <c r="AD140" s="44">
        <f>IF(INVOER!A99=0,10000,INVOER!A99)</f>
        <v>10000</v>
      </c>
    </row>
    <row r="141" spans="1:30" x14ac:dyDescent="0.2">
      <c r="A141" s="45">
        <f>A140*'Berekening trap 1'!H$58</f>
        <v>14.378471392591873</v>
      </c>
      <c r="B141" s="46">
        <f t="shared" si="38"/>
        <v>14.02280647741299</v>
      </c>
      <c r="C141" s="182">
        <f t="shared" ref="C141:C185" si="52">B141/$B$51</f>
        <v>10.662992641792938</v>
      </c>
      <c r="D141" s="201">
        <f t="shared" si="24"/>
        <v>7.600558041020096E-2</v>
      </c>
      <c r="E141" s="167">
        <f t="shared" si="39"/>
        <v>8.2097289386578579E-2</v>
      </c>
      <c r="F141" s="45">
        <f t="shared" si="40"/>
        <v>3.9674823047746388E-2</v>
      </c>
      <c r="G141" s="183">
        <f t="shared" si="41"/>
        <v>4.3696355856559344E-2</v>
      </c>
      <c r="H141" s="171">
        <f t="shared" si="42"/>
        <v>8.2097289386578579E-2</v>
      </c>
      <c r="I141" s="235">
        <f t="shared" si="43"/>
        <v>4.3696355856559344E-2</v>
      </c>
      <c r="J141" s="238">
        <f>IF(INVOER!$S$36=1,100-H141*100,100-I141*100)</f>
        <v>95.630364414344072</v>
      </c>
      <c r="K141" s="43">
        <f t="shared" si="46"/>
        <v>3</v>
      </c>
      <c r="L141" s="6">
        <f t="shared" si="47"/>
        <v>10</v>
      </c>
      <c r="M141" s="6">
        <f t="shared" si="48"/>
        <v>15</v>
      </c>
      <c r="N141" s="6">
        <f t="shared" si="49"/>
        <v>0.82</v>
      </c>
      <c r="O141" s="6">
        <f t="shared" si="50"/>
        <v>0.61099999999999999</v>
      </c>
      <c r="P141" s="366">
        <f t="shared" si="44"/>
        <v>2.2425455182678649</v>
      </c>
      <c r="Q141" s="6">
        <f t="shared" si="45"/>
        <v>20.567986985971981</v>
      </c>
      <c r="R141" s="6">
        <f t="shared" si="51"/>
        <v>0.63886969178674025</v>
      </c>
      <c r="S141" s="6">
        <f t="shared" ref="S141:S185" si="53">R141*100</f>
        <v>63.886969178674022</v>
      </c>
      <c r="T141" s="357">
        <f t="shared" ref="T141:T180" si="54">IF(M141="x",0,(R140-R141)*100)</f>
        <v>3.1538898509322011</v>
      </c>
      <c r="U141" s="361">
        <f>'Berekening trap 1'!H141*$T141</f>
        <v>0.25892580778537411</v>
      </c>
      <c r="V141" s="362">
        <f>'Berekening trap 1'!I141*$T141</f>
        <v>0.13781349325872436</v>
      </c>
      <c r="Y141" s="43">
        <f t="shared" si="15"/>
        <v>65</v>
      </c>
      <c r="Z141" s="6" t="str">
        <f>IF(INVOER!A100=0,"x",INVOER!A100)</f>
        <v>x</v>
      </c>
      <c r="AA141" s="6">
        <f>IF(INVOER!B$36&gt;INVOER!B$37,INVOER!B100,100-INVOER!B100)</f>
        <v>100</v>
      </c>
      <c r="AB141" s="6">
        <f t="shared" si="16"/>
        <v>65</v>
      </c>
      <c r="AC141" s="6">
        <f t="shared" ref="AC141:AC146" si="55">AA141/100</f>
        <v>1</v>
      </c>
      <c r="AD141" s="44">
        <f>IF(INVOER!A100=0,10000,INVOER!A100)</f>
        <v>10000</v>
      </c>
    </row>
    <row r="142" spans="1:30" x14ac:dyDescent="0.2">
      <c r="A142" s="43">
        <f>A141*'Berekening trap 1'!H$58</f>
        <v>15.126823604349052</v>
      </c>
      <c r="B142" s="6">
        <f t="shared" si="38"/>
        <v>14.752647498470463</v>
      </c>
      <c r="C142" s="168">
        <f t="shared" si="52"/>
        <v>11.217966387579821</v>
      </c>
      <c r="D142" s="200">
        <f t="shared" si="24"/>
        <v>6.4511982122112871E-2</v>
      </c>
      <c r="E142" s="197">
        <f t="shared" si="39"/>
        <v>7.2376375897047179E-2</v>
      </c>
      <c r="F142" s="43">
        <f t="shared" si="40"/>
        <v>3.2310740259686353E-2</v>
      </c>
      <c r="G142" s="155">
        <f t="shared" si="41"/>
        <v>3.7316931844019005E-2</v>
      </c>
      <c r="H142" s="170">
        <f t="shared" si="42"/>
        <v>7.2376375897047179E-2</v>
      </c>
      <c r="I142" s="179">
        <f t="shared" si="43"/>
        <v>3.7316931844019005E-2</v>
      </c>
      <c r="J142" s="145">
        <f>IF(INVOER!$S$36=1,100-H142*100,100-I142*100)</f>
        <v>96.268306815598095</v>
      </c>
      <c r="K142" s="41">
        <f t="shared" si="46"/>
        <v>4</v>
      </c>
      <c r="L142" s="5">
        <f t="shared" si="47"/>
        <v>15</v>
      </c>
      <c r="M142" s="5">
        <f t="shared" si="48"/>
        <v>20</v>
      </c>
      <c r="N142" s="5">
        <f t="shared" si="49"/>
        <v>0.61099999999999999</v>
      </c>
      <c r="O142" s="5">
        <f t="shared" si="50"/>
        <v>0.40500000000000003</v>
      </c>
      <c r="P142" s="365">
        <f t="shared" si="44"/>
        <v>2.1095082177716198</v>
      </c>
      <c r="Q142" s="5">
        <f t="shared" si="45"/>
        <v>20.981576144113514</v>
      </c>
      <c r="R142" s="5">
        <f t="shared" si="51"/>
        <v>0.60562975169620781</v>
      </c>
      <c r="S142" s="5">
        <f t="shared" si="53"/>
        <v>60.562975169620778</v>
      </c>
      <c r="T142" s="363">
        <f t="shared" si="54"/>
        <v>3.3239940090532438</v>
      </c>
      <c r="U142" s="358">
        <f>'Berekening trap 1'!H142*$T142</f>
        <v>0.24057863987877043</v>
      </c>
      <c r="V142" s="359">
        <f>'Berekening trap 1'!I142*$T142</f>
        <v>0.12404125788576739</v>
      </c>
      <c r="Y142" s="43">
        <f>Y141+1</f>
        <v>66</v>
      </c>
      <c r="Z142" s="6" t="str">
        <f>IF(INVOER!A101=0,"x",INVOER!A101)</f>
        <v>x</v>
      </c>
      <c r="AA142" s="6">
        <f>IF(INVOER!B$36&gt;INVOER!B$37,INVOER!B101,100-INVOER!B101)</f>
        <v>100</v>
      </c>
      <c r="AB142" s="6">
        <f>IF(Z142=0,AB141,Y142)</f>
        <v>66</v>
      </c>
      <c r="AC142" s="6">
        <f t="shared" si="55"/>
        <v>1</v>
      </c>
      <c r="AD142" s="44">
        <f>IF(INVOER!A101=0,10000,INVOER!A101)</f>
        <v>10000</v>
      </c>
    </row>
    <row r="143" spans="1:30" x14ac:dyDescent="0.2">
      <c r="A143" s="43">
        <f>A142*'Berekening trap 1'!H$58</f>
        <v>15.914125090862269</v>
      </c>
      <c r="B143" s="6">
        <f t="shared" si="38"/>
        <v>15.52047434760566</v>
      </c>
      <c r="C143" s="168">
        <f t="shared" si="52"/>
        <v>11.801824694095517</v>
      </c>
      <c r="D143" s="200">
        <f t="shared" si="24"/>
        <v>5.4220590505566456E-2</v>
      </c>
      <c r="E143" s="197">
        <f t="shared" si="39"/>
        <v>6.3669063314389471E-2</v>
      </c>
      <c r="F143" s="43">
        <f t="shared" si="40"/>
        <v>2.599143791609872E-2</v>
      </c>
      <c r="G143" s="155">
        <f t="shared" si="41"/>
        <v>3.1782937120244416E-2</v>
      </c>
      <c r="H143" s="170">
        <f t="shared" si="42"/>
        <v>6.3669063314389471E-2</v>
      </c>
      <c r="I143" s="179">
        <f t="shared" si="43"/>
        <v>3.1782937120244416E-2</v>
      </c>
      <c r="J143" s="145">
        <f>IF(INVOER!$S$36=1,100-H143*100,100-I143*100)</f>
        <v>96.821706287975559</v>
      </c>
      <c r="K143" s="43">
        <f t="shared" si="46"/>
        <v>4</v>
      </c>
      <c r="L143" s="6">
        <f t="shared" si="47"/>
        <v>15</v>
      </c>
      <c r="M143" s="6">
        <f t="shared" si="48"/>
        <v>20</v>
      </c>
      <c r="N143" s="6">
        <f t="shared" si="49"/>
        <v>0.61099999999999999</v>
      </c>
      <c r="O143" s="6">
        <f t="shared" si="50"/>
        <v>0.40500000000000003</v>
      </c>
      <c r="P143" s="366">
        <f t="shared" si="44"/>
        <v>2.1095082177716198</v>
      </c>
      <c r="Q143" s="6">
        <f t="shared" si="45"/>
        <v>20.981576144113514</v>
      </c>
      <c r="R143" s="6">
        <f t="shared" si="51"/>
        <v>0.57227314756217085</v>
      </c>
      <c r="S143" s="6">
        <f t="shared" si="53"/>
        <v>57.227314756217083</v>
      </c>
      <c r="T143" s="357">
        <f t="shared" si="54"/>
        <v>3.335660413403696</v>
      </c>
      <c r="U143" s="358">
        <f>'Berekening trap 1'!H143*$T143</f>
        <v>0.21237837405630247</v>
      </c>
      <c r="V143" s="359">
        <f>'Berekening trap 1'!I143*$T143</f>
        <v>0.10601708517369816</v>
      </c>
      <c r="Y143" s="43">
        <f>Y142+1</f>
        <v>67</v>
      </c>
      <c r="Z143" s="6" t="str">
        <f>IF(INVOER!A102=0,"x",INVOER!A102)</f>
        <v>x</v>
      </c>
      <c r="AA143" s="6">
        <f>IF(INVOER!B$36&gt;INVOER!B$37,INVOER!B102,100-INVOER!B102)</f>
        <v>100</v>
      </c>
      <c r="AB143" s="6">
        <f>IF(Z143=0,AB142,Y143)</f>
        <v>67</v>
      </c>
      <c r="AC143" s="6">
        <f t="shared" si="55"/>
        <v>1</v>
      </c>
      <c r="AD143" s="44">
        <f>IF(INVOER!A102=0,10000,INVOER!A102)</f>
        <v>10000</v>
      </c>
    </row>
    <row r="144" spans="1:30" x14ac:dyDescent="0.2">
      <c r="A144" s="43">
        <f>A143*'Berekening trap 1'!H$58</f>
        <v>16.742403033958723</v>
      </c>
      <c r="B144" s="6">
        <f t="shared" si="38"/>
        <v>16.328264062410497</v>
      </c>
      <c r="C144" s="168">
        <f t="shared" si="52"/>
        <v>12.416070907858359</v>
      </c>
      <c r="D144" s="200">
        <f t="shared" si="24"/>
        <v>4.509857374184769E-2</v>
      </c>
      <c r="E144" s="197">
        <f t="shared" si="39"/>
        <v>5.587927264938964E-2</v>
      </c>
      <c r="F144" s="43">
        <f t="shared" si="40"/>
        <v>2.0637011711938279E-2</v>
      </c>
      <c r="G144" s="155">
        <f t="shared" si="41"/>
        <v>2.699094906620967E-2</v>
      </c>
      <c r="H144" s="170">
        <f t="shared" si="42"/>
        <v>5.587927264938964E-2</v>
      </c>
      <c r="I144" s="179">
        <f t="shared" si="43"/>
        <v>2.699094906620967E-2</v>
      </c>
      <c r="J144" s="145">
        <f>IF(INVOER!$S$36=1,100-H144*100,100-I144*100)</f>
        <v>97.300905093379029</v>
      </c>
      <c r="K144" s="43">
        <f t="shared" si="46"/>
        <v>4</v>
      </c>
      <c r="L144" s="6">
        <f t="shared" si="47"/>
        <v>15</v>
      </c>
      <c r="M144" s="6">
        <f t="shared" si="48"/>
        <v>20</v>
      </c>
      <c r="N144" s="6">
        <f t="shared" si="49"/>
        <v>0.61099999999999999</v>
      </c>
      <c r="O144" s="6">
        <f t="shared" si="50"/>
        <v>0.40500000000000003</v>
      </c>
      <c r="P144" s="366">
        <f t="shared" si="44"/>
        <v>2.1095082177716198</v>
      </c>
      <c r="Q144" s="6">
        <f t="shared" si="45"/>
        <v>20.981576144113514</v>
      </c>
      <c r="R144" s="6">
        <f t="shared" si="51"/>
        <v>0.53730398833752979</v>
      </c>
      <c r="S144" s="6">
        <f t="shared" si="53"/>
        <v>53.730398833752979</v>
      </c>
      <c r="T144" s="357">
        <f t="shared" si="54"/>
        <v>3.4969159224641055</v>
      </c>
      <c r="U144" s="358">
        <f>'Berekening trap 1'!H144*$T144</f>
        <v>0.19540511826336363</v>
      </c>
      <c r="V144" s="359">
        <f>'Berekening trap 1'!I144*$T144</f>
        <v>9.438507955204628E-2</v>
      </c>
      <c r="Y144" s="43">
        <f>Y143+1</f>
        <v>68</v>
      </c>
      <c r="Z144" s="6" t="str">
        <f>IF(INVOER!A103=0,"x",INVOER!A103)</f>
        <v>x</v>
      </c>
      <c r="AA144" s="6">
        <f>IF(INVOER!B$36&gt;INVOER!B$37,INVOER!B103,100-INVOER!B103)</f>
        <v>100</v>
      </c>
      <c r="AB144" s="6">
        <f>IF(Z144=0,AB143,Y144)</f>
        <v>68</v>
      </c>
      <c r="AC144" s="6">
        <f t="shared" si="55"/>
        <v>1</v>
      </c>
      <c r="AD144" s="44">
        <f>IF(INVOER!A103=0,10000,INVOER!A103)</f>
        <v>10000</v>
      </c>
    </row>
    <row r="145" spans="1:30" x14ac:dyDescent="0.2">
      <c r="A145" s="43">
        <f>A144*'Berekening trap 1'!H$58</f>
        <v>17.613790123621708</v>
      </c>
      <c r="B145" s="6">
        <f t="shared" si="38"/>
        <v>17.178096578790218</v>
      </c>
      <c r="C145" s="168">
        <f t="shared" si="52"/>
        <v>13.062286619635415</v>
      </c>
      <c r="D145" s="200">
        <f t="shared" si="24"/>
        <v>3.7099384350866134E-2</v>
      </c>
      <c r="E145" s="197">
        <f t="shared" si="39"/>
        <v>4.8920777076834288E-2</v>
      </c>
      <c r="F145" s="43">
        <f t="shared" si="40"/>
        <v>1.6160659831858559E-2</v>
      </c>
      <c r="G145" s="155">
        <f t="shared" si="41"/>
        <v>2.2850211733405817E-2</v>
      </c>
      <c r="H145" s="170">
        <f t="shared" si="42"/>
        <v>4.8920777076834288E-2</v>
      </c>
      <c r="I145" s="179">
        <f t="shared" si="43"/>
        <v>2.2850211733405817E-2</v>
      </c>
      <c r="J145" s="145">
        <f>IF(INVOER!$S$36=1,100-H145*100,100-I145*100)</f>
        <v>97.714978826659419</v>
      </c>
      <c r="K145" s="43">
        <f t="shared" si="46"/>
        <v>4</v>
      </c>
      <c r="L145" s="6">
        <f t="shared" si="47"/>
        <v>15</v>
      </c>
      <c r="M145" s="6">
        <f t="shared" si="48"/>
        <v>20</v>
      </c>
      <c r="N145" s="6">
        <f t="shared" si="49"/>
        <v>0.61099999999999999</v>
      </c>
      <c r="O145" s="6">
        <f t="shared" si="50"/>
        <v>0.40500000000000003</v>
      </c>
      <c r="P145" s="366">
        <f t="shared" si="44"/>
        <v>2.1095082177716198</v>
      </c>
      <c r="Q145" s="6">
        <f t="shared" si="45"/>
        <v>20.981576144113514</v>
      </c>
      <c r="R145" s="6">
        <f t="shared" si="51"/>
        <v>0.50089107801705102</v>
      </c>
      <c r="S145" s="6">
        <f t="shared" si="53"/>
        <v>50.089107801705104</v>
      </c>
      <c r="T145" s="357">
        <f t="shared" si="54"/>
        <v>3.6412910320478775</v>
      </c>
      <c r="U145" s="358">
        <f>'Berekening trap 1'!H145*$T145</f>
        <v>0.17813478685069006</v>
      </c>
      <c r="V145" s="359">
        <f>'Berekening trap 1'!I145*$T145</f>
        <v>8.3204271065245791E-2</v>
      </c>
      <c r="Y145" s="43">
        <f>Y144+1</f>
        <v>69</v>
      </c>
      <c r="Z145" s="6" t="str">
        <f>IF(INVOER!A104=0,"x",INVOER!A104)</f>
        <v>x</v>
      </c>
      <c r="AA145" s="6">
        <f>IF(INVOER!B$36&gt;INVOER!B$37,INVOER!B104,100-INVOER!B104)</f>
        <v>100</v>
      </c>
      <c r="AB145" s="6">
        <f>IF(Z145=0,AB144,Y145)</f>
        <v>69</v>
      </c>
      <c r="AC145" s="6">
        <f t="shared" si="55"/>
        <v>1</v>
      </c>
      <c r="AD145" s="44">
        <f>IF(INVOER!A104=0,10000,INVOER!A104)</f>
        <v>10000</v>
      </c>
    </row>
    <row r="146" spans="1:30" x14ac:dyDescent="0.2">
      <c r="A146" s="45">
        <f>A145*'Berekening trap 1'!H$58</f>
        <v>18.530530049343604</v>
      </c>
      <c r="B146" s="46">
        <f t="shared" si="38"/>
        <v>18.072160086482654</v>
      </c>
      <c r="C146" s="182">
        <f t="shared" si="52"/>
        <v>13.742135736798645</v>
      </c>
      <c r="D146" s="201">
        <f t="shared" si="24"/>
        <v>3.0164110414580062E-2</v>
      </c>
      <c r="E146" s="167">
        <f t="shared" si="39"/>
        <v>4.2715735979331017E-2</v>
      </c>
      <c r="F146" s="45">
        <f t="shared" si="40"/>
        <v>1.2471242777551095E-2</v>
      </c>
      <c r="G146" s="183">
        <f t="shared" si="41"/>
        <v>1.9280781118000013E-2</v>
      </c>
      <c r="H146" s="171">
        <f t="shared" si="42"/>
        <v>4.2715735979331017E-2</v>
      </c>
      <c r="I146" s="235">
        <f t="shared" si="43"/>
        <v>1.9280781118000013E-2</v>
      </c>
      <c r="J146" s="145">
        <f>IF(INVOER!$S$36=1,100-H146*100,100-I146*100)</f>
        <v>98.071921888199995</v>
      </c>
      <c r="K146" s="43">
        <f t="shared" si="46"/>
        <v>4</v>
      </c>
      <c r="L146" s="6">
        <f t="shared" si="47"/>
        <v>15</v>
      </c>
      <c r="M146" s="6">
        <f t="shared" si="48"/>
        <v>20</v>
      </c>
      <c r="N146" s="6">
        <f t="shared" si="49"/>
        <v>0.61099999999999999</v>
      </c>
      <c r="O146" s="6">
        <f t="shared" si="50"/>
        <v>0.40500000000000003</v>
      </c>
      <c r="P146" s="366">
        <f t="shared" si="44"/>
        <v>2.1095082177716198</v>
      </c>
      <c r="Q146" s="6">
        <f t="shared" si="45"/>
        <v>20.981576144113514</v>
      </c>
      <c r="R146" s="6">
        <f t="shared" si="51"/>
        <v>0.4632587146284699</v>
      </c>
      <c r="S146" s="6">
        <f t="shared" si="53"/>
        <v>46.32587146284699</v>
      </c>
      <c r="T146" s="357">
        <f t="shared" si="54"/>
        <v>3.7632363388581114</v>
      </c>
      <c r="U146" s="361">
        <f>'Berekening trap 1'!H146*$T146</f>
        <v>0.16074940987848735</v>
      </c>
      <c r="V146" s="362">
        <f>'Berekening trap 1'!I146*$T146</f>
        <v>7.2558136144826965E-2</v>
      </c>
      <c r="Y146" s="43">
        <f>Y145+1</f>
        <v>70</v>
      </c>
      <c r="Z146" s="6" t="str">
        <f>IF(INVOER!A105=0,"x",INVOER!A105)</f>
        <v>x</v>
      </c>
      <c r="AA146" s="6">
        <f>IF(INVOER!B$36&gt;INVOER!B$37,INVOER!B105,100-INVOER!B105)</f>
        <v>100</v>
      </c>
      <c r="AB146" s="6">
        <f>IF(Z146=0,AB145,Y146)</f>
        <v>70</v>
      </c>
      <c r="AC146" s="6">
        <f t="shared" si="55"/>
        <v>1</v>
      </c>
      <c r="AD146" s="44">
        <f>IF(INVOER!A105=0,10000,INVOER!A105)</f>
        <v>10000</v>
      </c>
    </row>
    <row r="147" spans="1:30" x14ac:dyDescent="0.2">
      <c r="A147" s="43">
        <f>A146*'Berekening trap 1'!H$58</f>
        <v>19.494983277285758</v>
      </c>
      <c r="B147" s="6">
        <f t="shared" si="38"/>
        <v>19.012756663314683</v>
      </c>
      <c r="C147" s="168">
        <f t="shared" si="52"/>
        <v>14.457368767633842</v>
      </c>
      <c r="D147" s="200">
        <f t="shared" si="24"/>
        <v>2.4223219936756125E-2</v>
      </c>
      <c r="E147" s="197">
        <f t="shared" si="39"/>
        <v>3.7193533193581318E-2</v>
      </c>
      <c r="F147" s="43">
        <f t="shared" si="40"/>
        <v>9.4758912551180553E-3</v>
      </c>
      <c r="G147" s="155">
        <f t="shared" si="41"/>
        <v>1.6212033985601979E-2</v>
      </c>
      <c r="H147" s="170">
        <f t="shared" si="42"/>
        <v>3.7193533193581318E-2</v>
      </c>
      <c r="I147" s="179">
        <f t="shared" si="43"/>
        <v>1.6212033985601979E-2</v>
      </c>
      <c r="J147" s="147">
        <f>IF(INVOER!$S$36=1,100-H147*100,100-I147*100)</f>
        <v>98.378796601439802</v>
      </c>
      <c r="K147" s="41">
        <f t="shared" si="46"/>
        <v>4</v>
      </c>
      <c r="L147" s="5">
        <f t="shared" si="47"/>
        <v>15</v>
      </c>
      <c r="M147" s="5">
        <f t="shared" si="48"/>
        <v>20</v>
      </c>
      <c r="N147" s="5">
        <f t="shared" si="49"/>
        <v>0.61099999999999999</v>
      </c>
      <c r="O147" s="5">
        <f t="shared" si="50"/>
        <v>0.40500000000000003</v>
      </c>
      <c r="P147" s="365">
        <f t="shared" si="44"/>
        <v>2.1095082177716198</v>
      </c>
      <c r="Q147" s="5">
        <f t="shared" si="45"/>
        <v>20.981576144113514</v>
      </c>
      <c r="R147" s="5">
        <f t="shared" si="51"/>
        <v>0.42468999068699598</v>
      </c>
      <c r="S147" s="5">
        <f t="shared" si="53"/>
        <v>42.468999068699596</v>
      </c>
      <c r="T147" s="363">
        <f t="shared" si="54"/>
        <v>3.8568723941473926</v>
      </c>
      <c r="U147" s="358">
        <f>'Berekening trap 1'!H147*$T147</f>
        <v>0.1434507114151285</v>
      </c>
      <c r="V147" s="359">
        <f>'Berekening trap 1'!I147*$T147</f>
        <v>6.2527746332047607E-2</v>
      </c>
      <c r="Y147" s="45"/>
      <c r="Z147" s="46"/>
      <c r="AA147" s="46"/>
      <c r="AB147" s="46"/>
      <c r="AC147" s="46"/>
      <c r="AD147" s="50"/>
    </row>
    <row r="148" spans="1:30" x14ac:dyDescent="0.2">
      <c r="A148" s="43">
        <f>A147*'Berekening trap 1'!H$58</f>
        <v>20.509633128120576</v>
      </c>
      <c r="B148" s="6">
        <f t="shared" si="38"/>
        <v>20.002308202703169</v>
      </c>
      <c r="C148" s="168">
        <f t="shared" si="52"/>
        <v>15.209827328633745</v>
      </c>
      <c r="D148" s="200">
        <f t="shared" si="24"/>
        <v>1.9198635659790613E-2</v>
      </c>
      <c r="E148" s="197">
        <f t="shared" si="39"/>
        <v>3.2289848511537579E-2</v>
      </c>
      <c r="F148" s="43">
        <f t="shared" si="40"/>
        <v>7.0825374566139965E-3</v>
      </c>
      <c r="G148" s="155">
        <f t="shared" si="41"/>
        <v>1.3581453886276146E-2</v>
      </c>
      <c r="H148" s="170">
        <f t="shared" si="42"/>
        <v>3.2289848511537579E-2</v>
      </c>
      <c r="I148" s="179">
        <f t="shared" si="43"/>
        <v>1.3581453886276146E-2</v>
      </c>
      <c r="J148" s="145">
        <f>IF(INVOER!$S$36=1,100-H148*100,100-I148*100)</f>
        <v>98.641854611372381</v>
      </c>
      <c r="K148" s="43">
        <f t="shared" si="46"/>
        <v>5</v>
      </c>
      <c r="L148" s="6">
        <f t="shared" si="47"/>
        <v>20</v>
      </c>
      <c r="M148" s="6">
        <f t="shared" si="48"/>
        <v>25</v>
      </c>
      <c r="N148" s="6">
        <f t="shared" si="49"/>
        <v>0.40500000000000003</v>
      </c>
      <c r="O148" s="6">
        <f t="shared" si="50"/>
        <v>0.245</v>
      </c>
      <c r="P148" s="366">
        <f t="shared" si="44"/>
        <v>1.9815673569146588</v>
      </c>
      <c r="Q148" s="6">
        <f t="shared" si="45"/>
        <v>21.046582954517451</v>
      </c>
      <c r="R148" s="6">
        <f t="shared" si="51"/>
        <v>0.38671067805734582</v>
      </c>
      <c r="S148" s="6">
        <f t="shared" si="53"/>
        <v>38.67106780573458</v>
      </c>
      <c r="T148" s="357">
        <f t="shared" si="54"/>
        <v>3.7979312629650153</v>
      </c>
      <c r="U148" s="358">
        <f>'Berekening trap 1'!H148*$T148</f>
        <v>0.12263462513837294</v>
      </c>
      <c r="V148" s="359">
        <f>'Berekening trap 1'!I148*$T148</f>
        <v>5.1581428311205879E-2</v>
      </c>
    </row>
    <row r="149" spans="1:30" x14ac:dyDescent="0.2">
      <c r="A149" s="43">
        <f>A148*'Berekening trap 1'!H$58</f>
        <v>21.577092171205312</v>
      </c>
      <c r="B149" s="6">
        <f t="shared" si="38"/>
        <v>21.043362649662946</v>
      </c>
      <c r="C149" s="168">
        <f t="shared" si="52"/>
        <v>16.001448886380995</v>
      </c>
      <c r="D149" s="200">
        <f t="shared" si="24"/>
        <v>1.5006055630256573E-2</v>
      </c>
      <c r="E149" s="197">
        <f t="shared" si="39"/>
        <v>2.7945909545043886E-2</v>
      </c>
      <c r="F149" s="43">
        <f t="shared" si="40"/>
        <v>5.2022483583850209E-3</v>
      </c>
      <c r="G149" s="155">
        <f t="shared" si="41"/>
        <v>1.133363053539003E-2</v>
      </c>
      <c r="H149" s="170">
        <f t="shared" si="42"/>
        <v>2.7945909545043886E-2</v>
      </c>
      <c r="I149" s="179">
        <f t="shared" si="43"/>
        <v>1.133363053539003E-2</v>
      </c>
      <c r="J149" s="145">
        <f>IF(INVOER!$S$36=1,100-H149*100,100-I149*100)</f>
        <v>98.866636946461</v>
      </c>
      <c r="K149" s="43">
        <f t="shared" si="46"/>
        <v>5</v>
      </c>
      <c r="L149" s="6">
        <f t="shared" si="47"/>
        <v>20</v>
      </c>
      <c r="M149" s="6">
        <f t="shared" si="48"/>
        <v>25</v>
      </c>
      <c r="N149" s="6">
        <f t="shared" si="49"/>
        <v>0.40500000000000003</v>
      </c>
      <c r="O149" s="6">
        <f t="shared" si="50"/>
        <v>0.245</v>
      </c>
      <c r="P149" s="366">
        <f t="shared" si="44"/>
        <v>1.9815673569146588</v>
      </c>
      <c r="Q149" s="6">
        <f t="shared" si="45"/>
        <v>21.046582954517451</v>
      </c>
      <c r="R149" s="6">
        <f t="shared" si="51"/>
        <v>0.34973972347520493</v>
      </c>
      <c r="S149" s="6">
        <f t="shared" si="53"/>
        <v>34.973972347520494</v>
      </c>
      <c r="T149" s="357">
        <f t="shared" si="54"/>
        <v>3.6970954582140889</v>
      </c>
      <c r="U149" s="358">
        <f>'Berekening trap 1'!H149*$T149</f>
        <v>0.1033186952546435</v>
      </c>
      <c r="V149" s="359">
        <f>'Berekening trap 1'!I149*$T149</f>
        <v>4.1901513977466991E-2</v>
      </c>
    </row>
    <row r="150" spans="1:30" x14ac:dyDescent="0.2">
      <c r="A150" s="43">
        <f>A149*'Berekening trap 1'!H$58</f>
        <v>22.70010895155162</v>
      </c>
      <c r="B150" s="6">
        <f t="shared" si="38"/>
        <v>22.138600561378468</v>
      </c>
      <c r="C150" s="168">
        <f t="shared" si="52"/>
        <v>16.834271746230502</v>
      </c>
      <c r="D150" s="200">
        <f t="shared" si="24"/>
        <v>1.1557416783586362E-2</v>
      </c>
      <c r="E150" s="197">
        <f t="shared" si="39"/>
        <v>2.4107883972326695E-2</v>
      </c>
      <c r="F150" s="43">
        <f t="shared" si="40"/>
        <v>3.7512524366625842E-3</v>
      </c>
      <c r="G150" s="155">
        <f t="shared" si="41"/>
        <v>9.4194248510818951E-3</v>
      </c>
      <c r="H150" s="170">
        <f t="shared" si="42"/>
        <v>2.4107883972326695E-2</v>
      </c>
      <c r="I150" s="179">
        <f t="shared" si="43"/>
        <v>9.4194248510818951E-3</v>
      </c>
      <c r="J150" s="145">
        <f>IF(INVOER!$S$36=1,100-H150*100,100-I150*100)</f>
        <v>99.058057514891814</v>
      </c>
      <c r="K150" s="43">
        <f t="shared" si="46"/>
        <v>5</v>
      </c>
      <c r="L150" s="6">
        <f t="shared" si="47"/>
        <v>20</v>
      </c>
      <c r="M150" s="6">
        <f t="shared" si="48"/>
        <v>25</v>
      </c>
      <c r="N150" s="6">
        <f t="shared" si="49"/>
        <v>0.40500000000000003</v>
      </c>
      <c r="O150" s="6">
        <f t="shared" si="50"/>
        <v>0.245</v>
      </c>
      <c r="P150" s="366">
        <f t="shared" si="44"/>
        <v>1.9815673569146588</v>
      </c>
      <c r="Q150" s="6">
        <f t="shared" si="45"/>
        <v>21.046582954517451</v>
      </c>
      <c r="R150" s="6">
        <f t="shared" si="51"/>
        <v>0.31295935095834587</v>
      </c>
      <c r="S150" s="6">
        <f t="shared" si="53"/>
        <v>31.295935095834587</v>
      </c>
      <c r="T150" s="357">
        <f t="shared" si="54"/>
        <v>3.6780372516859061</v>
      </c>
      <c r="U150" s="358">
        <f>'Berekening trap 1'!H150*$T150</f>
        <v>8.8669695309539179E-2</v>
      </c>
      <c r="V150" s="359">
        <f>'Berekening trap 1'!I150*$T150</f>
        <v>3.4644995491735178E-2</v>
      </c>
    </row>
    <row r="151" spans="1:30" x14ac:dyDescent="0.2">
      <c r="A151" s="45">
        <f>A150*'Berekening trap 1'!H$58</f>
        <v>23.881575066911772</v>
      </c>
      <c r="B151" s="46">
        <f t="shared" si="38"/>
        <v>23.290842009231696</v>
      </c>
      <c r="C151" s="182">
        <f t="shared" si="52"/>
        <v>17.710440300636346</v>
      </c>
      <c r="D151" s="201">
        <f t="shared" si="24"/>
        <v>8.7633868073303638E-3</v>
      </c>
      <c r="E151" s="167">
        <f t="shared" si="39"/>
        <v>2.0726381562003651E-2</v>
      </c>
      <c r="F151" s="45">
        <f t="shared" si="40"/>
        <v>2.6525728657539327E-3</v>
      </c>
      <c r="G151" s="183">
        <f t="shared" si="41"/>
        <v>7.7952636421405744E-3</v>
      </c>
      <c r="H151" s="171">
        <f t="shared" si="42"/>
        <v>2.0726381562003651E-2</v>
      </c>
      <c r="I151" s="235">
        <f t="shared" si="43"/>
        <v>7.7952636421405744E-3</v>
      </c>
      <c r="J151" s="238">
        <f>IF(INVOER!$S$36=1,100-H151*100,100-I151*100)</f>
        <v>99.220473635785936</v>
      </c>
      <c r="K151" s="43">
        <f t="shared" si="46"/>
        <v>5</v>
      </c>
      <c r="L151" s="6">
        <f t="shared" si="47"/>
        <v>20</v>
      </c>
      <c r="M151" s="6">
        <f t="shared" si="48"/>
        <v>25</v>
      </c>
      <c r="N151" s="6">
        <f t="shared" si="49"/>
        <v>0.40500000000000003</v>
      </c>
      <c r="O151" s="6">
        <f t="shared" si="50"/>
        <v>0.245</v>
      </c>
      <c r="P151" s="366">
        <f t="shared" si="44"/>
        <v>1.9815673569146588</v>
      </c>
      <c r="Q151" s="6">
        <f t="shared" si="45"/>
        <v>21.046582954517451</v>
      </c>
      <c r="R151" s="6">
        <f t="shared" si="51"/>
        <v>0.27677500620543716</v>
      </c>
      <c r="S151" s="6">
        <f t="shared" si="53"/>
        <v>27.677500620543714</v>
      </c>
      <c r="T151" s="357">
        <f t="shared" si="54"/>
        <v>3.6184344752908713</v>
      </c>
      <c r="U151" s="361">
        <f>'Berekening trap 1'!H151*$T151</f>
        <v>7.4997053591987065E-2</v>
      </c>
      <c r="V151" s="362">
        <f>'Berekening trap 1'!I151*$T151</f>
        <v>2.8206650706702936E-2</v>
      </c>
    </row>
    <row r="152" spans="1:30" x14ac:dyDescent="0.2">
      <c r="A152" s="43">
        <f>A151*'Berekening trap 1'!H$58</f>
        <v>25.124532613203968</v>
      </c>
      <c r="B152" s="6">
        <f t="shared" si="38"/>
        <v>24.50305384005787</v>
      </c>
      <c r="C152" s="168">
        <f t="shared" si="52"/>
        <v>18.632210550636863</v>
      </c>
      <c r="D152" s="200">
        <f t="shared" si="24"/>
        <v>6.5357652126809976E-3</v>
      </c>
      <c r="E152" s="197">
        <f t="shared" si="39"/>
        <v>1.7756042285656914E-2</v>
      </c>
      <c r="F152" s="43">
        <f t="shared" si="40"/>
        <v>1.8372091534405626E-3</v>
      </c>
      <c r="G152" s="155">
        <f t="shared" si="41"/>
        <v>6.4225365603396605E-3</v>
      </c>
      <c r="H152" s="170">
        <f t="shared" si="42"/>
        <v>1.7756042285656914E-2</v>
      </c>
      <c r="I152" s="179">
        <f t="shared" si="43"/>
        <v>6.4225365603396605E-3</v>
      </c>
      <c r="J152" s="145">
        <f>IF(INVOER!$S$36=1,100-H152*100,100-I152*100)</f>
        <v>99.357746343966028</v>
      </c>
      <c r="K152" s="41">
        <f t="shared" si="46"/>
        <v>6</v>
      </c>
      <c r="L152" s="5">
        <f t="shared" si="47"/>
        <v>25</v>
      </c>
      <c r="M152" s="5">
        <f t="shared" si="48"/>
        <v>30</v>
      </c>
      <c r="N152" s="5">
        <f t="shared" si="49"/>
        <v>0.245</v>
      </c>
      <c r="O152" s="5">
        <f t="shared" si="50"/>
        <v>0.13799999999999998</v>
      </c>
      <c r="P152" s="365">
        <f t="shared" si="44"/>
        <v>1.8771662781255416</v>
      </c>
      <c r="Q152" s="5">
        <f t="shared" si="45"/>
        <v>20.846051563660737</v>
      </c>
      <c r="R152" s="5">
        <f t="shared" si="51"/>
        <v>0.24179196301338157</v>
      </c>
      <c r="S152" s="5">
        <f t="shared" si="53"/>
        <v>24.179196301338159</v>
      </c>
      <c r="T152" s="363">
        <f t="shared" si="54"/>
        <v>3.4983043192055585</v>
      </c>
      <c r="U152" s="358">
        <f>'Berekening trap 1'!H152*$T152</f>
        <v>6.2116039419910118E-2</v>
      </c>
      <c r="V152" s="359">
        <f>'Berekening trap 1'!I152*$T152</f>
        <v>2.2467987389291847E-2</v>
      </c>
    </row>
    <row r="153" spans="1:30" x14ac:dyDescent="0.2">
      <c r="A153" s="43">
        <f>A152*'Berekening trap 1'!H$58</f>
        <v>26.43218201744758</v>
      </c>
      <c r="B153" s="6">
        <f t="shared" si="38"/>
        <v>25.778357315325774</v>
      </c>
      <c r="C153" s="168">
        <f t="shared" si="52"/>
        <v>19.601955914714893</v>
      </c>
      <c r="D153" s="200">
        <f t="shared" si="24"/>
        <v>4.7896789742812966E-3</v>
      </c>
      <c r="E153" s="197">
        <f t="shared" si="39"/>
        <v>1.51551920055349E-2</v>
      </c>
      <c r="F153" s="43">
        <f t="shared" si="40"/>
        <v>1.2448426582699745E-3</v>
      </c>
      <c r="G153" s="155">
        <f t="shared" si="41"/>
        <v>5.2670743634217814E-3</v>
      </c>
      <c r="H153" s="170">
        <f t="shared" si="42"/>
        <v>1.51551920055349E-2</v>
      </c>
      <c r="I153" s="179">
        <f t="shared" si="43"/>
        <v>5.2670743634217814E-3</v>
      </c>
      <c r="J153" s="145">
        <f>IF(INVOER!$S$36=1,100-H153*100,100-I153*100)</f>
        <v>99.473292563657822</v>
      </c>
      <c r="K153" s="43">
        <f t="shared" si="46"/>
        <v>6</v>
      </c>
      <c r="L153" s="6">
        <f t="shared" si="47"/>
        <v>25</v>
      </c>
      <c r="M153" s="6">
        <f t="shared" si="48"/>
        <v>30</v>
      </c>
      <c r="N153" s="6">
        <f t="shared" si="49"/>
        <v>0.245</v>
      </c>
      <c r="O153" s="6">
        <f t="shared" si="50"/>
        <v>0.13799999999999998</v>
      </c>
      <c r="P153" s="366">
        <f t="shared" si="44"/>
        <v>1.8771662781255416</v>
      </c>
      <c r="Q153" s="6">
        <f t="shared" si="45"/>
        <v>20.846051563660737</v>
      </c>
      <c r="R153" s="6">
        <f t="shared" si="51"/>
        <v>0.20981269871544311</v>
      </c>
      <c r="S153" s="6">
        <f t="shared" si="53"/>
        <v>20.98126987154431</v>
      </c>
      <c r="T153" s="357">
        <f t="shared" si="54"/>
        <v>3.1979264297938457</v>
      </c>
      <c r="U153" s="358">
        <f>'Berekening trap 1'!H153*$T153</f>
        <v>4.8465189063100454E-2</v>
      </c>
      <c r="V153" s="359">
        <f>'Berekening trap 1'!I153*$T153</f>
        <v>1.684371631447611E-2</v>
      </c>
    </row>
    <row r="154" spans="1:30" x14ac:dyDescent="0.2">
      <c r="A154" s="43">
        <f>A153*'Berekening trap 1'!H$58</f>
        <v>27.807890278376949</v>
      </c>
      <c r="B154" s="6">
        <f t="shared" si="38"/>
        <v>27.120036147912266</v>
      </c>
      <c r="C154" s="168">
        <f t="shared" si="52"/>
        <v>20.622173339990123</v>
      </c>
      <c r="D154" s="200">
        <f t="shared" ref="D154:D185" si="56">IF(C154-$K$35&gt;0,EXP(-(((C154-$K$35)/$K$37)^$K$39)),1)</f>
        <v>3.4454715470758797E-3</v>
      </c>
      <c r="E154" s="197">
        <f t="shared" si="39"/>
        <v>1.2885551153961209E-2</v>
      </c>
      <c r="F154" s="43">
        <f t="shared" si="40"/>
        <v>8.2407620334205194E-4</v>
      </c>
      <c r="G154" s="155">
        <f t="shared" si="41"/>
        <v>4.2986923902800893E-3</v>
      </c>
      <c r="H154" s="170">
        <f t="shared" si="42"/>
        <v>1.2885551153961209E-2</v>
      </c>
      <c r="I154" s="179">
        <f t="shared" si="43"/>
        <v>4.2986923902800893E-3</v>
      </c>
      <c r="J154" s="145">
        <f>IF(INVOER!$S$36=1,100-H154*100,100-I154*100)</f>
        <v>99.570130760971992</v>
      </c>
      <c r="K154" s="43">
        <f t="shared" si="46"/>
        <v>6</v>
      </c>
      <c r="L154" s="6">
        <f t="shared" si="47"/>
        <v>25</v>
      </c>
      <c r="M154" s="6">
        <f t="shared" si="48"/>
        <v>30</v>
      </c>
      <c r="N154" s="6">
        <f t="shared" si="49"/>
        <v>0.245</v>
      </c>
      <c r="O154" s="6">
        <f t="shared" si="50"/>
        <v>0.13799999999999998</v>
      </c>
      <c r="P154" s="366">
        <f t="shared" si="44"/>
        <v>1.8771662781255416</v>
      </c>
      <c r="Q154" s="6">
        <f t="shared" si="45"/>
        <v>20.846051563660737</v>
      </c>
      <c r="R154" s="6">
        <f t="shared" si="51"/>
        <v>0.17950032467341956</v>
      </c>
      <c r="S154" s="6">
        <f t="shared" si="53"/>
        <v>17.950032467341956</v>
      </c>
      <c r="T154" s="357">
        <f t="shared" si="54"/>
        <v>3.0312374042023555</v>
      </c>
      <c r="U154" s="358">
        <f>'Berekening trap 1'!H154*$T154</f>
        <v>3.9059164631650038E-2</v>
      </c>
      <c r="V154" s="359">
        <f>'Berekening trap 1'!I154*$T154</f>
        <v>1.3030357162577036E-2</v>
      </c>
    </row>
    <row r="155" spans="1:30" x14ac:dyDescent="0.2">
      <c r="A155" s="43">
        <f>A154*'Berekening trap 1'!H$58</f>
        <v>29.255199635952067</v>
      </c>
      <c r="B155" s="6">
        <f t="shared" si="38"/>
        <v>28.531544957164506</v>
      </c>
      <c r="C155" s="168">
        <f t="shared" si="52"/>
        <v>21.695489731478911</v>
      </c>
      <c r="D155" s="200">
        <f t="shared" si="56"/>
        <v>2.4302058223395974E-3</v>
      </c>
      <c r="E155" s="197">
        <f t="shared" si="39"/>
        <v>1.0911984848534921E-2</v>
      </c>
      <c r="F155" s="43">
        <f t="shared" si="40"/>
        <v>5.3225044031307166E-4</v>
      </c>
      <c r="G155" s="155">
        <f t="shared" si="41"/>
        <v>3.4907868519941359E-3</v>
      </c>
      <c r="H155" s="170">
        <f t="shared" si="42"/>
        <v>1.0911984848534921E-2</v>
      </c>
      <c r="I155" s="179">
        <f t="shared" si="43"/>
        <v>3.4907868519941359E-3</v>
      </c>
      <c r="J155" s="145">
        <f>IF(INVOER!$S$36=1,100-H155*100,100-I155*100)</f>
        <v>99.650921314800584</v>
      </c>
      <c r="K155" s="43">
        <f t="shared" si="46"/>
        <v>6</v>
      </c>
      <c r="L155" s="6">
        <f t="shared" si="47"/>
        <v>25</v>
      </c>
      <c r="M155" s="6">
        <f t="shared" si="48"/>
        <v>30</v>
      </c>
      <c r="N155" s="6">
        <f t="shared" si="49"/>
        <v>0.245</v>
      </c>
      <c r="O155" s="6">
        <f t="shared" si="50"/>
        <v>0.13799999999999998</v>
      </c>
      <c r="P155" s="366">
        <f t="shared" si="44"/>
        <v>1.8771662781255416</v>
      </c>
      <c r="Q155" s="6">
        <f t="shared" si="45"/>
        <v>20.846051563660737</v>
      </c>
      <c r="R155" s="6">
        <f t="shared" si="51"/>
        <v>0.15119139677456103</v>
      </c>
      <c r="S155" s="6">
        <f t="shared" si="53"/>
        <v>15.119139677456102</v>
      </c>
      <c r="T155" s="357">
        <f t="shared" si="54"/>
        <v>2.8308927898858527</v>
      </c>
      <c r="U155" s="358">
        <f>'Berekening trap 1'!H155*$T155</f>
        <v>3.0890659231061175E-2</v>
      </c>
      <c r="V155" s="359">
        <f>'Berekening trap 1'!I155*$T155</f>
        <v>9.8820433303385326E-3</v>
      </c>
    </row>
    <row r="156" spans="1:30" x14ac:dyDescent="0.2">
      <c r="A156" s="45">
        <f>A155*'Berekening trap 1'!H$58</f>
        <v>30.777836692088819</v>
      </c>
      <c r="B156" s="46">
        <f t="shared" si="38"/>
        <v>30.016518164020443</v>
      </c>
      <c r="C156" s="182">
        <f t="shared" si="52"/>
        <v>22.82466871597601</v>
      </c>
      <c r="D156" s="201">
        <f t="shared" si="56"/>
        <v>1.678729924604896E-3</v>
      </c>
      <c r="E156" s="167">
        <f t="shared" si="39"/>
        <v>9.2022852529422602E-3</v>
      </c>
      <c r="F156" s="45">
        <f t="shared" si="40"/>
        <v>3.3490632392448315E-4</v>
      </c>
      <c r="G156" s="183">
        <f t="shared" si="41"/>
        <v>2.8199743886005045E-3</v>
      </c>
      <c r="H156" s="171">
        <f t="shared" si="42"/>
        <v>9.2022852529422602E-3</v>
      </c>
      <c r="I156" s="235">
        <f t="shared" si="43"/>
        <v>2.8199743886005045E-3</v>
      </c>
      <c r="J156" s="145">
        <f>IF(INVOER!$S$36=1,100-H156*100,100-I156*100)</f>
        <v>99.718002561139954</v>
      </c>
      <c r="K156" s="43">
        <f t="shared" si="46"/>
        <v>7</v>
      </c>
      <c r="L156" s="6">
        <f t="shared" si="47"/>
        <v>30</v>
      </c>
      <c r="M156" s="6">
        <f t="shared" si="48"/>
        <v>35</v>
      </c>
      <c r="N156" s="6">
        <f t="shared" si="49"/>
        <v>0.13799999999999998</v>
      </c>
      <c r="O156" s="6">
        <f t="shared" si="50"/>
        <v>7.0000000000000007E-2</v>
      </c>
      <c r="P156" s="366">
        <f t="shared" si="44"/>
        <v>1.9117512811592701</v>
      </c>
      <c r="Q156" s="6">
        <f t="shared" si="45"/>
        <v>20.983788879885228</v>
      </c>
      <c r="R156" s="6">
        <f t="shared" si="51"/>
        <v>0.12495146180640283</v>
      </c>
      <c r="S156" s="6">
        <f t="shared" si="53"/>
        <v>12.495146180640283</v>
      </c>
      <c r="T156" s="357">
        <f t="shared" si="54"/>
        <v>2.6239934968158201</v>
      </c>
      <c r="U156" s="361">
        <f>'Berekening trap 1'!H156*$T156</f>
        <v>2.4146736659564613E-2</v>
      </c>
      <c r="V156" s="362">
        <f>'Berekening trap 1'!I156*$T156</f>
        <v>7.3995944568748919E-3</v>
      </c>
    </row>
    <row r="157" spans="1:30" x14ac:dyDescent="0.2">
      <c r="A157" s="43">
        <f>A156*'Berekening trap 1'!H$58</f>
        <v>32.37972200609326</v>
      </c>
      <c r="B157" s="6">
        <f t="shared" si="38"/>
        <v>31.57877934909104</v>
      </c>
      <c r="C157" s="168">
        <f t="shared" si="52"/>
        <v>24.012617757974038</v>
      </c>
      <c r="D157" s="200">
        <f t="shared" si="56"/>
        <v>1.1342870696674097E-3</v>
      </c>
      <c r="E157" s="197">
        <f t="shared" si="39"/>
        <v>7.726978867806213E-3</v>
      </c>
      <c r="F157" s="43">
        <f t="shared" si="40"/>
        <v>2.0498134619058851E-4</v>
      </c>
      <c r="G157" s="155">
        <f t="shared" si="41"/>
        <v>2.2657675432159094E-3</v>
      </c>
      <c r="H157" s="170">
        <f t="shared" si="42"/>
        <v>7.726978867806213E-3</v>
      </c>
      <c r="I157" s="179">
        <f t="shared" si="43"/>
        <v>2.2657675432159094E-3</v>
      </c>
      <c r="J157" s="147">
        <f>IF(INVOER!$S$36=1,100-H157*100,100-I157*100)</f>
        <v>99.773423245678416</v>
      </c>
      <c r="K157" s="41">
        <f t="shared" si="46"/>
        <v>7</v>
      </c>
      <c r="L157" s="5">
        <f t="shared" si="47"/>
        <v>30</v>
      </c>
      <c r="M157" s="5">
        <f t="shared" si="48"/>
        <v>35</v>
      </c>
      <c r="N157" s="5">
        <f t="shared" si="49"/>
        <v>0.13799999999999998</v>
      </c>
      <c r="O157" s="5">
        <f t="shared" si="50"/>
        <v>7.0000000000000007E-2</v>
      </c>
      <c r="P157" s="365">
        <f t="shared" si="44"/>
        <v>1.9117512811592701</v>
      </c>
      <c r="Q157" s="5">
        <f t="shared" si="45"/>
        <v>20.983788879885228</v>
      </c>
      <c r="R157" s="5">
        <f t="shared" si="51"/>
        <v>0.10109683198828603</v>
      </c>
      <c r="S157" s="5">
        <f t="shared" si="53"/>
        <v>10.109683198828604</v>
      </c>
      <c r="T157" s="363">
        <f t="shared" si="54"/>
        <v>2.3854629818116799</v>
      </c>
      <c r="U157" s="358">
        <f>'Berekening trap 1'!H157*$T157</f>
        <v>1.8432422050392847E-2</v>
      </c>
      <c r="V157" s="359">
        <f>'Berekening trap 1'!I157*$T157</f>
        <v>5.4049045997319476E-3</v>
      </c>
    </row>
    <row r="158" spans="1:30" x14ac:dyDescent="0.2">
      <c r="A158" s="43">
        <f>A157*'Berekening trap 1'!H$58</f>
        <v>34.06498018950677</v>
      </c>
      <c r="B158" s="6">
        <f t="shared" si="38"/>
        <v>33.222351097800015</v>
      </c>
      <c r="C158" s="168">
        <f t="shared" si="52"/>
        <v>25.262395645943275</v>
      </c>
      <c r="D158" s="200">
        <f t="shared" si="56"/>
        <v>7.4868377579729293E-4</v>
      </c>
      <c r="E158" s="197">
        <f t="shared" si="39"/>
        <v>6.459152941395774E-3</v>
      </c>
      <c r="F158" s="43">
        <f t="shared" si="40"/>
        <v>1.2183550198161662E-4</v>
      </c>
      <c r="G158" s="155">
        <f t="shared" si="41"/>
        <v>1.8102805145824071E-3</v>
      </c>
      <c r="H158" s="170">
        <f t="shared" si="42"/>
        <v>6.459152941395774E-3</v>
      </c>
      <c r="I158" s="179">
        <f t="shared" si="43"/>
        <v>1.8102805145824071E-3</v>
      </c>
      <c r="J158" s="145">
        <f>IF(INVOER!$S$36=1,100-H158*100,100-I158*100)</f>
        <v>99.818971948541758</v>
      </c>
      <c r="K158" s="43">
        <f t="shared" si="46"/>
        <v>7</v>
      </c>
      <c r="L158" s="6">
        <f t="shared" si="47"/>
        <v>30</v>
      </c>
      <c r="M158" s="6">
        <f t="shared" si="48"/>
        <v>35</v>
      </c>
      <c r="N158" s="6">
        <f t="shared" si="49"/>
        <v>0.13799999999999998</v>
      </c>
      <c r="O158" s="6">
        <f t="shared" si="50"/>
        <v>7.0000000000000007E-2</v>
      </c>
      <c r="P158" s="366">
        <f t="shared" si="44"/>
        <v>1.9117512811592701</v>
      </c>
      <c r="Q158" s="6">
        <f t="shared" si="45"/>
        <v>20.983788879885228</v>
      </c>
      <c r="R158" s="6">
        <f t="shared" si="51"/>
        <v>8.0050207592498743E-2</v>
      </c>
      <c r="S158" s="6">
        <f t="shared" si="53"/>
        <v>8.0050207592498737</v>
      </c>
      <c r="T158" s="357">
        <f t="shared" si="54"/>
        <v>2.1046624395787292</v>
      </c>
      <c r="U158" s="358">
        <f>'Berekening trap 1'!H158*$T158</f>
        <v>1.3594336587250155E-2</v>
      </c>
      <c r="V158" s="359">
        <f>'Berekening trap 1'!I158*$T158</f>
        <v>3.8100294041428463E-3</v>
      </c>
    </row>
    <row r="159" spans="1:30" x14ac:dyDescent="0.2">
      <c r="A159" s="43">
        <f>A158*'Berekening trap 1'!H$58</f>
        <v>35.837950526354696</v>
      </c>
      <c r="B159" s="6">
        <f t="shared" si="38"/>
        <v>34.951465357930729</v>
      </c>
      <c r="C159" s="168">
        <f t="shared" si="52"/>
        <v>26.577220368247687</v>
      </c>
      <c r="D159" s="200">
        <f t="shared" si="56"/>
        <v>4.8206110518025089E-4</v>
      </c>
      <c r="E159" s="197">
        <f t="shared" si="39"/>
        <v>5.3742964138625317E-3</v>
      </c>
      <c r="F159" s="43">
        <f t="shared" si="40"/>
        <v>7.0201144876750178E-5</v>
      </c>
      <c r="G159" s="155">
        <f t="shared" si="41"/>
        <v>1.4379608773047855E-3</v>
      </c>
      <c r="H159" s="170">
        <f t="shared" si="42"/>
        <v>5.3742964138625317E-3</v>
      </c>
      <c r="I159" s="179">
        <f t="shared" si="43"/>
        <v>1.4379608773047855E-3</v>
      </c>
      <c r="J159" s="145">
        <f>IF(INVOER!$S$36=1,100-H159*100,100-I159*100)</f>
        <v>99.856203912269521</v>
      </c>
      <c r="K159" s="43">
        <f t="shared" si="46"/>
        <v>8</v>
      </c>
      <c r="L159" s="6">
        <f t="shared" si="47"/>
        <v>35</v>
      </c>
      <c r="M159" s="6">
        <f t="shared" si="48"/>
        <v>40</v>
      </c>
      <c r="N159" s="6">
        <f t="shared" si="49"/>
        <v>7.0000000000000007E-2</v>
      </c>
      <c r="O159" s="6">
        <f t="shared" si="50"/>
        <v>3.4000000000000058E-2</v>
      </c>
      <c r="P159" s="366">
        <f t="shared" si="44"/>
        <v>1.7991302748199312</v>
      </c>
      <c r="Q159" s="6">
        <f t="shared" si="45"/>
        <v>20.32243499030216</v>
      </c>
      <c r="R159" s="6">
        <f t="shared" si="51"/>
        <v>6.2355810807561057E-2</v>
      </c>
      <c r="S159" s="6">
        <f t="shared" si="53"/>
        <v>6.2355810807561056</v>
      </c>
      <c r="T159" s="357">
        <f t="shared" si="54"/>
        <v>1.7694396784937685</v>
      </c>
      <c r="U159" s="358">
        <f>'Berekening trap 1'!H159*$T159</f>
        <v>9.5094933186751305E-3</v>
      </c>
      <c r="V159" s="359">
        <f>'Berekening trap 1'!I159*$T159</f>
        <v>2.5443850324247969E-3</v>
      </c>
    </row>
    <row r="160" spans="1:30" x14ac:dyDescent="0.2">
      <c r="A160" s="43">
        <f>A159*'Berekening trap 1'!H$58</f>
        <v>37.703198146144096</v>
      </c>
      <c r="B160" s="6">
        <f t="shared" si="38"/>
        <v>36.770574336249396</v>
      </c>
      <c r="C160" s="168">
        <f t="shared" si="52"/>
        <v>27.960477398976526</v>
      </c>
      <c r="D160" s="200">
        <f t="shared" si="56"/>
        <v>3.0233813498060962E-4</v>
      </c>
      <c r="E160" s="197">
        <f t="shared" si="39"/>
        <v>4.4501518142605308E-3</v>
      </c>
      <c r="F160" s="43">
        <f t="shared" si="40"/>
        <v>3.9140157687976237E-5</v>
      </c>
      <c r="G160" s="155">
        <f t="shared" si="41"/>
        <v>1.1353439881696726E-3</v>
      </c>
      <c r="H160" s="170">
        <f t="shared" si="42"/>
        <v>4.4501518142605308E-3</v>
      </c>
      <c r="I160" s="179">
        <f t="shared" si="43"/>
        <v>1.1353439881696726E-3</v>
      </c>
      <c r="J160" s="145">
        <f>IF(INVOER!$S$36=1,100-H160*100,100-I160*100)</f>
        <v>99.886465601183033</v>
      </c>
      <c r="K160" s="43">
        <f t="shared" si="46"/>
        <v>8</v>
      </c>
      <c r="L160" s="6">
        <f t="shared" si="47"/>
        <v>35</v>
      </c>
      <c r="M160" s="6">
        <f t="shared" si="48"/>
        <v>40</v>
      </c>
      <c r="N160" s="6">
        <f t="shared" si="49"/>
        <v>7.0000000000000007E-2</v>
      </c>
      <c r="O160" s="6">
        <f t="shared" si="50"/>
        <v>3.4000000000000058E-2</v>
      </c>
      <c r="P160" s="366">
        <f t="shared" si="44"/>
        <v>1.7991302748199312</v>
      </c>
      <c r="Q160" s="6">
        <f t="shared" si="45"/>
        <v>20.32243499030216</v>
      </c>
      <c r="R160" s="6">
        <f t="shared" si="51"/>
        <v>4.782906839360513E-2</v>
      </c>
      <c r="S160" s="6">
        <f t="shared" si="53"/>
        <v>4.7829068393605132</v>
      </c>
      <c r="T160" s="357">
        <f t="shared" si="54"/>
        <v>1.4526742413955926</v>
      </c>
      <c r="U160" s="358">
        <f>'Berekening trap 1'!H160*$T160</f>
        <v>6.4646209108761366E-3</v>
      </c>
      <c r="V160" s="359">
        <f>'Berekening trap 1'!I160*$T160</f>
        <v>1.649284966737426E-3</v>
      </c>
    </row>
    <row r="161" spans="1:22" x14ac:dyDescent="0.2">
      <c r="A161" s="45">
        <f>A160*'Berekening trap 1'!H$58</f>
        <v>39.665525778379283</v>
      </c>
      <c r="B161" s="46">
        <f t="shared" si="38"/>
        <v>38.68436196226169</v>
      </c>
      <c r="C161" s="182">
        <f t="shared" si="52"/>
        <v>29.415728415026219</v>
      </c>
      <c r="D161" s="201">
        <f t="shared" si="56"/>
        <v>1.8441308398305922E-4</v>
      </c>
      <c r="E161" s="167">
        <f t="shared" si="39"/>
        <v>3.6665753627934186E-3</v>
      </c>
      <c r="F161" s="45">
        <f t="shared" si="40"/>
        <v>2.1074556190541423E-5</v>
      </c>
      <c r="G161" s="183">
        <f t="shared" si="41"/>
        <v>8.9082758878630071E-4</v>
      </c>
      <c r="H161" s="171">
        <f t="shared" si="42"/>
        <v>3.6665753627934186E-3</v>
      </c>
      <c r="I161" s="235">
        <f t="shared" si="43"/>
        <v>8.9082758878630071E-4</v>
      </c>
      <c r="J161" s="238">
        <f>IF(INVOER!$S$36=1,100-H161*100,100-I161*100)</f>
        <v>99.910917241121368</v>
      </c>
      <c r="K161" s="43">
        <f t="shared" si="46"/>
        <v>8</v>
      </c>
      <c r="L161" s="6">
        <f t="shared" si="47"/>
        <v>35</v>
      </c>
      <c r="M161" s="6">
        <f t="shared" si="48"/>
        <v>40</v>
      </c>
      <c r="N161" s="6">
        <f t="shared" si="49"/>
        <v>7.0000000000000007E-2</v>
      </c>
      <c r="O161" s="6">
        <f t="shared" si="50"/>
        <v>3.4000000000000058E-2</v>
      </c>
      <c r="P161" s="366">
        <f t="shared" si="44"/>
        <v>1.7991302748199312</v>
      </c>
      <c r="Q161" s="6">
        <f t="shared" si="45"/>
        <v>20.32243499030216</v>
      </c>
      <c r="R161" s="6">
        <f t="shared" si="51"/>
        <v>3.5768241765298824E-2</v>
      </c>
      <c r="S161" s="6">
        <f t="shared" si="53"/>
        <v>3.5768241765298825</v>
      </c>
      <c r="T161" s="357">
        <f t="shared" si="54"/>
        <v>1.2060826628306307</v>
      </c>
      <c r="U161" s="361">
        <f>'Berekening trap 1'!H161*$T161</f>
        <v>4.4221929770270722E-3</v>
      </c>
      <c r="V161" s="362">
        <f>'Berekening trap 1'!I161*$T161</f>
        <v>1.0744117104063717E-3</v>
      </c>
    </row>
    <row r="162" spans="1:22" x14ac:dyDescent="0.2">
      <c r="A162" s="43">
        <f>A161*'Berekening trap 1'!H$58</f>
        <v>41.729986118861326</v>
      </c>
      <c r="B162" s="6">
        <f t="shared" si="38"/>
        <v>40.697755948620305</v>
      </c>
      <c r="C162" s="168">
        <f t="shared" si="52"/>
        <v>30.946720466877792</v>
      </c>
      <c r="D162" s="200">
        <f t="shared" si="56"/>
        <v>1.0921414238054586E-4</v>
      </c>
      <c r="E162" s="197">
        <f t="shared" si="39"/>
        <v>3.005403224796224E-3</v>
      </c>
      <c r="F162" s="43">
        <f t="shared" si="40"/>
        <v>1.0935802067052317E-5</v>
      </c>
      <c r="G162" s="155">
        <f t="shared" si="41"/>
        <v>6.9446471672650041E-4</v>
      </c>
      <c r="H162" s="170">
        <f t="shared" si="42"/>
        <v>3.005403224796224E-3</v>
      </c>
      <c r="I162" s="179">
        <f t="shared" si="43"/>
        <v>6.9446471672650041E-4</v>
      </c>
      <c r="J162" s="145">
        <f>IF(INVOER!$S$36=1,100-H162*100,100-I162*100)</f>
        <v>99.930553528327351</v>
      </c>
      <c r="K162" s="41">
        <f t="shared" si="46"/>
        <v>9</v>
      </c>
      <c r="L162" s="5">
        <f t="shared" si="47"/>
        <v>40</v>
      </c>
      <c r="M162" s="5">
        <f t="shared" si="48"/>
        <v>45</v>
      </c>
      <c r="N162" s="5">
        <f t="shared" si="49"/>
        <v>3.4000000000000058E-2</v>
      </c>
      <c r="O162" s="5">
        <f t="shared" si="50"/>
        <v>1.4999999999999999E-2</v>
      </c>
      <c r="P162" s="365">
        <f t="shared" si="44"/>
        <v>1.8400445230867637</v>
      </c>
      <c r="Q162" s="5">
        <f t="shared" si="45"/>
        <v>20.630741782331327</v>
      </c>
      <c r="R162" s="5">
        <f t="shared" si="51"/>
        <v>2.5851989664485712E-2</v>
      </c>
      <c r="S162" s="5">
        <f t="shared" si="53"/>
        <v>2.5851989664485711</v>
      </c>
      <c r="T162" s="363">
        <f t="shared" si="54"/>
        <v>0.99162521008131121</v>
      </c>
      <c r="U162" s="358">
        <f>'Berekening trap 1'!H162*$T162</f>
        <v>2.9802336041676058E-3</v>
      </c>
      <c r="V162" s="359">
        <f>'Berekening trap 1'!I162*$T162</f>
        <v>6.8864872061797429E-4</v>
      </c>
    </row>
    <row r="163" spans="1:22" x14ac:dyDescent="0.2">
      <c r="A163" s="43">
        <f>A162*'Berekening trap 1'!H$58</f>
        <v>43.901894839612829</v>
      </c>
      <c r="B163" s="6">
        <f t="shared" si="38"/>
        <v>42.815940479237078</v>
      </c>
      <c r="C163" s="168">
        <f t="shared" si="52"/>
        <v>32.557395626683117</v>
      </c>
      <c r="D163" s="200">
        <f t="shared" si="56"/>
        <v>6.2689087227202507E-5</v>
      </c>
      <c r="E163" s="197">
        <f t="shared" si="39"/>
        <v>2.4503224421235301E-3</v>
      </c>
      <c r="F163" s="43">
        <f t="shared" si="40"/>
        <v>5.4568801048768113E-6</v>
      </c>
      <c r="G163" s="155">
        <f t="shared" si="41"/>
        <v>5.3777348641243178E-4</v>
      </c>
      <c r="H163" s="170">
        <f t="shared" si="42"/>
        <v>2.4503224421235301E-3</v>
      </c>
      <c r="I163" s="179">
        <f t="shared" si="43"/>
        <v>5.3777348641243178E-4</v>
      </c>
      <c r="J163" s="145">
        <f>IF(INVOER!$S$36=1,100-H163*100,100-I163*100)</f>
        <v>99.946222651358752</v>
      </c>
      <c r="K163" s="43">
        <f t="shared" si="46"/>
        <v>9</v>
      </c>
      <c r="L163" s="6">
        <f t="shared" si="47"/>
        <v>40</v>
      </c>
      <c r="M163" s="6">
        <f t="shared" si="48"/>
        <v>45</v>
      </c>
      <c r="N163" s="6">
        <f t="shared" si="49"/>
        <v>3.4000000000000058E-2</v>
      </c>
      <c r="O163" s="6">
        <f t="shared" si="50"/>
        <v>1.4999999999999999E-2</v>
      </c>
      <c r="P163" s="366">
        <f t="shared" si="44"/>
        <v>1.8400445230867637</v>
      </c>
      <c r="Q163" s="6">
        <f t="shared" si="45"/>
        <v>20.630741782331327</v>
      </c>
      <c r="R163" s="6">
        <f t="shared" si="51"/>
        <v>1.8077850675958004E-2</v>
      </c>
      <c r="S163" s="6">
        <f t="shared" si="53"/>
        <v>1.8077850675958005</v>
      </c>
      <c r="T163" s="357">
        <f t="shared" si="54"/>
        <v>0.77741389885277079</v>
      </c>
      <c r="U163" s="358">
        <f>'Berekening trap 1'!H163*$T163</f>
        <v>1.9049147231776963E-3</v>
      </c>
      <c r="V163" s="359">
        <f>'Berekening trap 1'!I163*$T163</f>
        <v>4.1807258277153612E-4</v>
      </c>
    </row>
    <row r="164" spans="1:22" x14ac:dyDescent="0.2">
      <c r="A164" s="43">
        <f>A163*'Berekening trap 1'!H$58</f>
        <v>46.186844275926525</v>
      </c>
      <c r="B164" s="6">
        <f t="shared" si="38"/>
        <v>45.044369557769677</v>
      </c>
      <c r="C164" s="168">
        <f t="shared" si="52"/>
        <v>34.251901138502333</v>
      </c>
      <c r="D164" s="200">
        <f t="shared" si="56"/>
        <v>3.4811532125575695E-5</v>
      </c>
      <c r="E164" s="197">
        <f t="shared" si="39"/>
        <v>1.9867455495943677E-3</v>
      </c>
      <c r="F164" s="43">
        <f t="shared" si="40"/>
        <v>2.6123308194176834E-6</v>
      </c>
      <c r="G164" s="155">
        <f t="shared" si="41"/>
        <v>4.135626268346118E-4</v>
      </c>
      <c r="H164" s="170">
        <f t="shared" si="42"/>
        <v>1.9867455495943677E-3</v>
      </c>
      <c r="I164" s="179">
        <f t="shared" si="43"/>
        <v>4.135626268346118E-4</v>
      </c>
      <c r="J164" s="145">
        <f>IF(INVOER!$S$36=1,100-H164*100,100-I164*100)</f>
        <v>99.958643737316535</v>
      </c>
      <c r="K164" s="43">
        <f t="shared" si="46"/>
        <v>10</v>
      </c>
      <c r="L164" s="6">
        <f t="shared" si="47"/>
        <v>45</v>
      </c>
      <c r="M164" s="6">
        <f t="shared" si="48"/>
        <v>50</v>
      </c>
      <c r="N164" s="6">
        <f t="shared" si="49"/>
        <v>1.4999999999999999E-2</v>
      </c>
      <c r="O164" s="6">
        <f t="shared" si="50"/>
        <v>5.0000000000000001E-3</v>
      </c>
      <c r="P164" s="366">
        <f t="shared" si="44"/>
        <v>2.205522509254938</v>
      </c>
      <c r="Q164" s="6">
        <f t="shared" si="45"/>
        <v>23.476889998539118</v>
      </c>
      <c r="R164" s="6">
        <f t="shared" si="51"/>
        <v>1.1703246856052693E-2</v>
      </c>
      <c r="S164" s="6">
        <f t="shared" si="53"/>
        <v>1.1703246856052694</v>
      </c>
      <c r="T164" s="357">
        <f t="shared" si="54"/>
        <v>0.63746038199053112</v>
      </c>
      <c r="U164" s="358">
        <f>'Berekening trap 1'!H164*$T164</f>
        <v>1.2664715769624133E-3</v>
      </c>
      <c r="V164" s="359">
        <f>'Berekening trap 1'!I164*$T164</f>
        <v>2.6362979007899911E-4</v>
      </c>
    </row>
    <row r="165" spans="1:22" x14ac:dyDescent="0.2">
      <c r="A165" s="43">
        <f>A164*'Berekening trap 1'!H$58</f>
        <v>48.590717825779834</v>
      </c>
      <c r="B165" s="6">
        <f t="shared" si="38"/>
        <v>47.388781050853183</v>
      </c>
      <c r="C165" s="168">
        <f t="shared" si="52"/>
        <v>36.03460009682783</v>
      </c>
      <c r="D165" s="200">
        <f t="shared" si="56"/>
        <v>1.8664510321019024E-5</v>
      </c>
      <c r="E165" s="197">
        <f t="shared" si="39"/>
        <v>1.6016882820368312E-3</v>
      </c>
      <c r="F165" s="43">
        <f t="shared" si="40"/>
        <v>1.1968236618115754E-6</v>
      </c>
      <c r="G165" s="155">
        <f t="shared" si="41"/>
        <v>3.1577189002215554E-4</v>
      </c>
      <c r="H165" s="170">
        <f t="shared" si="42"/>
        <v>1.6016882820368312E-3</v>
      </c>
      <c r="I165" s="179">
        <f t="shared" si="43"/>
        <v>3.1577189002215554E-4</v>
      </c>
      <c r="J165" s="145">
        <f>IF(INVOER!$S$36=1,100-H165*100,100-I165*100)</f>
        <v>99.968422810997779</v>
      </c>
      <c r="K165" s="43">
        <f t="shared" si="46"/>
        <v>10</v>
      </c>
      <c r="L165" s="6">
        <f t="shared" si="47"/>
        <v>45</v>
      </c>
      <c r="M165" s="6">
        <f t="shared" si="48"/>
        <v>50</v>
      </c>
      <c r="N165" s="6">
        <f t="shared" si="49"/>
        <v>1.4999999999999999E-2</v>
      </c>
      <c r="O165" s="6">
        <f t="shared" si="50"/>
        <v>5.0000000000000001E-3</v>
      </c>
      <c r="P165" s="366">
        <f t="shared" si="44"/>
        <v>2.205522509254938</v>
      </c>
      <c r="Q165" s="6">
        <f t="shared" si="45"/>
        <v>23.476889998539118</v>
      </c>
      <c r="R165" s="6">
        <f t="shared" si="51"/>
        <v>6.9117171150330729E-3</v>
      </c>
      <c r="S165" s="6">
        <f t="shared" si="53"/>
        <v>0.69117171150330725</v>
      </c>
      <c r="T165" s="357">
        <f t="shared" si="54"/>
        <v>0.479152974101962</v>
      </c>
      <c r="U165" s="358">
        <f>'Berekening trap 1'!H165*$T165</f>
        <v>7.6745370392220977E-4</v>
      </c>
      <c r="V165" s="359">
        <f>'Berekening trap 1'!I165*$T165</f>
        <v>1.5130304024191349E-4</v>
      </c>
    </row>
    <row r="166" spans="1:22" x14ac:dyDescent="0.2">
      <c r="A166" s="45">
        <f>A165*'Berekening trap 1'!H$58</f>
        <v>51.119705098691639</v>
      </c>
      <c r="B166" s="46">
        <f t="shared" si="38"/>
        <v>49.855211462235737</v>
      </c>
      <c r="C166" s="182">
        <f t="shared" si="52"/>
        <v>37.910082680890305</v>
      </c>
      <c r="D166" s="201">
        <f t="shared" si="56"/>
        <v>9.6419652020362513E-6</v>
      </c>
      <c r="E166" s="167">
        <f t="shared" si="39"/>
        <v>1.2836501011708904E-3</v>
      </c>
      <c r="F166" s="45">
        <f t="shared" si="40"/>
        <v>5.2337727656594325E-7</v>
      </c>
      <c r="G166" s="183">
        <f t="shared" si="41"/>
        <v>2.393265922848953E-4</v>
      </c>
      <c r="H166" s="171">
        <f t="shared" si="42"/>
        <v>1.2836501011708904E-3</v>
      </c>
      <c r="I166" s="235">
        <f t="shared" si="43"/>
        <v>2.393265922848953E-4</v>
      </c>
      <c r="J166" s="145">
        <f>IF(INVOER!$S$36=1,100-H166*100,100-I166*100)</f>
        <v>99.976067340771507</v>
      </c>
      <c r="K166" s="43">
        <f t="shared" si="46"/>
        <v>11</v>
      </c>
      <c r="L166" s="6">
        <f t="shared" si="47"/>
        <v>50</v>
      </c>
      <c r="M166" s="6" t="str">
        <f t="shared" si="48"/>
        <v>x</v>
      </c>
      <c r="N166" s="6">
        <f t="shared" si="49"/>
        <v>5.0000000000000001E-3</v>
      </c>
      <c r="O166" s="6">
        <f t="shared" si="50"/>
        <v>1</v>
      </c>
      <c r="P166" s="366" t="e">
        <f t="shared" si="44"/>
        <v>#DIV/0!</v>
      </c>
      <c r="Q166" s="6" t="e">
        <f t="shared" si="45"/>
        <v>#DIV/0!</v>
      </c>
      <c r="R166" s="6">
        <f t="shared" si="51"/>
        <v>0</v>
      </c>
      <c r="S166" s="6">
        <f t="shared" si="53"/>
        <v>0</v>
      </c>
      <c r="T166" s="357">
        <f t="shared" si="54"/>
        <v>0</v>
      </c>
      <c r="U166" s="361">
        <f>'Berekening trap 1'!H166*$T166</f>
        <v>0</v>
      </c>
      <c r="V166" s="362">
        <f>'Berekening trap 1'!I166*$T166</f>
        <v>0</v>
      </c>
    </row>
    <row r="167" spans="1:22" x14ac:dyDescent="0.2">
      <c r="A167" s="43">
        <f>A166*'Berekening trap 1'!H$58</f>
        <v>53.78031785302732</v>
      </c>
      <c r="B167" s="6">
        <f t="shared" si="38"/>
        <v>52.450011475859483</v>
      </c>
      <c r="C167" s="168">
        <f t="shared" si="52"/>
        <v>39.883177973673568</v>
      </c>
      <c r="D167" s="200">
        <f t="shared" si="56"/>
        <v>4.7886080653505659E-6</v>
      </c>
      <c r="E167" s="197">
        <f t="shared" si="39"/>
        <v>1.0224975288056814E-3</v>
      </c>
      <c r="F167" s="43">
        <f t="shared" si="40"/>
        <v>2.1786084117091418E-7</v>
      </c>
      <c r="G167" s="155">
        <f t="shared" si="41"/>
        <v>1.8000563682059713E-4</v>
      </c>
      <c r="H167" s="170">
        <f t="shared" si="42"/>
        <v>1.0224975288056814E-3</v>
      </c>
      <c r="I167" s="179">
        <f t="shared" si="43"/>
        <v>1.8000563682059713E-4</v>
      </c>
      <c r="J167" s="147">
        <f>IF(INVOER!$S$36=1,100-H167*100,100-I167*100)</f>
        <v>99.981999436317935</v>
      </c>
      <c r="K167" s="41">
        <f t="shared" si="46"/>
        <v>11</v>
      </c>
      <c r="L167" s="5">
        <f t="shared" si="47"/>
        <v>50</v>
      </c>
      <c r="M167" s="5" t="str">
        <f t="shared" si="48"/>
        <v>x</v>
      </c>
      <c r="N167" s="5">
        <f t="shared" si="49"/>
        <v>5.0000000000000001E-3</v>
      </c>
      <c r="O167" s="5">
        <f t="shared" si="50"/>
        <v>1</v>
      </c>
      <c r="P167" s="365" t="e">
        <f t="shared" si="44"/>
        <v>#DIV/0!</v>
      </c>
      <c r="Q167" s="5" t="e">
        <f t="shared" si="45"/>
        <v>#DIV/0!</v>
      </c>
      <c r="R167" s="5">
        <f t="shared" si="51"/>
        <v>0</v>
      </c>
      <c r="S167" s="5">
        <f t="shared" si="53"/>
        <v>0</v>
      </c>
      <c r="T167" s="363">
        <f t="shared" si="54"/>
        <v>0</v>
      </c>
      <c r="U167" s="358">
        <f>'Berekening trap 1'!H167*$T167</f>
        <v>0</v>
      </c>
      <c r="V167" s="359">
        <f>'Berekening trap 1'!I167*$T167</f>
        <v>0</v>
      </c>
    </row>
    <row r="168" spans="1:22" x14ac:dyDescent="0.2">
      <c r="A168" s="43">
        <f>A167*'Berekening trap 1'!H$58</f>
        <v>56.579406762788139</v>
      </c>
      <c r="B168" s="6">
        <f t="shared" si="38"/>
        <v>55.179862307907726</v>
      </c>
      <c r="C168" s="168">
        <f t="shared" si="52"/>
        <v>41.958966396070224</v>
      </c>
      <c r="D168" s="200">
        <f t="shared" si="56"/>
        <v>2.2810243236542306E-6</v>
      </c>
      <c r="E168" s="197">
        <f t="shared" si="39"/>
        <v>8.0935046998959848E-4</v>
      </c>
      <c r="F168" s="43">
        <f t="shared" si="40"/>
        <v>8.6069333751085216E-8</v>
      </c>
      <c r="G168" s="155">
        <f t="shared" si="41"/>
        <v>1.3432240614113909E-4</v>
      </c>
      <c r="H168" s="170">
        <f t="shared" si="42"/>
        <v>8.0935046998959848E-4</v>
      </c>
      <c r="I168" s="179">
        <f t="shared" si="43"/>
        <v>1.3432240614113909E-4</v>
      </c>
      <c r="J168" s="145">
        <f>IF(INVOER!$S$36=1,100-H168*100,100-I168*100)</f>
        <v>99.986567759385892</v>
      </c>
      <c r="K168" s="43">
        <f t="shared" si="46"/>
        <v>11</v>
      </c>
      <c r="L168" s="6">
        <f t="shared" si="47"/>
        <v>50</v>
      </c>
      <c r="M168" s="6" t="str">
        <f t="shared" si="48"/>
        <v>x</v>
      </c>
      <c r="N168" s="6">
        <f t="shared" si="49"/>
        <v>5.0000000000000001E-3</v>
      </c>
      <c r="O168" s="6">
        <f t="shared" si="50"/>
        <v>1</v>
      </c>
      <c r="P168" s="366" t="e">
        <f t="shared" si="44"/>
        <v>#DIV/0!</v>
      </c>
      <c r="Q168" s="6" t="e">
        <f t="shared" si="45"/>
        <v>#DIV/0!</v>
      </c>
      <c r="R168" s="6">
        <f t="shared" si="51"/>
        <v>0</v>
      </c>
      <c r="S168" s="6">
        <f t="shared" si="53"/>
        <v>0</v>
      </c>
      <c r="T168" s="357">
        <f t="shared" si="54"/>
        <v>0</v>
      </c>
      <c r="U168" s="358">
        <f>'Berekening trap 1'!H168*$T168</f>
        <v>0</v>
      </c>
      <c r="V168" s="359">
        <f>'Berekening trap 1'!I168*$T168</f>
        <v>0</v>
      </c>
    </row>
    <row r="169" spans="1:22" x14ac:dyDescent="0.2">
      <c r="A169" s="43">
        <f>A168*'Berekening trap 1'!H$58</f>
        <v>59.524179057056976</v>
      </c>
      <c r="B169" s="6">
        <f t="shared" si="38"/>
        <v>58.051792909922554</v>
      </c>
      <c r="C169" s="168">
        <f t="shared" si="52"/>
        <v>44.142792788194384</v>
      </c>
      <c r="D169" s="200">
        <f t="shared" si="56"/>
        <v>1.0395586316071828E-6</v>
      </c>
      <c r="E169" s="197">
        <f t="shared" si="39"/>
        <v>6.3647185245131602E-4</v>
      </c>
      <c r="F169" s="43">
        <f t="shared" si="40"/>
        <v>3.2171562640103445E-8</v>
      </c>
      <c r="G169" s="155">
        <f t="shared" si="41"/>
        <v>9.9417918726850429E-5</v>
      </c>
      <c r="H169" s="170">
        <f t="shared" si="42"/>
        <v>6.3647185245131602E-4</v>
      </c>
      <c r="I169" s="179">
        <f t="shared" si="43"/>
        <v>9.9417918726850429E-5</v>
      </c>
      <c r="J169" s="145">
        <f>IF(INVOER!$S$36=1,100-H169*100,100-I169*100)</f>
        <v>99.990058208127309</v>
      </c>
      <c r="K169" s="43">
        <f t="shared" si="46"/>
        <v>11</v>
      </c>
      <c r="L169" s="6">
        <f t="shared" si="47"/>
        <v>50</v>
      </c>
      <c r="M169" s="6" t="str">
        <f t="shared" si="48"/>
        <v>x</v>
      </c>
      <c r="N169" s="6">
        <f t="shared" si="49"/>
        <v>5.0000000000000001E-3</v>
      </c>
      <c r="O169" s="6">
        <f t="shared" si="50"/>
        <v>1</v>
      </c>
      <c r="P169" s="366" t="e">
        <f t="shared" si="44"/>
        <v>#DIV/0!</v>
      </c>
      <c r="Q169" s="6" t="e">
        <f t="shared" si="45"/>
        <v>#DIV/0!</v>
      </c>
      <c r="R169" s="6">
        <f t="shared" si="51"/>
        <v>0</v>
      </c>
      <c r="S169" s="6">
        <f t="shared" si="53"/>
        <v>0</v>
      </c>
      <c r="T169" s="357">
        <f t="shared" si="54"/>
        <v>0</v>
      </c>
      <c r="U169" s="358">
        <f>'Berekening trap 1'!H169*$T169</f>
        <v>0</v>
      </c>
      <c r="V169" s="359">
        <f>'Berekening trap 1'!I169*$T169</f>
        <v>0</v>
      </c>
    </row>
    <row r="170" spans="1:22" x14ac:dyDescent="0.2">
      <c r="A170" s="43">
        <f>A169*'Berekening trap 1'!H$58</f>
        <v>62.622217077519267</v>
      </c>
      <c r="B170" s="6">
        <f t="shared" si="38"/>
        <v>61.073198067288118</v>
      </c>
      <c r="C170" s="168">
        <f t="shared" si="52"/>
        <v>46.44028017153363</v>
      </c>
      <c r="D170" s="200">
        <f t="shared" si="56"/>
        <v>4.5208896372154276E-7</v>
      </c>
      <c r="E170" s="197">
        <f t="shared" si="39"/>
        <v>4.9716100217613501E-4</v>
      </c>
      <c r="F170" s="43">
        <f t="shared" si="40"/>
        <v>1.1340167512645442E-8</v>
      </c>
      <c r="G170" s="155">
        <f t="shared" si="41"/>
        <v>7.296562741606576E-5</v>
      </c>
      <c r="H170" s="170">
        <f t="shared" si="42"/>
        <v>4.9716100217613501E-4</v>
      </c>
      <c r="I170" s="179">
        <f t="shared" si="43"/>
        <v>7.296562741606576E-5</v>
      </c>
      <c r="J170" s="145">
        <f>IF(INVOER!$S$36=1,100-H170*100,100-I170*100)</f>
        <v>99.992703437258399</v>
      </c>
      <c r="K170" s="43">
        <f t="shared" si="46"/>
        <v>11</v>
      </c>
      <c r="L170" s="6">
        <f t="shared" si="47"/>
        <v>50</v>
      </c>
      <c r="M170" s="6" t="str">
        <f t="shared" si="48"/>
        <v>x</v>
      </c>
      <c r="N170" s="6">
        <f t="shared" si="49"/>
        <v>5.0000000000000001E-3</v>
      </c>
      <c r="O170" s="6">
        <f t="shared" si="50"/>
        <v>1</v>
      </c>
      <c r="P170" s="366" t="e">
        <f t="shared" si="44"/>
        <v>#DIV/0!</v>
      </c>
      <c r="Q170" s="6" t="e">
        <f t="shared" si="45"/>
        <v>#DIV/0!</v>
      </c>
      <c r="R170" s="6">
        <f t="shared" si="51"/>
        <v>0</v>
      </c>
      <c r="S170" s="6">
        <f t="shared" si="53"/>
        <v>0</v>
      </c>
      <c r="T170" s="357">
        <f t="shared" si="54"/>
        <v>0</v>
      </c>
      <c r="U170" s="358">
        <f>'Berekening trap 1'!H170*$T170</f>
        <v>0</v>
      </c>
      <c r="V170" s="359">
        <f>'Berekening trap 1'!I170*$T170</f>
        <v>0</v>
      </c>
    </row>
    <row r="171" spans="1:22" x14ac:dyDescent="0.2">
      <c r="A171" s="45">
        <f>A170*'Berekening trap 1'!H$58</f>
        <v>65.881497801841945</v>
      </c>
      <c r="B171" s="46">
        <f t="shared" si="38"/>
        <v>64.251857439680606</v>
      </c>
      <c r="C171" s="182">
        <f t="shared" si="52"/>
        <v>48.857344227375911</v>
      </c>
      <c r="D171" s="201">
        <f t="shared" si="56"/>
        <v>1.8708720284014739E-7</v>
      </c>
      <c r="E171" s="167">
        <f t="shared" si="39"/>
        <v>3.8565122448569293E-4</v>
      </c>
      <c r="F171" s="45">
        <f t="shared" si="40"/>
        <v>3.7564222397315243E-9</v>
      </c>
      <c r="G171" s="183">
        <f t="shared" si="41"/>
        <v>5.3087206706065881E-5</v>
      </c>
      <c r="H171" s="171">
        <f t="shared" si="42"/>
        <v>3.8565122448569293E-4</v>
      </c>
      <c r="I171" s="235">
        <f t="shared" si="43"/>
        <v>5.3087206706065881E-5</v>
      </c>
      <c r="J171" s="238">
        <f>IF(INVOER!$S$36=1,100-H171*100,100-I171*100)</f>
        <v>99.994691279329388</v>
      </c>
      <c r="K171" s="43">
        <f t="shared" si="46"/>
        <v>11</v>
      </c>
      <c r="L171" s="6">
        <f t="shared" si="47"/>
        <v>50</v>
      </c>
      <c r="M171" s="6" t="str">
        <f t="shared" si="48"/>
        <v>x</v>
      </c>
      <c r="N171" s="6">
        <f t="shared" si="49"/>
        <v>5.0000000000000001E-3</v>
      </c>
      <c r="O171" s="6">
        <f t="shared" si="50"/>
        <v>1</v>
      </c>
      <c r="P171" s="366" t="e">
        <f t="shared" si="44"/>
        <v>#DIV/0!</v>
      </c>
      <c r="Q171" s="6" t="e">
        <f t="shared" si="45"/>
        <v>#DIV/0!</v>
      </c>
      <c r="R171" s="6">
        <f t="shared" si="51"/>
        <v>0</v>
      </c>
      <c r="S171" s="6">
        <f t="shared" si="53"/>
        <v>0</v>
      </c>
      <c r="T171" s="357">
        <f t="shared" si="54"/>
        <v>0</v>
      </c>
      <c r="U171" s="361">
        <f>'Berekening trap 1'!H171*$T171</f>
        <v>0</v>
      </c>
      <c r="V171" s="362">
        <f>'Berekening trap 1'!I171*$T171</f>
        <v>0</v>
      </c>
    </row>
    <row r="172" spans="1:22" x14ac:dyDescent="0.2">
      <c r="A172" s="43">
        <f>A171*'Berekening trap 1'!H$58</f>
        <v>69.310413383180176</v>
      </c>
      <c r="B172" s="6">
        <f t="shared" si="38"/>
        <v>67.595955592511061</v>
      </c>
      <c r="C172" s="168">
        <f t="shared" si="52"/>
        <v>51.400208528790913</v>
      </c>
      <c r="D172" s="200">
        <f t="shared" si="56"/>
        <v>7.3455938314787956E-8</v>
      </c>
      <c r="E172" s="197">
        <f t="shared" si="39"/>
        <v>2.9701207086010298E-4</v>
      </c>
      <c r="F172" s="43">
        <f t="shared" si="40"/>
        <v>1.1650130306970665E-9</v>
      </c>
      <c r="G172" s="155">
        <f t="shared" si="41"/>
        <v>3.8278640271447143E-5</v>
      </c>
      <c r="H172" s="170">
        <f t="shared" si="42"/>
        <v>2.9701207086010298E-4</v>
      </c>
      <c r="I172" s="179">
        <f t="shared" si="43"/>
        <v>3.8278640271447143E-5</v>
      </c>
      <c r="J172" s="145">
        <f>IF(INVOER!$S$36=1,100-H172*100,100-I172*100)</f>
        <v>99.996172135972856</v>
      </c>
      <c r="K172" s="41">
        <f t="shared" ref="K172:K186" si="57">VLOOKUP(A172,Z$76:AB$146,3)</f>
        <v>11</v>
      </c>
      <c r="L172" s="5">
        <f t="shared" ref="L172:L186" si="58">IF(K172=0,VLOOKUP(1,Y$77:AA$146,2),VLOOKUP(K172,Y$76:Z$145,2))</f>
        <v>50</v>
      </c>
      <c r="M172" s="5" t="str">
        <f t="shared" ref="M172:M186" si="59">IF(K172=0,VLOOKUP(2,Y$77:AA$145,2),VLOOKUP(K172+1,Y$77:Z$145,2))</f>
        <v>x</v>
      </c>
      <c r="N172" s="5">
        <f t="shared" ref="N172:N185" si="60">(VLOOKUP(L172,Z$76:AA$146,2))/100</f>
        <v>5.0000000000000001E-3</v>
      </c>
      <c r="O172" s="5">
        <f t="shared" ref="O172:O184" si="61">(VLOOKUP(M172,Z$76:AA$145,2))/100</f>
        <v>1</v>
      </c>
      <c r="P172" s="365" t="e">
        <f t="shared" si="44"/>
        <v>#DIV/0!</v>
      </c>
      <c r="Q172" s="5" t="e">
        <f t="shared" si="45"/>
        <v>#DIV/0!</v>
      </c>
      <c r="R172" s="5">
        <f t="shared" si="51"/>
        <v>0</v>
      </c>
      <c r="S172" s="5">
        <f t="shared" si="53"/>
        <v>0</v>
      </c>
      <c r="T172" s="363">
        <f t="shared" si="54"/>
        <v>0</v>
      </c>
      <c r="U172" s="358">
        <f>'Berekening trap 1'!H172*$T172</f>
        <v>0</v>
      </c>
      <c r="V172" s="359">
        <f>'Berekening trap 1'!I172*$T172</f>
        <v>0</v>
      </c>
    </row>
    <row r="173" spans="1:22" x14ac:dyDescent="0.2">
      <c r="A173" s="43">
        <f>A172*'Berekening trap 1'!H$58</f>
        <v>72.917792758697885</v>
      </c>
      <c r="B173" s="6">
        <f t="shared" si="38"/>
        <v>71.114103070939024</v>
      </c>
      <c r="C173" s="168">
        <f t="shared" si="52"/>
        <v>54.075420565386068</v>
      </c>
      <c r="D173" s="200">
        <f t="shared" si="56"/>
        <v>2.7278059698323439E-8</v>
      </c>
      <c r="E173" s="197">
        <f t="shared" si="39"/>
        <v>2.2705674948753421E-4</v>
      </c>
      <c r="F173" s="43">
        <f t="shared" si="40"/>
        <v>3.369666168447039E-10</v>
      </c>
      <c r="G173" s="155">
        <f t="shared" si="41"/>
        <v>2.7345884997622772E-5</v>
      </c>
      <c r="H173" s="170">
        <f t="shared" si="42"/>
        <v>2.2705674948753421E-4</v>
      </c>
      <c r="I173" s="179">
        <f t="shared" si="43"/>
        <v>2.7345884997622772E-5</v>
      </c>
      <c r="J173" s="145">
        <f>IF(INVOER!$S$36=1,100-H173*100,100-I173*100)</f>
        <v>99.997265411500237</v>
      </c>
      <c r="K173" s="43">
        <f t="shared" si="57"/>
        <v>11</v>
      </c>
      <c r="L173" s="6">
        <f t="shared" si="58"/>
        <v>50</v>
      </c>
      <c r="M173" s="6" t="str">
        <f t="shared" si="59"/>
        <v>x</v>
      </c>
      <c r="N173" s="6">
        <f t="shared" si="60"/>
        <v>5.0000000000000001E-3</v>
      </c>
      <c r="O173" s="6">
        <f>(VLOOKUP(M173,Z$76:AA$145,2))/100</f>
        <v>1</v>
      </c>
      <c r="P173" s="366" t="e">
        <f>(LN(LN(N173)/LN(O173)))/LN(L173/M173)</f>
        <v>#DIV/0!</v>
      </c>
      <c r="Q173" s="6" t="e">
        <f t="shared" si="45"/>
        <v>#DIV/0!</v>
      </c>
      <c r="R173" s="6">
        <f t="shared" si="51"/>
        <v>0</v>
      </c>
      <c r="S173" s="6">
        <f t="shared" si="53"/>
        <v>0</v>
      </c>
      <c r="T173" s="357">
        <f t="shared" si="54"/>
        <v>0</v>
      </c>
      <c r="U173" s="358">
        <f>'Berekening trap 1'!H173*$T173</f>
        <v>0</v>
      </c>
      <c r="V173" s="359">
        <f>'Berekening trap 1'!I173*$T173</f>
        <v>0</v>
      </c>
    </row>
    <row r="174" spans="1:22" x14ac:dyDescent="0.2">
      <c r="A174" s="43">
        <f>A173*'Berekening trap 1'!H$58</f>
        <v>76.712924382740908</v>
      </c>
      <c r="B174" s="6">
        <f t="shared" si="38"/>
        <v>74.815358570719397</v>
      </c>
      <c r="C174" s="168">
        <f t="shared" si="52"/>
        <v>56.889868602098524</v>
      </c>
      <c r="D174" s="200">
        <f t="shared" si="56"/>
        <v>9.5491345234388507E-9</v>
      </c>
      <c r="E174" s="197">
        <f t="shared" si="39"/>
        <v>1.7225508787377229E-4</v>
      </c>
      <c r="F174" s="43">
        <f t="shared" si="40"/>
        <v>9.0518992413498787E-11</v>
      </c>
      <c r="G174" s="155">
        <f t="shared" si="41"/>
        <v>1.9349358640447893E-5</v>
      </c>
      <c r="H174" s="170">
        <f t="shared" si="42"/>
        <v>1.7225508787377229E-4</v>
      </c>
      <c r="I174" s="179">
        <f t="shared" si="43"/>
        <v>1.9349358640447893E-5</v>
      </c>
      <c r="J174" s="145">
        <f>IF(INVOER!$S$36=1,100-H174*100,100-I174*100)</f>
        <v>99.998065064135957</v>
      </c>
      <c r="K174" s="43">
        <f t="shared" si="57"/>
        <v>11</v>
      </c>
      <c r="L174" s="6">
        <f t="shared" si="58"/>
        <v>50</v>
      </c>
      <c r="M174" s="6" t="str">
        <f t="shared" si="59"/>
        <v>x</v>
      </c>
      <c r="N174" s="6">
        <f t="shared" si="60"/>
        <v>5.0000000000000001E-3</v>
      </c>
      <c r="O174" s="6">
        <f t="shared" si="61"/>
        <v>1</v>
      </c>
      <c r="P174" s="366" t="e">
        <f t="shared" si="44"/>
        <v>#DIV/0!</v>
      </c>
      <c r="Q174" s="6" t="e">
        <f t="shared" si="45"/>
        <v>#DIV/0!</v>
      </c>
      <c r="R174" s="6">
        <f t="shared" si="51"/>
        <v>0</v>
      </c>
      <c r="S174" s="6">
        <f t="shared" si="53"/>
        <v>0</v>
      </c>
      <c r="T174" s="357">
        <f t="shared" si="54"/>
        <v>0</v>
      </c>
      <c r="U174" s="358">
        <f>'Berekening trap 1'!H174*$T174</f>
        <v>0</v>
      </c>
      <c r="V174" s="359">
        <f>'Berekening trap 1'!I174*$T174</f>
        <v>0</v>
      </c>
    </row>
    <row r="175" spans="1:22" x14ac:dyDescent="0.2">
      <c r="A175" s="43">
        <f>A174*'Berekening trap 1'!H$58</f>
        <v>80.705580143197025</v>
      </c>
      <c r="B175" s="6">
        <f>(A174+A175)/2</f>
        <v>78.70925226296896</v>
      </c>
      <c r="C175" s="168">
        <f t="shared" si="52"/>
        <v>59.850799415431766</v>
      </c>
      <c r="D175" s="200">
        <f t="shared" si="56"/>
        <v>3.1401695347056031E-9</v>
      </c>
      <c r="E175" s="197">
        <f t="shared" si="39"/>
        <v>1.2965238465716762E-4</v>
      </c>
      <c r="F175" s="43">
        <f t="shared" si="40"/>
        <v>2.248428285921996E-11</v>
      </c>
      <c r="G175" s="155">
        <f t="shared" si="41"/>
        <v>1.3556478437148189E-5</v>
      </c>
      <c r="H175" s="170">
        <f t="shared" si="42"/>
        <v>1.2965238465716762E-4</v>
      </c>
      <c r="I175" s="179">
        <f t="shared" si="43"/>
        <v>1.3556478437148189E-5</v>
      </c>
      <c r="J175" s="145">
        <f>IF(INVOER!$S$36=1,100-H175*100,100-I175*100)</f>
        <v>99.99864435215629</v>
      </c>
      <c r="K175" s="43">
        <f t="shared" si="57"/>
        <v>11</v>
      </c>
      <c r="L175" s="6">
        <f t="shared" si="58"/>
        <v>50</v>
      </c>
      <c r="M175" s="6" t="str">
        <f t="shared" si="59"/>
        <v>x</v>
      </c>
      <c r="N175" s="6">
        <f t="shared" si="60"/>
        <v>5.0000000000000001E-3</v>
      </c>
      <c r="O175" s="6">
        <f t="shared" si="61"/>
        <v>1</v>
      </c>
      <c r="P175" s="366" t="e">
        <f t="shared" si="44"/>
        <v>#DIV/0!</v>
      </c>
      <c r="Q175" s="6" t="e">
        <f t="shared" si="45"/>
        <v>#DIV/0!</v>
      </c>
      <c r="R175" s="6">
        <f t="shared" si="51"/>
        <v>0</v>
      </c>
      <c r="S175" s="6">
        <f t="shared" si="53"/>
        <v>0</v>
      </c>
      <c r="T175" s="357">
        <f t="shared" si="54"/>
        <v>0</v>
      </c>
      <c r="U175" s="358">
        <f>'Berekening trap 1'!H175*$T175</f>
        <v>0</v>
      </c>
      <c r="V175" s="359">
        <f>'Berekening trap 1'!I175*$T175</f>
        <v>0</v>
      </c>
    </row>
    <row r="176" spans="1:22" x14ac:dyDescent="0.2">
      <c r="A176" s="45">
        <f>A175*'Berekening trap 1'!H$58</f>
        <v>84.906040522624096</v>
      </c>
      <c r="B176" s="46">
        <f t="shared" ref="B176:B185" si="62">(A175+A176)/2</f>
        <v>82.805810332910568</v>
      </c>
      <c r="C176" s="182">
        <f t="shared" si="52"/>
        <v>62.965836952805198</v>
      </c>
      <c r="D176" s="201">
        <f t="shared" si="56"/>
        <v>9.6641697896245727E-10</v>
      </c>
      <c r="E176" s="167">
        <f t="shared" ref="E176:E185" si="63">IF(C176-$K$36&gt;0,EXP(-(((C176-$K$36)/$K$38)^$K$40)),1)</f>
        <v>9.6794400940988901E-5</v>
      </c>
      <c r="F176" s="45">
        <f t="shared" ref="F176:F185" si="64">D176^($B$54*$B$63)</f>
        <v>5.1402113113826017E-12</v>
      </c>
      <c r="G176" s="183">
        <f t="shared" ref="G176:G185" si="65">E176^($B$54*$B$63)</f>
        <v>9.4014698924209705E-6</v>
      </c>
      <c r="H176" s="171">
        <f t="shared" ref="H176:H185" si="66">IF(C176&lt;$K$41,D176,E176)</f>
        <v>9.6794400940988901E-5</v>
      </c>
      <c r="I176" s="235">
        <f t="shared" ref="I176:I185" si="67">IF(C176&lt;$K$41,F176,G176)</f>
        <v>9.4014698924209705E-6</v>
      </c>
      <c r="J176" s="145">
        <f>IF(INVOER!$S$36=1,100-H176*100,100-I176*100)</f>
        <v>99.999059853010763</v>
      </c>
      <c r="K176" s="43">
        <f t="shared" si="57"/>
        <v>11</v>
      </c>
      <c r="L176" s="6">
        <f t="shared" si="58"/>
        <v>50</v>
      </c>
      <c r="M176" s="6" t="str">
        <f t="shared" si="59"/>
        <v>x</v>
      </c>
      <c r="N176" s="6">
        <f t="shared" si="60"/>
        <v>5.0000000000000001E-3</v>
      </c>
      <c r="O176" s="6">
        <f t="shared" si="61"/>
        <v>1</v>
      </c>
      <c r="P176" s="366" t="e">
        <f t="shared" ref="P176:P185" si="68">(LN(LN(N176)/LN(O176)))/LN(L176/M176)</f>
        <v>#DIV/0!</v>
      </c>
      <c r="Q176" s="6" t="e">
        <f t="shared" ref="Q176:Q185" si="69">L176/((-LN(N176))^(1/P176))</f>
        <v>#DIV/0!</v>
      </c>
      <c r="R176" s="6">
        <f t="shared" si="51"/>
        <v>0</v>
      </c>
      <c r="S176" s="6">
        <f t="shared" si="53"/>
        <v>0</v>
      </c>
      <c r="T176" s="357">
        <f t="shared" si="54"/>
        <v>0</v>
      </c>
      <c r="U176" s="361">
        <f>'Berekening trap 1'!H176*$T176</f>
        <v>0</v>
      </c>
      <c r="V176" s="362">
        <f>'Berekening trap 1'!I176*$T176</f>
        <v>0</v>
      </c>
    </row>
    <row r="177" spans="1:24" x14ac:dyDescent="0.2">
      <c r="A177" s="43">
        <f>A176*'Berekening trap 1'!H$58</f>
        <v>89.325121068932205</v>
      </c>
      <c r="B177" s="6">
        <f t="shared" si="62"/>
        <v>87.115580795778158</v>
      </c>
      <c r="C177" s="168">
        <f t="shared" si="52"/>
        <v>66.243001963061531</v>
      </c>
      <c r="D177" s="200">
        <f t="shared" si="56"/>
        <v>2.7725925244367501E-10</v>
      </c>
      <c r="E177" s="197">
        <f t="shared" si="63"/>
        <v>7.1658644746713142E-5</v>
      </c>
      <c r="F177" s="43">
        <f t="shared" si="64"/>
        <v>1.0762203686662708E-12</v>
      </c>
      <c r="G177" s="155">
        <f t="shared" si="65"/>
        <v>6.4516696497848005E-6</v>
      </c>
      <c r="H177" s="170">
        <f t="shared" si="66"/>
        <v>7.1658644746713142E-5</v>
      </c>
      <c r="I177" s="179">
        <f t="shared" si="67"/>
        <v>6.4516696497848005E-6</v>
      </c>
      <c r="J177" s="147">
        <f>IF(INVOER!$S$36=1,100-H177*100,100-I177*100)</f>
        <v>99.999354833035028</v>
      </c>
      <c r="K177" s="41">
        <f t="shared" si="57"/>
        <v>11</v>
      </c>
      <c r="L177" s="5">
        <f t="shared" si="58"/>
        <v>50</v>
      </c>
      <c r="M177" s="5" t="str">
        <f t="shared" si="59"/>
        <v>x</v>
      </c>
      <c r="N177" s="5">
        <f t="shared" si="60"/>
        <v>5.0000000000000001E-3</v>
      </c>
      <c r="O177" s="5">
        <f t="shared" si="61"/>
        <v>1</v>
      </c>
      <c r="P177" s="365" t="e">
        <f t="shared" si="68"/>
        <v>#DIV/0!</v>
      </c>
      <c r="Q177" s="5" t="e">
        <f t="shared" si="69"/>
        <v>#DIV/0!</v>
      </c>
      <c r="R177" s="5">
        <f t="shared" si="51"/>
        <v>0</v>
      </c>
      <c r="S177" s="5">
        <f t="shared" si="53"/>
        <v>0</v>
      </c>
      <c r="T177" s="363">
        <f t="shared" si="54"/>
        <v>0</v>
      </c>
      <c r="U177" s="358">
        <f>'Berekening trap 1'!H177*$T177</f>
        <v>0</v>
      </c>
      <c r="V177" s="359">
        <f>'Berekening trap 1'!I177*$T177</f>
        <v>0</v>
      </c>
    </row>
    <row r="178" spans="1:24" x14ac:dyDescent="0.2">
      <c r="A178" s="43">
        <f>A177*'Berekening trap 1'!H$58</f>
        <v>93.974200243777886</v>
      </c>
      <c r="B178" s="6">
        <f t="shared" si="62"/>
        <v>91.649660656355053</v>
      </c>
      <c r="C178" s="168">
        <f t="shared" si="52"/>
        <v>69.690732648677624</v>
      </c>
      <c r="D178" s="200">
        <f t="shared" si="56"/>
        <v>7.3841988132131709E-11</v>
      </c>
      <c r="E178" s="197">
        <f t="shared" si="63"/>
        <v>5.259200109937191E-5</v>
      </c>
      <c r="F178" s="43">
        <f t="shared" si="64"/>
        <v>2.0529003442098715E-13</v>
      </c>
      <c r="G178" s="155">
        <f t="shared" si="65"/>
        <v>4.3795638987650161E-6</v>
      </c>
      <c r="H178" s="170">
        <f t="shared" si="66"/>
        <v>5.259200109937191E-5</v>
      </c>
      <c r="I178" s="179">
        <f t="shared" si="67"/>
        <v>4.3795638987650161E-6</v>
      </c>
      <c r="J178" s="145">
        <f>IF(INVOER!$S$36=1,100-H178*100,100-I178*100)</f>
        <v>99.999562043610126</v>
      </c>
      <c r="K178" s="43">
        <f t="shared" si="57"/>
        <v>11</v>
      </c>
      <c r="L178" s="6">
        <f t="shared" si="58"/>
        <v>50</v>
      </c>
      <c r="M178" s="6" t="str">
        <f t="shared" si="59"/>
        <v>x</v>
      </c>
      <c r="N178" s="6">
        <f t="shared" si="60"/>
        <v>5.0000000000000001E-3</v>
      </c>
      <c r="O178" s="6">
        <f t="shared" si="61"/>
        <v>1</v>
      </c>
      <c r="P178" s="366" t="e">
        <f t="shared" si="68"/>
        <v>#DIV/0!</v>
      </c>
      <c r="Q178" s="6" t="e">
        <f t="shared" si="69"/>
        <v>#DIV/0!</v>
      </c>
      <c r="R178" s="6">
        <f t="shared" si="51"/>
        <v>0</v>
      </c>
      <c r="S178" s="6">
        <f t="shared" si="53"/>
        <v>0</v>
      </c>
      <c r="T178" s="357">
        <f t="shared" si="54"/>
        <v>0</v>
      </c>
      <c r="U178" s="358">
        <f>'Berekening trap 1'!H178*$T178</f>
        <v>0</v>
      </c>
      <c r="V178" s="359">
        <f>'Berekening trap 1'!I178*$T178</f>
        <v>0</v>
      </c>
    </row>
    <row r="179" spans="1:24" x14ac:dyDescent="0.2">
      <c r="A179" s="43">
        <f>A178*'Berekening trap 1'!H$58</f>
        <v>98.865248720375803</v>
      </c>
      <c r="B179" s="6">
        <f t="shared" si="62"/>
        <v>96.419724482076845</v>
      </c>
      <c r="C179" s="168">
        <f t="shared" si="52"/>
        <v>73.317906392855093</v>
      </c>
      <c r="D179" s="200">
        <f t="shared" si="56"/>
        <v>1.8175836719552252E-11</v>
      </c>
      <c r="E179" s="197">
        <f t="shared" si="63"/>
        <v>3.8254659828664563E-5</v>
      </c>
      <c r="F179" s="43">
        <f t="shared" si="64"/>
        <v>3.5479207866012791E-14</v>
      </c>
      <c r="G179" s="155">
        <f t="shared" si="65"/>
        <v>2.9398333643422594E-6</v>
      </c>
      <c r="H179" s="170">
        <f t="shared" si="66"/>
        <v>3.8254659828664563E-5</v>
      </c>
      <c r="I179" s="179">
        <f t="shared" si="67"/>
        <v>2.9398333643422594E-6</v>
      </c>
      <c r="J179" s="145">
        <f>IF(INVOER!$S$36=1,100-H179*100,100-I179*100)</f>
        <v>99.999706016663566</v>
      </c>
      <c r="K179" s="43">
        <f t="shared" si="57"/>
        <v>11</v>
      </c>
      <c r="L179" s="6">
        <f t="shared" si="58"/>
        <v>50</v>
      </c>
      <c r="M179" s="6" t="str">
        <f t="shared" si="59"/>
        <v>x</v>
      </c>
      <c r="N179" s="6">
        <f t="shared" si="60"/>
        <v>5.0000000000000001E-3</v>
      </c>
      <c r="O179" s="6">
        <f t="shared" si="61"/>
        <v>1</v>
      </c>
      <c r="P179" s="366" t="e">
        <f t="shared" si="68"/>
        <v>#DIV/0!</v>
      </c>
      <c r="Q179" s="6" t="e">
        <f t="shared" si="69"/>
        <v>#DIV/0!</v>
      </c>
      <c r="R179" s="6">
        <f t="shared" si="51"/>
        <v>0</v>
      </c>
      <c r="S179" s="6">
        <f t="shared" si="53"/>
        <v>0</v>
      </c>
      <c r="T179" s="357">
        <f t="shared" si="54"/>
        <v>0</v>
      </c>
      <c r="U179" s="358">
        <f>'Berekening trap 1'!H179*$T179</f>
        <v>0</v>
      </c>
      <c r="V179" s="359">
        <f>'Berekening trap 1'!I179*$T179</f>
        <v>0</v>
      </c>
    </row>
    <row r="180" spans="1:24" x14ac:dyDescent="0.2">
      <c r="A180" s="43">
        <f>A179*'Berekening trap 1'!H$58</f>
        <v>104.01086020616533</v>
      </c>
      <c r="B180" s="6">
        <f t="shared" si="62"/>
        <v>101.43805446327056</v>
      </c>
      <c r="C180" s="168">
        <f t="shared" si="52"/>
        <v>77.133862617434573</v>
      </c>
      <c r="D180" s="200">
        <f t="shared" si="56"/>
        <v>4.1155003977284932E-12</v>
      </c>
      <c r="E180" s="197">
        <f t="shared" si="63"/>
        <v>2.7570197861770071E-5</v>
      </c>
      <c r="F180" s="43">
        <f t="shared" si="64"/>
        <v>5.522924498875905E-15</v>
      </c>
      <c r="G180" s="155">
        <f t="shared" si="65"/>
        <v>1.9507160999255049E-6</v>
      </c>
      <c r="H180" s="170">
        <f t="shared" si="66"/>
        <v>2.7570197861770071E-5</v>
      </c>
      <c r="I180" s="179">
        <f t="shared" si="67"/>
        <v>1.9507160999255049E-6</v>
      </c>
      <c r="J180" s="145">
        <f>IF(INVOER!$S$36=1,100-H180*100,100-I180*100)</f>
        <v>99.999804928390006</v>
      </c>
      <c r="K180" s="43">
        <f t="shared" si="57"/>
        <v>11</v>
      </c>
      <c r="L180" s="6">
        <f>IF(K180=0,VLOOKUP(1,Y$77:AA$146,2),VLOOKUP(K180,Y$76:Z$145,2))</f>
        <v>50</v>
      </c>
      <c r="M180" s="6" t="str">
        <f t="shared" si="59"/>
        <v>x</v>
      </c>
      <c r="N180" s="6">
        <f t="shared" si="60"/>
        <v>5.0000000000000001E-3</v>
      </c>
      <c r="O180" s="6">
        <f>(VLOOKUP(M180,Z$76:AA$145,2))/100</f>
        <v>1</v>
      </c>
      <c r="P180" s="366" t="e">
        <f t="shared" si="68"/>
        <v>#DIV/0!</v>
      </c>
      <c r="Q180" s="6" t="e">
        <f t="shared" si="69"/>
        <v>#DIV/0!</v>
      </c>
      <c r="R180" s="6">
        <f t="shared" si="51"/>
        <v>0</v>
      </c>
      <c r="S180" s="6">
        <f t="shared" si="53"/>
        <v>0</v>
      </c>
      <c r="T180" s="357">
        <f t="shared" si="54"/>
        <v>0</v>
      </c>
      <c r="U180" s="358">
        <f>'Berekening trap 1'!H180*$T180</f>
        <v>0</v>
      </c>
      <c r="V180" s="359">
        <f>'Berekening trap 1'!I180*$T180</f>
        <v>0</v>
      </c>
    </row>
    <row r="181" spans="1:24" x14ac:dyDescent="0.2">
      <c r="A181" s="45">
        <f>A180*'Berekening trap 1'!H$58</f>
        <v>109.42428386969566</v>
      </c>
      <c r="B181" s="46">
        <f t="shared" si="62"/>
        <v>106.71757203793049</v>
      </c>
      <c r="C181" s="182">
        <f t="shared" si="52"/>
        <v>81.148426830489385</v>
      </c>
      <c r="D181" s="201">
        <f t="shared" si="56"/>
        <v>8.5296347414094821E-13</v>
      </c>
      <c r="E181" s="167">
        <f t="shared" si="63"/>
        <v>1.9681586328647635E-5</v>
      </c>
      <c r="F181" s="45">
        <f t="shared" si="64"/>
        <v>7.6957592762954025E-16</v>
      </c>
      <c r="G181" s="183">
        <f t="shared" si="65"/>
        <v>1.2790481024204085E-6</v>
      </c>
      <c r="H181" s="171">
        <f t="shared" si="66"/>
        <v>1.9681586328647635E-5</v>
      </c>
      <c r="I181" s="235">
        <f t="shared" si="67"/>
        <v>1.2790481024204085E-6</v>
      </c>
      <c r="J181" s="238">
        <f>IF(INVOER!$S$36=1,100-H181*100,100-I181*100)</f>
        <v>99.999872095189758</v>
      </c>
      <c r="K181" s="43">
        <f t="shared" si="57"/>
        <v>11</v>
      </c>
      <c r="L181" s="6">
        <f t="shared" si="58"/>
        <v>50</v>
      </c>
      <c r="M181" s="6" t="str">
        <f>IF(K181=0,VLOOKUP(2,Y$77:AA$145,2),VLOOKUP(K181+1,Y$77:Z$145,2))</f>
        <v>x</v>
      </c>
      <c r="N181" s="6">
        <f t="shared" si="60"/>
        <v>5.0000000000000001E-3</v>
      </c>
      <c r="O181" s="6">
        <f>(VLOOKUP(M181,Z$76:AA$145,2))/100</f>
        <v>1</v>
      </c>
      <c r="P181" s="366" t="e">
        <f>(LN(LN(N181)/LN(O181)))/LN(L181/M181)</f>
        <v>#DIV/0!</v>
      </c>
      <c r="Q181" s="6" t="e">
        <f>L181/((-LN(N181))^(1/P181))</f>
        <v>#DIV/0!</v>
      </c>
      <c r="R181" s="6">
        <f t="shared" si="51"/>
        <v>0</v>
      </c>
      <c r="S181" s="6">
        <f>R181*100</f>
        <v>0</v>
      </c>
      <c r="T181" s="357">
        <f>IF(M181="x",0,(R180-R181)*100)</f>
        <v>0</v>
      </c>
      <c r="U181" s="361">
        <f>'Berekening trap 1'!H181*$T181</f>
        <v>0</v>
      </c>
      <c r="V181" s="362">
        <f>'Berekening trap 1'!I181*$T181</f>
        <v>0</v>
      </c>
    </row>
    <row r="182" spans="1:24" x14ac:dyDescent="0.2">
      <c r="A182" s="43">
        <f>A181*'Berekening trap 1'!H$58</f>
        <v>115.11945845522376</v>
      </c>
      <c r="B182" s="6">
        <f t="shared" si="62"/>
        <v>112.27187116245972</v>
      </c>
      <c r="C182" s="168">
        <f t="shared" si="52"/>
        <v>85.371935925517434</v>
      </c>
      <c r="D182" s="200">
        <f t="shared" si="56"/>
        <v>1.6096510995446435E-13</v>
      </c>
      <c r="E182" s="197">
        <f t="shared" si="63"/>
        <v>1.3912818115932718E-5</v>
      </c>
      <c r="F182" s="43">
        <f t="shared" si="64"/>
        <v>9.5358256560350345E-17</v>
      </c>
      <c r="G182" s="155">
        <f t="shared" si="65"/>
        <v>8.2839694617689438E-7</v>
      </c>
      <c r="H182" s="170">
        <f t="shared" si="66"/>
        <v>1.3912818115932718E-5</v>
      </c>
      <c r="I182" s="179">
        <f t="shared" si="67"/>
        <v>8.2839694617689438E-7</v>
      </c>
      <c r="J182" s="147">
        <f>IF(INVOER!$S$36=1,100-H182*100,100-I182*100)</f>
        <v>99.999917160305387</v>
      </c>
      <c r="K182" s="41">
        <f t="shared" si="57"/>
        <v>11</v>
      </c>
      <c r="L182" s="5">
        <f t="shared" si="58"/>
        <v>50</v>
      </c>
      <c r="M182" s="5" t="str">
        <f t="shared" si="59"/>
        <v>x</v>
      </c>
      <c r="N182" s="5">
        <f t="shared" si="60"/>
        <v>5.0000000000000001E-3</v>
      </c>
      <c r="O182" s="5">
        <f t="shared" si="61"/>
        <v>1</v>
      </c>
      <c r="P182" s="365" t="e">
        <f t="shared" si="68"/>
        <v>#DIV/0!</v>
      </c>
      <c r="Q182" s="5" t="e">
        <f t="shared" si="69"/>
        <v>#DIV/0!</v>
      </c>
      <c r="R182" s="5">
        <f t="shared" ref="R182:R184" si="70">IF(M182="x",0,EXP(-((A182/Q182)^P182)))</f>
        <v>0</v>
      </c>
      <c r="S182" s="5">
        <f t="shared" si="53"/>
        <v>0</v>
      </c>
      <c r="T182" s="363">
        <f>IF(M182="x",0,(R181-R182)*100)</f>
        <v>0</v>
      </c>
      <c r="U182" s="358">
        <f>'Berekening trap 1'!H182*$T182</f>
        <v>0</v>
      </c>
      <c r="V182" s="359">
        <f>'Berekening trap 1'!I182*$T182</f>
        <v>0</v>
      </c>
    </row>
    <row r="183" spans="1:24" x14ac:dyDescent="0.2">
      <c r="A183" s="43">
        <f>A182*'Berekening trap 1'!H$58</f>
        <v>121.11104817286524</v>
      </c>
      <c r="B183" s="6">
        <f t="shared" si="62"/>
        <v>118.11525331404451</v>
      </c>
      <c r="C183" s="168">
        <f t="shared" si="52"/>
        <v>89.815264797373032</v>
      </c>
      <c r="D183" s="200">
        <f t="shared" si="56"/>
        <v>2.7504551867552817E-14</v>
      </c>
      <c r="E183" s="197">
        <f t="shared" si="63"/>
        <v>9.7357906411766769E-6</v>
      </c>
      <c r="F183" s="43">
        <f t="shared" si="64"/>
        <v>1.0434137567748843E-17</v>
      </c>
      <c r="G183" s="155">
        <f t="shared" si="65"/>
        <v>5.2976284786896772E-7</v>
      </c>
      <c r="H183" s="170">
        <f t="shared" si="66"/>
        <v>9.7357906411766769E-6</v>
      </c>
      <c r="I183" s="179">
        <f t="shared" si="67"/>
        <v>5.2976284786896772E-7</v>
      </c>
      <c r="J183" s="145">
        <f>IF(INVOER!$S$36=1,100-H183*100,100-I183*100)</f>
        <v>99.999947023715208</v>
      </c>
      <c r="K183" s="43">
        <f t="shared" si="57"/>
        <v>11</v>
      </c>
      <c r="L183" s="6">
        <f t="shared" si="58"/>
        <v>50</v>
      </c>
      <c r="M183" s="6" t="str">
        <f t="shared" si="59"/>
        <v>x</v>
      </c>
      <c r="N183" s="6">
        <f t="shared" si="60"/>
        <v>5.0000000000000001E-3</v>
      </c>
      <c r="O183" s="6">
        <f t="shared" si="61"/>
        <v>1</v>
      </c>
      <c r="P183" s="366" t="e">
        <f>(LN(LN(N183)/LN(O183)))/LN(L183/M183)</f>
        <v>#DIV/0!</v>
      </c>
      <c r="Q183" s="6" t="e">
        <f t="shared" si="69"/>
        <v>#DIV/0!</v>
      </c>
      <c r="R183" s="6">
        <f t="shared" si="70"/>
        <v>0</v>
      </c>
      <c r="S183" s="6">
        <f t="shared" si="53"/>
        <v>0</v>
      </c>
      <c r="T183" s="357">
        <f>IF(M183="x",0,(R182-R183)*100)</f>
        <v>0</v>
      </c>
      <c r="U183" s="358">
        <f>'Berekening trap 1'!H183*$T183</f>
        <v>0</v>
      </c>
      <c r="V183" s="359">
        <f>'Berekening trap 1'!I183*$T183</f>
        <v>0</v>
      </c>
    </row>
    <row r="184" spans="1:24" x14ac:dyDescent="0.2">
      <c r="A184" s="43">
        <f>A183*'Berekening trap 1'!H$58</f>
        <v>127.41448045670946</v>
      </c>
      <c r="B184" s="6">
        <f t="shared" si="62"/>
        <v>124.26276431478735</v>
      </c>
      <c r="C184" s="168">
        <f t="shared" si="52"/>
        <v>94.489854343470455</v>
      </c>
      <c r="D184" s="200">
        <f t="shared" si="56"/>
        <v>4.2304131472589508E-15</v>
      </c>
      <c r="E184" s="197">
        <f t="shared" si="63"/>
        <v>6.7420327485647819E-6</v>
      </c>
      <c r="F184" s="43">
        <f t="shared" si="64"/>
        <v>1.0007665144176201E-18</v>
      </c>
      <c r="G184" s="155">
        <f t="shared" si="65"/>
        <v>3.3438254166877445E-7</v>
      </c>
      <c r="H184" s="170">
        <f t="shared" si="66"/>
        <v>6.7420327485647819E-6</v>
      </c>
      <c r="I184" s="179">
        <f t="shared" si="67"/>
        <v>3.3438254166877445E-7</v>
      </c>
      <c r="J184" s="145">
        <f>IF(INVOER!$S$36=1,100-H184*100,100-I184*100)</f>
        <v>99.999966561745836</v>
      </c>
      <c r="K184" s="43">
        <f t="shared" si="57"/>
        <v>11</v>
      </c>
      <c r="L184" s="6">
        <f t="shared" si="58"/>
        <v>50</v>
      </c>
      <c r="M184" s="6" t="str">
        <f t="shared" si="59"/>
        <v>x</v>
      </c>
      <c r="N184" s="6">
        <f t="shared" si="60"/>
        <v>5.0000000000000001E-3</v>
      </c>
      <c r="O184" s="6">
        <f t="shared" si="61"/>
        <v>1</v>
      </c>
      <c r="P184" s="366" t="e">
        <f t="shared" si="68"/>
        <v>#DIV/0!</v>
      </c>
      <c r="Q184" s="6" t="e">
        <f t="shared" si="69"/>
        <v>#DIV/0!</v>
      </c>
      <c r="R184" s="6">
        <f t="shared" si="70"/>
        <v>0</v>
      </c>
      <c r="S184" s="6">
        <f t="shared" si="53"/>
        <v>0</v>
      </c>
      <c r="T184" s="357">
        <f>IF(M184="x",0,(R183-R184)*100)</f>
        <v>0</v>
      </c>
      <c r="U184" s="358">
        <f>'Berekening trap 1'!H184*$T184</f>
        <v>0</v>
      </c>
      <c r="V184" s="359">
        <f>'Berekening trap 1'!I184*$T184</f>
        <v>0</v>
      </c>
    </row>
    <row r="185" spans="1:24" x14ac:dyDescent="0.2">
      <c r="A185" s="43">
        <f>A184*'Berekening trap 1'!H$58</f>
        <v>134.04598568812074</v>
      </c>
      <c r="B185" s="6">
        <f t="shared" si="62"/>
        <v>130.7302330724151</v>
      </c>
      <c r="C185" s="168">
        <f t="shared" si="52"/>
        <v>99.407740922358272</v>
      </c>
      <c r="D185" s="200">
        <f t="shared" si="56"/>
        <v>5.8203297879296646E-16</v>
      </c>
      <c r="E185" s="197">
        <f t="shared" si="63"/>
        <v>4.6188340829750183E-6</v>
      </c>
      <c r="F185" s="43">
        <f t="shared" si="64"/>
        <v>8.3479966289273263E-20</v>
      </c>
      <c r="G185" s="155">
        <f t="shared" si="65"/>
        <v>2.0823196950858071E-7</v>
      </c>
      <c r="H185" s="170">
        <f t="shared" si="66"/>
        <v>4.6188340829750183E-6</v>
      </c>
      <c r="I185" s="179">
        <f t="shared" si="67"/>
        <v>2.0823196950858071E-7</v>
      </c>
      <c r="J185" s="145">
        <f>IF(INVOER!$S$36=1,100-H185*100,100-I185*100)</f>
        <v>99.999979176803052</v>
      </c>
      <c r="K185" s="43">
        <f t="shared" si="57"/>
        <v>11</v>
      </c>
      <c r="L185" s="6">
        <f t="shared" si="58"/>
        <v>50</v>
      </c>
      <c r="M185" s="6" t="str">
        <f t="shared" si="59"/>
        <v>x</v>
      </c>
      <c r="N185" s="6">
        <f t="shared" si="60"/>
        <v>5.0000000000000001E-3</v>
      </c>
      <c r="O185" s="6">
        <f>(VLOOKUP(M185,Z$76:AA$145,2))/100</f>
        <v>1</v>
      </c>
      <c r="P185" s="366" t="e">
        <f t="shared" si="68"/>
        <v>#DIV/0!</v>
      </c>
      <c r="Q185" s="6" t="e">
        <f t="shared" si="69"/>
        <v>#DIV/0!</v>
      </c>
      <c r="R185" s="6">
        <f>IF(M185="x",0,EXP(-((A185/Q185)^P185)))</f>
        <v>0</v>
      </c>
      <c r="S185" s="6">
        <f t="shared" si="53"/>
        <v>0</v>
      </c>
      <c r="T185" s="357">
        <f>IF(M185="x",0,(R184-R185)*100)</f>
        <v>0</v>
      </c>
      <c r="U185" s="358">
        <f>'Berekening trap 1'!H185*$T185</f>
        <v>0</v>
      </c>
      <c r="V185" s="359">
        <f>'Berekening trap 1'!I185*$T185</f>
        <v>0</v>
      </c>
    </row>
    <row r="186" spans="1:24" x14ac:dyDescent="0.2">
      <c r="A186" s="169">
        <f>'Berekening trap 1'!K56</f>
        <v>141.02263898650821</v>
      </c>
      <c r="B186" s="46">
        <f>(A185+A186)/2</f>
        <v>137.53431233731447</v>
      </c>
      <c r="C186" s="182">
        <f>B186/$B$51</f>
        <v>104.58158734551613</v>
      </c>
      <c r="D186" s="201">
        <f>IF(C186-$K$35&gt;0,EXP(-(((C186-$K$35)/$K$37)^$K$39)),1)</f>
        <v>7.1157136993783968E-17</v>
      </c>
      <c r="E186" s="167">
        <f>IF(C186-$K$36&gt;0,EXP(-(((C186-$K$36)/$K$38)^$K$40)),1)</f>
        <v>3.1293196494004504E-6</v>
      </c>
      <c r="F186" s="45">
        <f>D186^($B$54*$B$63)</f>
        <v>6.0061730813698341E-21</v>
      </c>
      <c r="G186" s="183">
        <f>E186^($B$54*$B$63)</f>
        <v>1.2788227073009971E-7</v>
      </c>
      <c r="H186" s="171">
        <f>IF(C186&lt;$K$41,D186,E186)</f>
        <v>3.1293196494004504E-6</v>
      </c>
      <c r="I186" s="235">
        <f>IF(C186&lt;$K$41,F186,G186)</f>
        <v>1.2788227073009971E-7</v>
      </c>
      <c r="J186" s="238">
        <f>IF(INVOER!$S$36=1,100-H186*100,100-I186*100)</f>
        <v>99.999987211772932</v>
      </c>
      <c r="K186" s="45">
        <f t="shared" si="57"/>
        <v>11</v>
      </c>
      <c r="L186" s="46">
        <f t="shared" si="58"/>
        <v>50</v>
      </c>
      <c r="M186" s="46" t="str">
        <f t="shared" si="59"/>
        <v>x</v>
      </c>
      <c r="N186" s="46"/>
      <c r="O186" s="46"/>
      <c r="P186" s="367"/>
      <c r="Q186" s="46"/>
      <c r="R186" s="46"/>
      <c r="S186" s="46"/>
      <c r="T186" s="364">
        <f>(VLOOKUP(L186,Z$76:AA$146,2))</f>
        <v>0.5</v>
      </c>
      <c r="U186" s="361">
        <f>'Berekening trap 1'!H186*$T186</f>
        <v>1.5646598247002252E-6</v>
      </c>
      <c r="V186" s="362">
        <f>'Berekening trap 1'!I186*$T186</f>
        <v>6.3941135365049856E-8</v>
      </c>
    </row>
    <row r="187" spans="1:24" x14ac:dyDescent="0.2">
      <c r="C187" s="178"/>
      <c r="G187" s="155"/>
      <c r="H187" s="179"/>
      <c r="I187" s="179"/>
      <c r="S187" t="s">
        <v>234</v>
      </c>
      <c r="T187" s="219">
        <f>SUM(T76:T186)</f>
        <v>99.808828288496684</v>
      </c>
      <c r="U187" s="385">
        <f>(100-T187)*$H$56</f>
        <v>1.9117171150331556E-8</v>
      </c>
      <c r="V187" s="385">
        <f>(100-T187)*$H$56</f>
        <v>1.9117171150331556E-8</v>
      </c>
      <c r="W187" s="6"/>
    </row>
    <row r="188" spans="1:24" x14ac:dyDescent="0.2">
      <c r="C188" s="166"/>
      <c r="L188" s="160"/>
      <c r="M188" s="160"/>
      <c r="N188" s="160"/>
      <c r="O188" s="160"/>
      <c r="P188" s="160"/>
      <c r="Q188" s="160"/>
      <c r="U188" s="9"/>
      <c r="V188" s="209"/>
      <c r="W188" s="6"/>
      <c r="X188" s="166"/>
    </row>
    <row r="189" spans="1:24" x14ac:dyDescent="0.2">
      <c r="C189" s="166"/>
      <c r="Q189" s="210" t="s">
        <v>228</v>
      </c>
      <c r="R189" s="162" t="s">
        <v>193</v>
      </c>
      <c r="S189" s="161"/>
      <c r="T189" s="163"/>
      <c r="U189" s="368">
        <f>SUM(U76:U186)+U187</f>
        <v>11.514208807456392</v>
      </c>
      <c r="V189" s="369">
        <f>SUM(V76:V186)+V187</f>
        <v>8.3256130152307524</v>
      </c>
      <c r="W189" s="55">
        <f>IF(AND(INVOER!$S$36=1,INVOER!C20=1),'Berekening trap 1'!U189,'Berekening trap 1'!V189)</f>
        <v>8.3256130152307524</v>
      </c>
      <c r="X189" s="209" t="s">
        <v>226</v>
      </c>
    </row>
    <row r="190" spans="1:24" x14ac:dyDescent="0.2">
      <c r="Q190" s="210" t="s">
        <v>228</v>
      </c>
      <c r="R190" s="162" t="s">
        <v>129</v>
      </c>
      <c r="S190" s="161"/>
      <c r="T190" s="163"/>
      <c r="U190" s="368">
        <f>100-U189</f>
        <v>88.485791192543616</v>
      </c>
      <c r="V190" s="369">
        <f>100-V189</f>
        <v>91.674386984769242</v>
      </c>
      <c r="W190" s="55">
        <f>IF(AND(INVOER!$S$36=1,INVOER!C20=1),'Berekening trap 1'!U190,'Berekening trap 1'!V190)</f>
        <v>91.674386984769242</v>
      </c>
      <c r="X190" s="209" t="s">
        <v>226</v>
      </c>
    </row>
    <row r="191" spans="1:24" x14ac:dyDescent="0.2">
      <c r="Q191" s="210" t="s">
        <v>228</v>
      </c>
      <c r="R191" s="162" t="s">
        <v>43</v>
      </c>
      <c r="S191" s="208"/>
      <c r="T191" s="208"/>
      <c r="U191" s="370">
        <f>10*B58*U189</f>
        <v>11.142782716893283</v>
      </c>
      <c r="V191" s="370">
        <f>10*B58*V189</f>
        <v>8.0570448534491153</v>
      </c>
      <c r="W191" s="55">
        <f>10*$B$58*W189</f>
        <v>8.0570448534491153</v>
      </c>
      <c r="X191" s="17" t="s">
        <v>20</v>
      </c>
    </row>
    <row r="192" spans="1:24" x14ac:dyDescent="0.2">
      <c r="Q192" s="117" t="s">
        <v>228</v>
      </c>
      <c r="R192" s="162" t="s">
        <v>43</v>
      </c>
      <c r="S192" s="208"/>
      <c r="T192" s="208"/>
      <c r="U192" s="370">
        <f>10*INVOER!W19*U189</f>
        <v>13.642639533392195</v>
      </c>
      <c r="V192" s="370">
        <f>10*INVOER!W19*'Berekening trap 1'!V189</f>
        <v>9.8646237149839742</v>
      </c>
      <c r="W192" s="55">
        <f>IF(AND(INVOER!$S$36=1,INVOER!C20=1),'Berekening trap 1'!U192,'Berekening trap 1'!V192)</f>
        <v>9.8646237149839742</v>
      </c>
      <c r="X192" s="17" t="s">
        <v>249</v>
      </c>
    </row>
    <row r="193" spans="17:24" x14ac:dyDescent="0.2">
      <c r="Q193" s="117"/>
      <c r="R193" s="178"/>
      <c r="S193" s="178"/>
      <c r="T193" s="178"/>
      <c r="U193" s="178"/>
      <c r="V193" s="142"/>
      <c r="W193" s="17"/>
      <c r="X193" s="178"/>
    </row>
    <row r="194" spans="17:24" x14ac:dyDescent="0.2">
      <c r="Q194" s="117"/>
      <c r="R194" s="178"/>
      <c r="S194" s="178"/>
      <c r="T194" s="178"/>
      <c r="U194" s="178"/>
      <c r="V194" s="142"/>
      <c r="W194" s="17"/>
      <c r="X194" s="178"/>
    </row>
    <row r="195" spans="17:24" x14ac:dyDescent="0.2">
      <c r="X195" s="178"/>
    </row>
    <row r="196" spans="17:24" x14ac:dyDescent="0.2">
      <c r="X196" s="178"/>
    </row>
  </sheetData>
  <phoneticPr fontId="0" type="noConversion"/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93" r:id="rId4">
          <objectPr defaultSize="0" autoPict="0" r:id="rId5">
            <anchor moveWithCells="1">
              <from>
                <xdr:col>14</xdr:col>
                <xdr:colOff>600075</xdr:colOff>
                <xdr:row>68</xdr:row>
                <xdr:rowOff>9525</xdr:rowOff>
              </from>
              <to>
                <xdr:col>15</xdr:col>
                <xdr:colOff>638175</xdr:colOff>
                <xdr:row>70</xdr:row>
                <xdr:rowOff>104775</xdr:rowOff>
              </to>
            </anchor>
          </objectPr>
        </oleObject>
      </mc:Choice>
      <mc:Fallback>
        <oleObject progId="Equation.3" shapeId="2293" r:id="rId4"/>
      </mc:Fallback>
    </mc:AlternateContent>
    <mc:AlternateContent xmlns:mc="http://schemas.openxmlformats.org/markup-compatibility/2006">
      <mc:Choice Requires="x14">
        <oleObject progId="Equation.3" shapeId="2296" r:id="rId6">
          <objectPr defaultSize="0" autoPict="0" r:id="rId7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2296" r:id="rId6"/>
      </mc:Fallback>
    </mc:AlternateContent>
    <mc:AlternateContent xmlns:mc="http://schemas.openxmlformats.org/markup-compatibility/2006">
      <mc:Choice Requires="x14">
        <oleObject progId="Equation.3" shapeId="2049" r:id="rId8">
          <objectPr defaultSize="0" autoPict="0" r:id="rId9">
            <anchor moveWithCells="1" sizeWithCells="1">
              <from>
                <xdr:col>11</xdr:col>
                <xdr:colOff>76200</xdr:colOff>
                <xdr:row>33</xdr:row>
                <xdr:rowOff>152400</xdr:rowOff>
              </from>
              <to>
                <xdr:col>13</xdr:col>
                <xdr:colOff>638175</xdr:colOff>
                <xdr:row>37</xdr:row>
                <xdr:rowOff>66675</xdr:rowOff>
              </to>
            </anchor>
          </objectPr>
        </oleObject>
      </mc:Choice>
      <mc:Fallback>
        <oleObject progId="Equation.3" shapeId="2049" r:id="rId8"/>
      </mc:Fallback>
    </mc:AlternateContent>
    <mc:AlternateContent xmlns:mc="http://schemas.openxmlformats.org/markup-compatibility/2006">
      <mc:Choice Requires="x14">
        <oleObject progId="Equation.3" shapeId="2294" r:id="rId10">
          <objectPr defaultSize="0" autoPict="0" r:id="rId11">
            <anchor moveWithCells="1" sizeWithCells="1">
              <from>
                <xdr:col>11</xdr:col>
                <xdr:colOff>76200</xdr:colOff>
                <xdr:row>37</xdr:row>
                <xdr:rowOff>66675</xdr:rowOff>
              </from>
              <to>
                <xdr:col>13</xdr:col>
                <xdr:colOff>638175</xdr:colOff>
                <xdr:row>40</xdr:row>
                <xdr:rowOff>142875</xdr:rowOff>
              </to>
            </anchor>
          </objectPr>
        </oleObject>
      </mc:Choice>
      <mc:Fallback>
        <oleObject progId="Equation.3" shapeId="2294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/>
  <dimension ref="A1:AF196"/>
  <sheetViews>
    <sheetView topLeftCell="A76" zoomScale="75" workbookViewId="0">
      <selection activeCell="M174" sqref="M174"/>
    </sheetView>
  </sheetViews>
  <sheetFormatPr defaultRowHeight="12.75" x14ac:dyDescent="0.2"/>
  <cols>
    <col min="1" max="16" width="10.7109375" customWidth="1"/>
    <col min="17" max="17" width="14.5703125" customWidth="1"/>
    <col min="18" max="18" width="10.7109375" customWidth="1"/>
    <col min="19" max="20" width="11.7109375" customWidth="1"/>
    <col min="21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187</v>
      </c>
    </row>
    <row r="5" spans="1:24" x14ac:dyDescent="0.2">
      <c r="X5" s="36"/>
    </row>
    <row r="6" spans="1:24" x14ac:dyDescent="0.2">
      <c r="A6" s="41" t="str">
        <f>INVOER!A7</f>
        <v>Gasdebiet/batterij</v>
      </c>
      <c r="B6" s="5"/>
      <c r="C6" s="5">
        <f>INVOER!U10</f>
        <v>21.854105533312897</v>
      </c>
      <c r="D6" s="5" t="s">
        <v>48</v>
      </c>
      <c r="E6" s="5" t="s">
        <v>85</v>
      </c>
      <c r="F6" s="5"/>
      <c r="G6" s="5"/>
      <c r="H6" s="42"/>
      <c r="X6" s="36"/>
    </row>
    <row r="7" spans="1:24" x14ac:dyDescent="0.2">
      <c r="A7" s="43" t="str">
        <f>INVOER!A8</f>
        <v>Dichtheid gas</v>
      </c>
      <c r="B7" s="6"/>
      <c r="C7" s="6">
        <f>INVOER!T16</f>
        <v>0.99</v>
      </c>
      <c r="D7" s="6" t="s">
        <v>16</v>
      </c>
      <c r="E7" s="6"/>
      <c r="F7" s="6"/>
      <c r="G7" s="6"/>
      <c r="H7" s="44"/>
      <c r="X7" s="36"/>
    </row>
    <row r="8" spans="1:24" x14ac:dyDescent="0.2">
      <c r="A8" s="43" t="str">
        <f>INVOER!A9</f>
        <v>Dyn. viscositeit gas</v>
      </c>
      <c r="B8" s="6"/>
      <c r="C8" s="6">
        <f>INVOER!C9</f>
        <v>1.9E-2</v>
      </c>
      <c r="D8" s="6" t="str">
        <f>INVOER!B9</f>
        <v>mPas of cP</v>
      </c>
      <c r="E8" s="6"/>
      <c r="F8" s="6"/>
      <c r="G8" s="6"/>
      <c r="H8" s="44"/>
      <c r="X8" s="36"/>
    </row>
    <row r="9" spans="1:24" x14ac:dyDescent="0.2">
      <c r="A9" s="43" t="str">
        <f>INVOER!A10</f>
        <v>Deeltjesdichtheid</v>
      </c>
      <c r="B9" s="6"/>
      <c r="C9" s="6">
        <f>INVOER!C10</f>
        <v>1600</v>
      </c>
      <c r="D9" s="6" t="str">
        <f>INVOER!B10</f>
        <v>kg/m³</v>
      </c>
      <c r="E9" s="6"/>
      <c r="F9" s="6"/>
      <c r="G9" s="6"/>
      <c r="H9" s="44"/>
      <c r="X9" s="36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36"/>
    </row>
    <row r="11" spans="1:24" x14ac:dyDescent="0.2">
      <c r="A11" s="43" t="str">
        <f>INVOER!A14</f>
        <v>Cycloontype AC</v>
      </c>
      <c r="B11" s="6"/>
      <c r="C11" s="6">
        <f>INVOER!S26</f>
        <v>6</v>
      </c>
      <c r="D11" s="6"/>
      <c r="E11" s="6"/>
      <c r="F11" s="6"/>
      <c r="G11" s="6"/>
      <c r="H11" s="44"/>
      <c r="X11" s="36"/>
    </row>
    <row r="12" spans="1:24" x14ac:dyDescent="0.2">
      <c r="A12" s="43" t="str">
        <f>INVOER!A15</f>
        <v xml:space="preserve">Aantal cyclonen </v>
      </c>
      <c r="B12" s="6"/>
      <c r="C12" s="6">
        <f>INVOER!E15</f>
        <v>6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INVOER!E18</f>
        <v>1250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INVOER!E20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247</v>
      </c>
      <c r="B15" s="6"/>
      <c r="C15" s="117" t="str">
        <f>IF(INVOER!S37=1,"neen","ja")</f>
        <v>neen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2" t="s">
        <v>209</v>
      </c>
      <c r="Q20" t="s">
        <v>188</v>
      </c>
    </row>
    <row r="22" spans="1:20" x14ac:dyDescent="0.2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HLOOKUP(INVOER!S$26,B$22:J$43,1)</f>
        <v>6</v>
      </c>
      <c r="Q22" s="41" t="s">
        <v>197</v>
      </c>
      <c r="R22" s="5"/>
      <c r="S22" s="5"/>
      <c r="T22" s="42"/>
    </row>
    <row r="23" spans="1:20" x14ac:dyDescent="0.2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1" t="s">
        <v>211</v>
      </c>
      <c r="I23" s="148">
        <v>1850</v>
      </c>
      <c r="J23" s="342" t="s">
        <v>212</v>
      </c>
      <c r="K23" s="138">
        <f>HLOOKUP(INVOER!S$26,B$22:J$43,2)</f>
        <v>850</v>
      </c>
      <c r="L23" t="s">
        <v>213</v>
      </c>
      <c r="Q23" s="43"/>
      <c r="R23" s="6"/>
      <c r="S23" s="6"/>
      <c r="T23" s="44"/>
    </row>
    <row r="24" spans="1:20" x14ac:dyDescent="0.2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39">
        <v>0.13600000000000001</v>
      </c>
      <c r="K24" s="138">
        <f>HLOOKUP(INVOER!S$26,B$22:J$43,3)</f>
        <v>0.20300000000000001</v>
      </c>
      <c r="Q24" s="41" t="s">
        <v>39</v>
      </c>
      <c r="R24" s="149">
        <f>C6/C12/K24/K25/(C13/1000)^2</f>
        <v>25.127513880631255</v>
      </c>
      <c r="S24" s="5" t="s">
        <v>3</v>
      </c>
      <c r="T24" s="42"/>
    </row>
    <row r="25" spans="1:20" x14ac:dyDescent="0.2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39">
        <v>0.31</v>
      </c>
      <c r="K25" s="139">
        <f>HLOOKUP(INVOER!S$26,B$22:J$43,4)</f>
        <v>0.45700000000000002</v>
      </c>
      <c r="Q25" s="43" t="s">
        <v>119</v>
      </c>
      <c r="R25" s="61">
        <f>C6/C12/(PI()/4*(C14*K27*C13/1000)^2)</f>
        <v>31.491629059001315</v>
      </c>
      <c r="S25" s="6" t="s">
        <v>3</v>
      </c>
      <c r="T25" s="44"/>
    </row>
    <row r="26" spans="1:20" x14ac:dyDescent="0.2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39">
        <v>0.53</v>
      </c>
      <c r="K26" s="139">
        <f>HLOOKUP(INVOER!S$26,B$22:J$43,5)</f>
        <v>0.56399999999999995</v>
      </c>
      <c r="Q26" s="45"/>
      <c r="R26" s="46"/>
      <c r="S26" s="46"/>
      <c r="T26" s="50"/>
    </row>
    <row r="27" spans="1:20" x14ac:dyDescent="0.2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39">
        <v>0.15</v>
      </c>
      <c r="K27" s="139">
        <f>HLOOKUP(INVOER!S$26,B$22:J$43,6)</f>
        <v>0.307</v>
      </c>
      <c r="Q27" s="211" t="s">
        <v>210</v>
      </c>
      <c r="R27" s="213">
        <f>K43*0.5*C7*R24^2*C14^(-2.23)</f>
        <v>2645.9553191203759</v>
      </c>
      <c r="S27" s="196" t="s">
        <v>189</v>
      </c>
      <c r="T27" s="214"/>
    </row>
    <row r="28" spans="1:20" x14ac:dyDescent="0.2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39">
        <v>0.25</v>
      </c>
      <c r="K28" s="139">
        <f>HLOOKUP(INVOER!S$26,B$22:J$43,7)</f>
        <v>0.42799999999999999</v>
      </c>
      <c r="Q28" s="211" t="s">
        <v>144</v>
      </c>
      <c r="R28" s="213">
        <f>IF(K22=1,"unknown",IF(K22=7,"unknown",IF(K22=8,"unknown",IF(K22=9,"unkown",0.5*C7*R24^2*T39))))</f>
        <v>1928.9908137976563</v>
      </c>
      <c r="S28" s="196" t="s">
        <v>189</v>
      </c>
      <c r="T28" s="215"/>
    </row>
    <row r="29" spans="1:20" x14ac:dyDescent="0.2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35">
        <v>2.4849999999999999</v>
      </c>
      <c r="K29" s="139">
        <f>HLOOKUP(INVOER!S$26,B$22:J$43,8)</f>
        <v>2.4849999999999999</v>
      </c>
      <c r="Q29" s="43"/>
      <c r="R29" s="6"/>
      <c r="S29" s="6"/>
      <c r="T29" s="44"/>
    </row>
    <row r="30" spans="1:20" x14ac:dyDescent="0.2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2"/>
      <c r="K30" s="139">
        <v>1.3120000000000001</v>
      </c>
      <c r="Q30" s="41" t="s">
        <v>23</v>
      </c>
      <c r="R30" s="5" t="s">
        <v>62</v>
      </c>
      <c r="S30" s="5" t="s">
        <v>63</v>
      </c>
      <c r="T30" s="216" t="s">
        <v>145</v>
      </c>
    </row>
    <row r="31" spans="1:20" x14ac:dyDescent="0.2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39">
        <v>0.6</v>
      </c>
      <c r="Q31" s="43">
        <v>300</v>
      </c>
      <c r="R31" s="6"/>
      <c r="S31" s="6"/>
      <c r="T31" s="44" t="s">
        <v>146</v>
      </c>
    </row>
    <row r="32" spans="1:20" x14ac:dyDescent="0.2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2"/>
      <c r="K32" s="139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9" x14ac:dyDescent="0.2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2"/>
      <c r="K33" s="140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9" x14ac:dyDescent="0.2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39">
        <f>HLOOKUP(INVOER!S$26,B$22:J$43,13)</f>
        <v>8.4659999999999993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9" x14ac:dyDescent="0.2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8">
        <v>0.5</v>
      </c>
      <c r="J35" s="338">
        <v>0.4617</v>
      </c>
      <c r="K35" s="138">
        <f>HLOOKUP(INVOER!S$26,B$22:J$43,14)</f>
        <v>0.52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9" x14ac:dyDescent="0.2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9">
        <v>-0.19600000000000001</v>
      </c>
      <c r="J36" s="339">
        <v>-0.23960000000000001</v>
      </c>
      <c r="K36" s="139">
        <f>HLOOKUP(INVOER!S$26,B$22:J$43,15)</f>
        <v>-0.106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9" x14ac:dyDescent="0.2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9">
        <v>1.1927000000000001</v>
      </c>
      <c r="J37" s="339">
        <v>0.29210000000000003</v>
      </c>
      <c r="K37" s="139">
        <f>HLOOKUP(INVOER!S$26,B$22:J$43,16)</f>
        <v>1.9418</v>
      </c>
      <c r="Q37" s="43">
        <v>1850</v>
      </c>
      <c r="R37" s="6"/>
      <c r="S37" s="6"/>
      <c r="T37" s="44" t="s">
        <v>146</v>
      </c>
    </row>
    <row r="38" spans="1:29" x14ac:dyDescent="0.2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9">
        <v>1.36877</v>
      </c>
      <c r="J38" s="339">
        <v>0.12690000000000001</v>
      </c>
      <c r="K38" s="139">
        <f>HLOOKUP(INVOER!S$26,B$22:J$43,17)</f>
        <v>2.0196999999999998</v>
      </c>
      <c r="Q38" s="45"/>
      <c r="R38" s="46"/>
      <c r="S38" s="46"/>
      <c r="T38" s="50"/>
    </row>
    <row r="39" spans="1:29" x14ac:dyDescent="0.2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9">
        <v>0.59833000000000003</v>
      </c>
      <c r="J39" s="339">
        <v>0.45600000000000002</v>
      </c>
      <c r="K39" s="139">
        <f>HLOOKUP(INVOER!S$26,B$22:J$43,18)</f>
        <v>0.73704999999999998</v>
      </c>
      <c r="Q39" s="43"/>
      <c r="R39" s="6" t="s">
        <v>196</v>
      </c>
      <c r="S39" s="6"/>
      <c r="T39" s="214">
        <f>VLOOKUP(K23,Q31:T37,4)</f>
        <v>6.1719999999999997</v>
      </c>
    </row>
    <row r="40" spans="1:29" x14ac:dyDescent="0.2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9">
        <v>0.61733000000000005</v>
      </c>
      <c r="J40" s="339">
        <v>0.36330000000000001</v>
      </c>
      <c r="K40" s="139">
        <f>HLOOKUP(INVOER!S$26,B$22:J$43,19)</f>
        <v>0.7077</v>
      </c>
      <c r="Q40" s="45"/>
      <c r="R40" s="46"/>
      <c r="S40" s="46"/>
      <c r="T40" s="50"/>
    </row>
    <row r="41" spans="1:29" x14ac:dyDescent="0.2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40">
        <v>9.3000000000000007</v>
      </c>
      <c r="J41" s="340">
        <v>10.45</v>
      </c>
      <c r="K41" s="140">
        <f>HLOOKUP(INVOER!S$26,B$22:J$43,20)</f>
        <v>7.8</v>
      </c>
    </row>
    <row r="42" spans="1:29" x14ac:dyDescent="0.2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40"/>
    </row>
    <row r="43" spans="1:29" x14ac:dyDescent="0.2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40">
        <f>HLOOKUP(INVOER!S$26,B$22:J$43,13)</f>
        <v>8.4659999999999993</v>
      </c>
    </row>
    <row r="45" spans="1:29" x14ac:dyDescent="0.2">
      <c r="AB45" s="6"/>
      <c r="AC45" s="6"/>
    </row>
    <row r="46" spans="1:29" x14ac:dyDescent="0.2">
      <c r="AB46" s="6"/>
      <c r="AC46" s="6"/>
    </row>
    <row r="47" spans="1:29" x14ac:dyDescent="0.2">
      <c r="G47" s="166"/>
      <c r="H47" s="166"/>
      <c r="I47" s="166"/>
      <c r="J47" s="166"/>
      <c r="K47" s="166"/>
      <c r="L47" s="166"/>
      <c r="AB47" s="6"/>
      <c r="AC47" s="6"/>
    </row>
    <row r="48" spans="1:29" x14ac:dyDescent="0.2">
      <c r="A48" t="s">
        <v>199</v>
      </c>
      <c r="G48" s="166" t="s">
        <v>190</v>
      </c>
      <c r="H48" s="166"/>
      <c r="I48" s="166"/>
      <c r="J48" s="166"/>
      <c r="K48" s="166"/>
      <c r="L48" s="166"/>
      <c r="N48" s="329" t="s">
        <v>286</v>
      </c>
      <c r="O48" s="166"/>
      <c r="P48" s="166"/>
      <c r="Q48" s="142"/>
      <c r="R48" s="142"/>
      <c r="AB48" s="6"/>
      <c r="AC48" s="6"/>
    </row>
    <row r="49" spans="1:29" x14ac:dyDescent="0.2">
      <c r="G49" s="166"/>
      <c r="H49" s="166"/>
      <c r="I49" s="187"/>
      <c r="J49" s="187"/>
      <c r="K49" s="187"/>
      <c r="L49" s="166"/>
      <c r="N49" s="166"/>
      <c r="O49" s="166"/>
      <c r="P49" s="187"/>
      <c r="Q49" s="135"/>
      <c r="R49" s="135"/>
      <c r="AB49" s="6"/>
      <c r="AC49" s="6"/>
    </row>
    <row r="50" spans="1:29" x14ac:dyDescent="0.2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  <c r="N50" s="188"/>
      <c r="O50" s="189"/>
      <c r="P50" s="190" t="s">
        <v>71</v>
      </c>
      <c r="Q50" s="135"/>
      <c r="R50" s="6"/>
      <c r="AB50" s="6"/>
      <c r="AC50" s="6"/>
    </row>
    <row r="51" spans="1:29" x14ac:dyDescent="0.2">
      <c r="A51" s="43" t="s">
        <v>220</v>
      </c>
      <c r="B51" s="6">
        <f>INVOER!H15*SQRT(INVOER!E18/1000*2000*INVOER!C9*16/INVOER!C10/0.0181/INVOER!E24)</f>
        <v>1.0219573149536789</v>
      </c>
      <c r="C51" s="44"/>
      <c r="G51" s="191" t="s">
        <v>73</v>
      </c>
      <c r="H51" s="189">
        <v>0.95</v>
      </c>
      <c r="I51" s="194">
        <f>$K$37*$B$51*((-LN(H51^(1/($B$54*$B$64))))^(1/$K$39))+$K$35*$B$51</f>
        <v>0.56669540041387378</v>
      </c>
      <c r="J51" s="202">
        <f t="shared" ref="J51:J56" si="0">$K$38*$B$51*((-LN(H51^(1/($B$54*$B$64))))^(1/$K$40))+$K$36*$B$51</f>
        <v>-7.7281953271202561E-2</v>
      </c>
      <c r="K51" s="204">
        <f>IF(I51/$B$51&lt;K$41,I51,J51)</f>
        <v>0.56669540041387378</v>
      </c>
      <c r="L51" s="166"/>
      <c r="N51" s="191" t="s">
        <v>73</v>
      </c>
      <c r="O51" s="189">
        <v>5</v>
      </c>
      <c r="P51" s="154">
        <f>VLOOKUP(O51,$Q$76:$R$186,2)</f>
        <v>0.54524707943270312</v>
      </c>
      <c r="Q51" s="330"/>
      <c r="R51" s="6"/>
      <c r="AB51" s="6"/>
      <c r="AC51" s="6"/>
    </row>
    <row r="52" spans="1:29" x14ac:dyDescent="0.2">
      <c r="A52" s="45"/>
      <c r="B52" s="46"/>
      <c r="C52" s="50"/>
      <c r="G52" s="192" t="s">
        <v>75</v>
      </c>
      <c r="H52" s="193">
        <v>0.9</v>
      </c>
      <c r="I52" s="195">
        <f t="shared" ref="I52:I56" si="1">$K$37*$B$51*((-LN(H52^(1/($B$54*$B$64))))^(1/$K$39))+$K$35*$B$51</f>
        <v>0.62509753764326492</v>
      </c>
      <c r="J52" s="203">
        <f t="shared" si="0"/>
        <v>-2.247832617716701E-2</v>
      </c>
      <c r="K52" s="205">
        <f t="shared" ref="K52:K56" si="2">IF(I52/$B$51&lt;K$41,I52,J52)</f>
        <v>0.62509753764326492</v>
      </c>
      <c r="L52" s="166"/>
      <c r="N52" s="192" t="s">
        <v>75</v>
      </c>
      <c r="O52" s="193">
        <v>10</v>
      </c>
      <c r="P52" s="335">
        <f t="shared" ref="P52:P55" si="3">VLOOKUP(O52,$Q$76:$R$186,2)</f>
        <v>0.60348071714980889</v>
      </c>
      <c r="Q52" s="330"/>
      <c r="R52" s="6"/>
      <c r="AB52" s="6"/>
      <c r="AC52" s="6"/>
    </row>
    <row r="53" spans="1:29" x14ac:dyDescent="0.2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1"/>
        <v>1.7383297799252895</v>
      </c>
      <c r="J53" s="203">
        <f t="shared" si="0"/>
        <v>1.1213791775573738</v>
      </c>
      <c r="K53" s="205">
        <f t="shared" si="2"/>
        <v>1.7383297799252895</v>
      </c>
      <c r="L53" s="166"/>
      <c r="N53" s="192" t="s">
        <v>77</v>
      </c>
      <c r="O53" s="193">
        <v>50</v>
      </c>
      <c r="P53" s="335">
        <f t="shared" si="3"/>
        <v>1.5041593431111817</v>
      </c>
      <c r="Q53" s="330"/>
      <c r="R53" s="6"/>
      <c r="AB53" s="6"/>
      <c r="AC53" s="6"/>
    </row>
    <row r="54" spans="1:29" x14ac:dyDescent="0.2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1"/>
        <v>6.6842777806606337</v>
      </c>
      <c r="J54" s="203">
        <f t="shared" si="0"/>
        <v>6.5988620043602015</v>
      </c>
      <c r="K54" s="205">
        <f t="shared" si="2"/>
        <v>6.6842777806606337</v>
      </c>
      <c r="L54" s="166"/>
      <c r="N54" s="192" t="s">
        <v>79</v>
      </c>
      <c r="O54" s="193">
        <v>90</v>
      </c>
      <c r="P54" s="335">
        <f t="shared" si="3"/>
        <v>4.1494863793175236</v>
      </c>
      <c r="Q54" s="330"/>
      <c r="R54" s="6"/>
      <c r="AB54" s="6"/>
      <c r="AC54" s="6"/>
    </row>
    <row r="55" spans="1:29" x14ac:dyDescent="0.2">
      <c r="A55" s="43"/>
      <c r="B55" s="6"/>
      <c r="C55" s="44"/>
      <c r="G55" s="192" t="s">
        <v>80</v>
      </c>
      <c r="H55" s="193">
        <v>0.05</v>
      </c>
      <c r="I55" s="195">
        <f t="shared" si="1"/>
        <v>9.3244262090565453</v>
      </c>
      <c r="J55" s="203">
        <f t="shared" si="0"/>
        <v>9.6198561012664197</v>
      </c>
      <c r="K55" s="205">
        <f t="shared" si="2"/>
        <v>9.6198561012664197</v>
      </c>
      <c r="L55" s="166"/>
      <c r="N55" s="332" t="s">
        <v>80</v>
      </c>
      <c r="O55" s="333">
        <v>95</v>
      </c>
      <c r="P55" s="336">
        <f t="shared" si="3"/>
        <v>5.3477299458203902</v>
      </c>
      <c r="Q55" s="330"/>
      <c r="R55" s="6"/>
      <c r="AB55" s="6"/>
      <c r="AC55" s="6"/>
    </row>
    <row r="56" spans="1:29" x14ac:dyDescent="0.2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1"/>
        <v>86.764179826621401</v>
      </c>
      <c r="J56" s="203">
        <f t="shared" si="0"/>
        <v>104.77051113962067</v>
      </c>
      <c r="K56" s="205">
        <f t="shared" si="2"/>
        <v>104.77051113962067</v>
      </c>
      <c r="L56" s="166"/>
      <c r="Q56" s="135"/>
      <c r="R56" s="135"/>
      <c r="S56" s="330"/>
      <c r="T56" s="330"/>
      <c r="U56" s="331"/>
      <c r="AB56" s="6"/>
      <c r="AC56" s="6"/>
    </row>
    <row r="57" spans="1:29" x14ac:dyDescent="0.2">
      <c r="A57" s="43"/>
      <c r="B57" s="6"/>
      <c r="C57" s="44"/>
      <c r="G57" s="154" t="s">
        <v>86</v>
      </c>
      <c r="H57" s="157">
        <f>$K$35*$B$51</f>
        <v>0.53141780377591308</v>
      </c>
      <c r="I57" s="37" t="s">
        <v>198</v>
      </c>
      <c r="J57" s="38"/>
      <c r="K57" s="206"/>
      <c r="L57" s="6"/>
      <c r="Q57" s="135"/>
      <c r="R57" s="135"/>
      <c r="S57" s="39"/>
      <c r="T57" s="39"/>
      <c r="U57" s="39"/>
      <c r="AB57" s="6"/>
      <c r="AC57" s="6"/>
    </row>
    <row r="58" spans="1:29" x14ac:dyDescent="0.2">
      <c r="A58" s="43" t="s">
        <v>101</v>
      </c>
      <c r="B58" s="293">
        <f>INVOER!V20</f>
        <v>7.9367362295494088E-3</v>
      </c>
      <c r="C58" s="165" t="s">
        <v>100</v>
      </c>
      <c r="G58" s="150" t="s">
        <v>87</v>
      </c>
      <c r="H58" s="161">
        <f>(K56/H57)^(1/110)</f>
        <v>1.0492086082592795</v>
      </c>
      <c r="I58" s="43"/>
      <c r="J58" s="6"/>
      <c r="K58" s="44"/>
      <c r="L58" s="6"/>
      <c r="Q58" s="142"/>
      <c r="R58" s="142"/>
      <c r="S58" s="6"/>
      <c r="T58" s="6"/>
      <c r="U58" s="6"/>
      <c r="AB58" s="6"/>
      <c r="AC58" s="6"/>
    </row>
    <row r="59" spans="1:29" x14ac:dyDescent="0.2">
      <c r="A59" s="48" t="s">
        <v>215</v>
      </c>
      <c r="B59" s="39">
        <f>0.97833+2.918055*B58-39.3739*B58^2+472.0149*B58^3-769.586*B58^4</f>
        <v>0.99924253047581968</v>
      </c>
      <c r="C59" s="44"/>
      <c r="G59" s="43" t="s">
        <v>235</v>
      </c>
      <c r="H59" s="6"/>
      <c r="I59" s="6"/>
      <c r="J59" s="6"/>
      <c r="K59" s="44"/>
      <c r="L59" s="6"/>
      <c r="Q59" s="6"/>
      <c r="R59" s="6"/>
      <c r="S59" s="6"/>
      <c r="T59" s="6"/>
      <c r="U59" s="6"/>
      <c r="AB59" s="6"/>
      <c r="AC59" s="6"/>
    </row>
    <row r="60" spans="1:29" x14ac:dyDescent="0.2">
      <c r="A60" s="48" t="s">
        <v>216</v>
      </c>
      <c r="B60" s="39">
        <f>-0.30338+21.91961*B58-73.5039*B58^2+112.485*B58^3-63.4408*B58^4</f>
        <v>-0.13398399376848821</v>
      </c>
      <c r="C60" s="44"/>
      <c r="G60" s="43" t="s">
        <v>236</v>
      </c>
      <c r="H60" s="6"/>
      <c r="I60" s="6"/>
      <c r="J60" s="6"/>
      <c r="K60" s="44"/>
      <c r="L60" s="6"/>
      <c r="Q60" s="6"/>
      <c r="R60" s="6"/>
      <c r="S60" s="6"/>
      <c r="T60" s="6"/>
      <c r="U60" s="6"/>
      <c r="AB60" s="6"/>
      <c r="AC60" s="6"/>
    </row>
    <row r="61" spans="1:29" x14ac:dyDescent="0.2">
      <c r="A61" s="48" t="s">
        <v>217</v>
      </c>
      <c r="B61" s="39">
        <f>2.043212+0.725352*B58-0.2663*B58^2+0.04299*B58^3-0.00233*B58^4</f>
        <v>2.048952174269604</v>
      </c>
      <c r="C61" s="44"/>
      <c r="G61" s="43" t="s">
        <v>230</v>
      </c>
      <c r="H61" s="6"/>
      <c r="I61" s="6"/>
      <c r="J61" s="6"/>
      <c r="K61" s="44"/>
      <c r="L61" s="6"/>
      <c r="Q61" s="6"/>
      <c r="R61" s="6"/>
      <c r="S61" s="6"/>
      <c r="T61" s="6"/>
      <c r="U61" s="6"/>
      <c r="AB61" s="6"/>
      <c r="AC61" s="6"/>
    </row>
    <row r="62" spans="1:29" x14ac:dyDescent="0.2">
      <c r="A62" s="48" t="s">
        <v>218</v>
      </c>
      <c r="B62" s="39">
        <f>2.853325+0.019026*B58-0.00036*B58^2+0.000003*B58^3-0.0000000065*B58^4</f>
        <v>2.8534759816679616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  <c r="Q62" s="6"/>
      <c r="R62" s="6"/>
      <c r="S62" s="6"/>
      <c r="T62" s="6"/>
      <c r="U62" s="6"/>
      <c r="AB62" s="6"/>
      <c r="AC62" s="6"/>
    </row>
    <row r="63" spans="1:29" x14ac:dyDescent="0.2">
      <c r="A63" s="48" t="s">
        <v>214</v>
      </c>
      <c r="B63" s="39">
        <f>IF(INVOER!T36=1,1,IF(B58&lt;0.02,1,(IF(B58&lt;0.14,B59,(IF(B58&lt;0.7,B60,(IF(B58&lt;9.1,B61,B62))))))))</f>
        <v>1</v>
      </c>
      <c r="C63" s="44"/>
      <c r="F63" s="218" t="s">
        <v>237</v>
      </c>
      <c r="G63" s="142"/>
      <c r="H63" s="142"/>
      <c r="I63" s="142"/>
      <c r="J63" s="142"/>
      <c r="K63" s="142"/>
      <c r="W63" s="6"/>
      <c r="AB63" s="6"/>
      <c r="AC63" s="6"/>
    </row>
    <row r="64" spans="1:29" x14ac:dyDescent="0.2">
      <c r="A64" s="43" t="s">
        <v>155</v>
      </c>
      <c r="B64" s="6">
        <f>IF(INVOER!T36=1,1,'Berekening trap 2'!B63)</f>
        <v>1</v>
      </c>
      <c r="C64" s="44" t="str">
        <f>IF(B64=1,"neen","ja")</f>
        <v>neen</v>
      </c>
      <c r="F64" s="218" t="s">
        <v>239</v>
      </c>
      <c r="G64" s="142"/>
      <c r="H64" s="142"/>
      <c r="I64" s="142"/>
      <c r="J64" s="142"/>
      <c r="K64" s="142"/>
      <c r="W64" s="6"/>
      <c r="AB64" s="6"/>
      <c r="AC64" s="6"/>
    </row>
    <row r="65" spans="1:32" x14ac:dyDescent="0.2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6"/>
      <c r="AB65" s="6"/>
      <c r="AC65" s="6"/>
    </row>
    <row r="66" spans="1:32" x14ac:dyDescent="0.2">
      <c r="W66" s="6"/>
      <c r="AB66" s="6"/>
      <c r="AC66" s="6"/>
    </row>
    <row r="67" spans="1:32" x14ac:dyDescent="0.2">
      <c r="V67" s="6"/>
      <c r="AB67" s="6"/>
      <c r="AC67" s="6"/>
    </row>
    <row r="68" spans="1:32" x14ac:dyDescent="0.2">
      <c r="B68" s="251" t="s">
        <v>276</v>
      </c>
      <c r="V68" s="6"/>
      <c r="AB68" s="6"/>
      <c r="AC68" s="6"/>
    </row>
    <row r="69" spans="1:32" x14ac:dyDescent="0.2">
      <c r="D69" s="218" t="s">
        <v>244</v>
      </c>
      <c r="L69" s="251" t="s">
        <v>259</v>
      </c>
      <c r="V69" s="6"/>
      <c r="AB69" s="6"/>
      <c r="AC69" s="6"/>
    </row>
    <row r="70" spans="1:32" x14ac:dyDescent="0.2">
      <c r="D70" s="218" t="s">
        <v>245</v>
      </c>
      <c r="N70" s="6"/>
      <c r="O70" s="6"/>
      <c r="P70" s="6"/>
      <c r="Q70" s="6"/>
      <c r="R70" s="6"/>
      <c r="S70" s="6"/>
      <c r="T70" s="6"/>
      <c r="U70" s="6"/>
      <c r="V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2"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2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41"/>
      <c r="K72" s="175"/>
      <c r="L72" s="5"/>
      <c r="M72" s="5"/>
      <c r="N72" s="5"/>
      <c r="O72" s="42"/>
      <c r="Q72" s="6"/>
      <c r="R72" s="6"/>
      <c r="T72" s="6"/>
      <c r="U72" s="6"/>
      <c r="V72" s="6"/>
      <c r="W72" s="142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2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45"/>
      <c r="K73" s="177"/>
      <c r="L73" s="317" t="s">
        <v>270</v>
      </c>
      <c r="M73" s="46"/>
      <c r="N73" s="46"/>
      <c r="O73" s="50"/>
      <c r="Q73" s="316" t="s">
        <v>292</v>
      </c>
      <c r="R73" s="6"/>
      <c r="S73" s="6"/>
      <c r="T73" s="249" t="s">
        <v>293</v>
      </c>
      <c r="U73" s="352" t="s">
        <v>293</v>
      </c>
      <c r="V73" s="249" t="s">
        <v>291</v>
      </c>
      <c r="W73" s="352" t="s">
        <v>294</v>
      </c>
      <c r="Y73" s="249" t="s">
        <v>291</v>
      </c>
      <c r="Z73" s="352" t="s">
        <v>295</v>
      </c>
      <c r="AA73" s="6"/>
      <c r="AB73" s="352"/>
      <c r="AC73" s="6"/>
      <c r="AD73" s="6"/>
      <c r="AE73" s="6"/>
      <c r="AF73" s="6"/>
    </row>
    <row r="74" spans="1:32" x14ac:dyDescent="0.2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312" t="s">
        <v>252</v>
      </c>
      <c r="K74" s="312" t="s">
        <v>99</v>
      </c>
      <c r="L74" s="318" t="s">
        <v>99</v>
      </c>
      <c r="M74" s="319" t="s">
        <v>271</v>
      </c>
      <c r="N74" s="147" t="s">
        <v>182</v>
      </c>
      <c r="O74" s="42" t="s">
        <v>206</v>
      </c>
      <c r="Q74" s="386" t="s">
        <v>285</v>
      </c>
      <c r="R74" s="5"/>
      <c r="S74" s="319" t="s">
        <v>284</v>
      </c>
      <c r="T74" s="318" t="s">
        <v>99</v>
      </c>
      <c r="U74" s="387" t="s">
        <v>271</v>
      </c>
      <c r="V74" s="318" t="s">
        <v>99</v>
      </c>
      <c r="W74" s="387" t="s">
        <v>271</v>
      </c>
      <c r="X74" s="398" t="s">
        <v>182</v>
      </c>
      <c r="Y74" s="318" t="s">
        <v>99</v>
      </c>
      <c r="Z74" s="387" t="s">
        <v>271</v>
      </c>
      <c r="AA74" s="6"/>
      <c r="AB74" s="352"/>
      <c r="AC74" s="6"/>
      <c r="AD74" s="6"/>
      <c r="AE74" s="6"/>
      <c r="AF74" s="6"/>
    </row>
    <row r="75" spans="1:32" x14ac:dyDescent="0.2">
      <c r="A75" s="43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43" t="s">
        <v>233</v>
      </c>
      <c r="K75" s="406" t="s">
        <v>5</v>
      </c>
      <c r="L75" s="184" t="s">
        <v>5</v>
      </c>
      <c r="M75" s="320" t="s">
        <v>233</v>
      </c>
      <c r="N75" s="238" t="s">
        <v>227</v>
      </c>
      <c r="O75" s="50" t="s">
        <v>227</v>
      </c>
      <c r="Q75" s="394" t="s">
        <v>5</v>
      </c>
      <c r="R75" s="46" t="s">
        <v>208</v>
      </c>
      <c r="S75" s="334" t="s">
        <v>283</v>
      </c>
      <c r="T75" s="142" t="s">
        <v>5</v>
      </c>
      <c r="U75" s="388" t="s">
        <v>233</v>
      </c>
      <c r="V75" s="142" t="s">
        <v>5</v>
      </c>
      <c r="W75" s="388" t="s">
        <v>233</v>
      </c>
      <c r="X75" s="399" t="s">
        <v>283</v>
      </c>
      <c r="Y75" s="184" t="s">
        <v>5</v>
      </c>
      <c r="Z75" s="388" t="s">
        <v>233</v>
      </c>
      <c r="AA75" s="6"/>
      <c r="AB75" s="401"/>
      <c r="AC75" s="6"/>
      <c r="AD75" s="6"/>
      <c r="AE75" s="6"/>
      <c r="AF75" s="6"/>
    </row>
    <row r="76" spans="1:32" x14ac:dyDescent="0.2">
      <c r="A76" s="270">
        <f>'Berekening trap 1'!A76</f>
        <v>0.53141780377591308</v>
      </c>
      <c r="B76" s="6">
        <f>A76/2</f>
        <v>0.26570890188795654</v>
      </c>
      <c r="C76" s="168">
        <f>B76/$B$51</f>
        <v>0.26</v>
      </c>
      <c r="D76" s="198">
        <f>IF(C76-$K$35&gt;0,EXP(-(((C76-$K$35)/$K$37)^$K$39)),1)</f>
        <v>1</v>
      </c>
      <c r="E76" s="199">
        <f>IF(C76-$K$36&gt;0,EXP(-(((C76-$K$36)/$K$38)^$K$40)),1)</f>
        <v>0.74188962951249193</v>
      </c>
      <c r="F76" s="41">
        <f t="shared" ref="F76:G97" si="4">D76^($B$54*$B$63)</f>
        <v>1</v>
      </c>
      <c r="G76" s="180">
        <f>E76^($B$54*$B$63)</f>
        <v>0.74188962951249193</v>
      </c>
      <c r="H76" s="181">
        <f>IF(C76&lt;$K$41,D76,E76)</f>
        <v>1</v>
      </c>
      <c r="I76" s="234">
        <f>IF(C76&lt;$K$41,F76,G76)</f>
        <v>1</v>
      </c>
      <c r="J76" s="313">
        <f>IF(INVOER!$T$36=1,100-H76*100,100-I76*100)</f>
        <v>0</v>
      </c>
      <c r="K76" s="407">
        <f>IF(AND('Berekening trap 1'!$B$64=1,INVOER!$C$20=1),'Berekening trap 1'!U76,'Berekening trap 1'!V76)</f>
        <v>5.8956889173122917E-3</v>
      </c>
      <c r="L76" s="371">
        <f>100*K76/$K$187</f>
        <v>7.0813871844204332E-2</v>
      </c>
      <c r="M76" s="371">
        <f>100-L76</f>
        <v>99.929186128155791</v>
      </c>
      <c r="N76" s="372">
        <f>'Berekening trap 2'!H76*$L76</f>
        <v>7.0813871844204332E-2</v>
      </c>
      <c r="O76" s="373">
        <f>'Berekening trap 2'!I76*$L76</f>
        <v>7.0813871844204332E-2</v>
      </c>
      <c r="Q76" s="395">
        <f t="shared" ref="Q76:Q107" si="5">IF(S76=0,100,100*(S76-X76)/S76)</f>
        <v>-2.2961879195710959E-7</v>
      </c>
      <c r="R76" s="5">
        <f>B76</f>
        <v>0.26570890188795654</v>
      </c>
      <c r="S76" s="381">
        <f>1/100*'Berekening trap 1'!T76*INVOER!$W$19*1000</f>
        <v>6.9855219794016689E-3</v>
      </c>
      <c r="T76" s="381">
        <f t="shared" ref="T76:T107" si="6">100*S76/$S$187</f>
        <v>5.9069813947428039E-3</v>
      </c>
      <c r="U76" s="42">
        <f>100-T76</f>
        <v>99.994093018605255</v>
      </c>
      <c r="V76" s="381">
        <f t="shared" ref="V76:V107" si="7">L76</f>
        <v>7.0813871844204332E-2</v>
      </c>
      <c r="W76" s="42">
        <f>100-V76</f>
        <v>99.929186128155791</v>
      </c>
      <c r="X76" s="147">
        <f>IF(AND(INVOER!$T$36=1,INVOER!$E$20=1),1/100*N76*INVOER!$W$20*1000,1/100*O76*INVOER!$W$20*1000)</f>
        <v>6.9855219954417401E-3</v>
      </c>
      <c r="Y76" s="5">
        <f t="shared" ref="Y76:Y107" si="8">100*X76/$X$187</f>
        <v>0.45628493376347634</v>
      </c>
      <c r="Z76" s="42">
        <f>100-Y76</f>
        <v>99.54371506623653</v>
      </c>
      <c r="AA76" s="6"/>
      <c r="AB76" s="6"/>
      <c r="AC76" s="6"/>
      <c r="AD76" s="142"/>
      <c r="AE76" s="6"/>
      <c r="AF76" s="6"/>
    </row>
    <row r="77" spans="1:32" x14ac:dyDescent="0.2">
      <c r="A77" s="271">
        <f>'Berekening trap 1'!A77</f>
        <v>0.55907635508949327</v>
      </c>
      <c r="B77" s="6">
        <f>(A76+A77)/2</f>
        <v>0.54524707943270312</v>
      </c>
      <c r="C77" s="168">
        <f>B77/$B$51</f>
        <v>0.53353214606367083</v>
      </c>
      <c r="D77" s="200">
        <f>IF(C77-$K$35&gt;0,EXP(-(((C77-$K$35)/$K$37)^$K$39)),1)</f>
        <v>0.97460611069512437</v>
      </c>
      <c r="E77" s="197">
        <f>IF(C77-$K$36&gt;0,EXP(-(((C77-$K$36)/$K$38)^$K$40)),1)</f>
        <v>0.64200661555225003</v>
      </c>
      <c r="F77" s="43">
        <f>D77^($B$54*$B$63)</f>
        <v>0.97460611069512437</v>
      </c>
      <c r="G77" s="155">
        <f>E77^($B$54*$B$63)</f>
        <v>0.64200661555225003</v>
      </c>
      <c r="H77" s="170">
        <f>IF(C77&lt;$K$41,D77,E77)</f>
        <v>0.97460611069512437</v>
      </c>
      <c r="I77" s="179">
        <f t="shared" ref="I77:I140" si="9">IF(C77&lt;$K$41,F77,G77)</f>
        <v>0.97460611069512437</v>
      </c>
      <c r="J77" s="314">
        <f>IF(INVOER!$T$36=1,100-H77*100,100-I77*100)</f>
        <v>2.5393889304875614</v>
      </c>
      <c r="K77" s="408">
        <f>IF(AND('Berekening trap 1'!$B$64=1,INVOER!$C$20=1),'Berekening trap 1'!U77,'Berekening trap 1'!V77)</f>
        <v>1.0052662993809136E-3</v>
      </c>
      <c r="L77" s="374">
        <f>100*K77/$K$187</f>
        <v>1.2074381788466204E-2</v>
      </c>
      <c r="M77" s="374">
        <f>M76-L77</f>
        <v>99.917111746367326</v>
      </c>
      <c r="N77" s="375">
        <f>'Berekening trap 2'!H77*$L77</f>
        <v>1.1767766273905087E-2</v>
      </c>
      <c r="O77" s="376">
        <f>'Berekening trap 2'!I77*$L77</f>
        <v>1.1767766273905087E-2</v>
      </c>
      <c r="Q77" s="396">
        <f t="shared" si="5"/>
        <v>2.5393887066996843</v>
      </c>
      <c r="R77" s="6">
        <f t="shared" ref="R77:R140" si="10">B77</f>
        <v>0.54524707943270312</v>
      </c>
      <c r="S77" s="380">
        <f>1/100*'Berekening trap 1'!T77*INVOER!$W$19*1000</f>
        <v>1.1910923266077714E-3</v>
      </c>
      <c r="T77" s="380">
        <f t="shared" si="6"/>
        <v>1.007191765116407E-3</v>
      </c>
      <c r="U77" s="400">
        <f>U76-T77</f>
        <v>99.993085826840144</v>
      </c>
      <c r="V77" s="380">
        <f>L77</f>
        <v>1.2074381788466204E-2</v>
      </c>
      <c r="W77" s="400">
        <f>W76-V77</f>
        <v>99.917111746367326</v>
      </c>
      <c r="X77" s="145">
        <f>IF(AND(INVOER!$T$36=1,INVOER!E20=1),1/100*N77*INVOER!$W$20*1000,1/100*O77*INVOER!$W$20*1000)</f>
        <v>1.1608458625795271E-3</v>
      </c>
      <c r="Y77" s="6">
        <f t="shared" si="8"/>
        <v>7.5824895814848858E-2</v>
      </c>
      <c r="Z77" s="44">
        <f>Z76-Y77</f>
        <v>99.467890170421683</v>
      </c>
      <c r="AA77" s="6"/>
      <c r="AB77" s="6"/>
      <c r="AC77" s="6"/>
      <c r="AD77" s="6"/>
      <c r="AE77" s="6"/>
      <c r="AF77" s="6"/>
    </row>
    <row r="78" spans="1:32" x14ac:dyDescent="0.2">
      <c r="A78" s="271">
        <f>'Berekening trap 1'!A78</f>
        <v>0.58817444315801548</v>
      </c>
      <c r="B78" s="6">
        <f>(A77+A78)/2</f>
        <v>0.57362539912375432</v>
      </c>
      <c r="C78" s="168">
        <f>B78/$B$51</f>
        <v>0.56130074194904545</v>
      </c>
      <c r="D78" s="200">
        <f t="shared" ref="D78:D87" si="11">IF(C78-$K$35&gt;0,EXP(-(((C78-$K$35)/$K$37)^$K$39)),1)</f>
        <v>0.94313823918545858</v>
      </c>
      <c r="E78" s="197">
        <f t="shared" ref="E78:E141" si="12">IF(C78-$K$36&gt;0,EXP(-(((C78-$K$36)/$K$38)^$K$40)),1)</f>
        <v>0.63337706601371913</v>
      </c>
      <c r="F78" s="43">
        <f>D78^($B$54*$B$63)</f>
        <v>0.94313823918545858</v>
      </c>
      <c r="G78" s="155">
        <f t="shared" si="4"/>
        <v>0.63337706601371913</v>
      </c>
      <c r="H78" s="170">
        <f>IF(C78&lt;$K$41,D78,E78)</f>
        <v>0.94313823918545858</v>
      </c>
      <c r="I78" s="179">
        <f>IF(C78&lt;$K$41,F78,G78)</f>
        <v>0.94313823918545858</v>
      </c>
      <c r="J78" s="314">
        <f>IF(INVOER!$T$36=1,100-H78*100,100-I78*100)</f>
        <v>5.6861760814541356</v>
      </c>
      <c r="K78" s="408">
        <f>IF(AND('Berekening trap 1'!$B$64=1,INVOER!$C$20=1),'Berekening trap 1'!U78,'Berekening trap 1'!V78)</f>
        <v>1.1766660338641266E-3</v>
      </c>
      <c r="L78" s="374">
        <f t="shared" ref="L78:L107" si="13">100*K78/$K$187</f>
        <v>1.4133085869033278E-2</v>
      </c>
      <c r="M78" s="374">
        <f t="shared" ref="M78:M108" si="14">M77-L78</f>
        <v>99.902978660498292</v>
      </c>
      <c r="N78" s="375">
        <f>'Berekening trap 2'!H78*$L78</f>
        <v>1.3329453720776933E-2</v>
      </c>
      <c r="O78" s="376">
        <f>'Berekening trap 2'!I78*$L78</f>
        <v>1.3329453720776933E-2</v>
      </c>
      <c r="Q78" s="396">
        <f t="shared" si="5"/>
        <v>5.6861758648918963</v>
      </c>
      <c r="R78" s="6">
        <f t="shared" si="10"/>
        <v>0.57362539912375432</v>
      </c>
      <c r="S78" s="380">
        <f>1/100*'Berekening trap 1'!T78*INVOER!$W$19*1000</f>
        <v>1.3941757370944162E-3</v>
      </c>
      <c r="T78" s="380">
        <f t="shared" si="6"/>
        <v>1.1789197950135054E-3</v>
      </c>
      <c r="U78" s="400">
        <f>U77-T78</f>
        <v>99.991906907045134</v>
      </c>
      <c r="V78" s="380">
        <f t="shared" si="7"/>
        <v>1.4133085869033278E-2</v>
      </c>
      <c r="W78" s="44">
        <f>W77-V78</f>
        <v>99.902978660498292</v>
      </c>
      <c r="X78" s="145">
        <f>IF(AND(INVOER!$T$36=1,INVOER!E21=1),1/100*N78*INVOER!$W$20*1000,1/100*O78*INVOER!$W$20*1000)</f>
        <v>1.3149004528175748E-3</v>
      </c>
      <c r="Y78" s="6">
        <f t="shared" si="8"/>
        <v>8.5887535163575446E-2</v>
      </c>
      <c r="Z78" s="44">
        <f>Z77-Y78</f>
        <v>99.382002635258104</v>
      </c>
      <c r="AA78" s="6"/>
      <c r="AB78" s="6"/>
      <c r="AC78" s="6"/>
      <c r="AD78" s="6"/>
      <c r="AE78" s="6"/>
      <c r="AF78" s="6"/>
    </row>
    <row r="79" spans="1:32" x14ac:dyDescent="0.2">
      <c r="A79" s="271">
        <f>'Berekening trap 1'!A79</f>
        <v>0.61878699114160229</v>
      </c>
      <c r="B79" s="6">
        <f>(A78+A79)/2</f>
        <v>0.60348071714980889</v>
      </c>
      <c r="C79" s="168">
        <f t="shared" ref="C79:C142" si="15">B79/$B$51</f>
        <v>0.59051460204789685</v>
      </c>
      <c r="D79" s="200">
        <f>IF(C79-$K$35&gt;0,EXP(-(((C79-$K$35)/$K$37)^$K$39)),1)</f>
        <v>0.91682686622303233</v>
      </c>
      <c r="E79" s="197">
        <f>IF(C79-$K$36&gt;0,EXP(-(((C79-$K$36)/$K$38)^$K$40)),1)</f>
        <v>0.62453377540098809</v>
      </c>
      <c r="F79" s="43">
        <f>D79^($B$54*$B$63)</f>
        <v>0.91682686622303233</v>
      </c>
      <c r="G79" s="155">
        <f t="shared" si="4"/>
        <v>0.62453377540098809</v>
      </c>
      <c r="H79" s="170">
        <f>IF(C79&lt;$K$41,D79,E79)</f>
        <v>0.91682686622303233</v>
      </c>
      <c r="I79" s="179">
        <f t="shared" si="9"/>
        <v>0.91682686622303233</v>
      </c>
      <c r="J79" s="314">
        <f>IF(INVOER!$T$36=1,100-H79*100,100-I79*100)</f>
        <v>8.3173133776967632</v>
      </c>
      <c r="K79" s="408">
        <f>IF(AND('Berekening trap 1'!$B$64=1,INVOER!$C$20=1),'Berekening trap 1'!U79,'Berekening trap 1'!V79)</f>
        <v>1.377287172865671E-3</v>
      </c>
      <c r="L79" s="374">
        <f>100*K79/$K$187</f>
        <v>1.6542771967764928E-2</v>
      </c>
      <c r="M79" s="374">
        <f>M78-L79</f>
        <v>99.886435888530528</v>
      </c>
      <c r="N79" s="375">
        <f>'Berekening trap 2'!H79*$L79</f>
        <v>1.5166857781848146E-2</v>
      </c>
      <c r="O79" s="376">
        <f>'Berekening trap 2'!I79*$L79</f>
        <v>1.5166857781848146E-2</v>
      </c>
      <c r="Q79" s="396">
        <f t="shared" si="5"/>
        <v>8.3173131671760814</v>
      </c>
      <c r="R79" s="6">
        <f t="shared" si="10"/>
        <v>0.60348071714980889</v>
      </c>
      <c r="S79" s="380">
        <f>1/100*'Berekening trap 1'!T79*INVOER!$W$19*1000</f>
        <v>1.6318822029007518E-3</v>
      </c>
      <c r="T79" s="380">
        <f t="shared" si="6"/>
        <v>1.3799251994869959E-3</v>
      </c>
      <c r="U79" s="44">
        <f t="shared" ref="U79:U141" si="16">U78-T79</f>
        <v>99.990526981845647</v>
      </c>
      <c r="V79" s="380">
        <f t="shared" si="7"/>
        <v>1.6542771967764928E-2</v>
      </c>
      <c r="W79" s="44">
        <f t="shared" ref="W79:W82" si="17">W78-V79</f>
        <v>99.886435888530528</v>
      </c>
      <c r="X79" s="145">
        <f>IF(AND(INVOER!$T$36=1,INVOER!E22=1),1/100*N79*INVOER!$W$20*1000,1/100*O79*INVOER!$W$20*1000)</f>
        <v>1.4961534495660845E-3</v>
      </c>
      <c r="Y79" s="6">
        <f t="shared" si="8"/>
        <v>9.7726737970436767E-2</v>
      </c>
      <c r="Z79" s="44">
        <f t="shared" ref="Z79:Z141" si="18">Z78-Y79</f>
        <v>99.284275897287671</v>
      </c>
      <c r="AA79" s="6"/>
      <c r="AB79" s="6"/>
      <c r="AC79" s="6"/>
      <c r="AD79" s="6"/>
      <c r="AE79" s="6"/>
      <c r="AF79" s="6"/>
    </row>
    <row r="80" spans="1:32" x14ac:dyDescent="0.2">
      <c r="A80" s="271">
        <f>'Berekening trap 1'!A80</f>
        <v>0.65099282170478534</v>
      </c>
      <c r="B80" s="6">
        <f t="shared" ref="B80:B143" si="19">(A79+A80)/2</f>
        <v>0.63488990642319387</v>
      </c>
      <c r="C80" s="168">
        <f t="shared" si="15"/>
        <v>0.62124894761575322</v>
      </c>
      <c r="D80" s="200">
        <f t="shared" si="11"/>
        <v>0.89281936746917689</v>
      </c>
      <c r="E80" s="197">
        <f t="shared" si="12"/>
        <v>0.61547721291768243</v>
      </c>
      <c r="F80" s="43">
        <f t="shared" si="4"/>
        <v>0.89281936746917689</v>
      </c>
      <c r="G80" s="155">
        <f t="shared" si="4"/>
        <v>0.61547721291768243</v>
      </c>
      <c r="H80" s="170">
        <f>IF(C80&lt;$K$41,D80,E80)</f>
        <v>0.89281936746917689</v>
      </c>
      <c r="I80" s="179">
        <f>IF(C80&lt;$K$41,F80,G80)</f>
        <v>0.89281936746917689</v>
      </c>
      <c r="J80" s="314">
        <f>IF(INVOER!$T$36=1,100-H80*100,100-I80*100)</f>
        <v>10.718063253082306</v>
      </c>
      <c r="K80" s="408">
        <f>IF(AND('Berekening trap 1'!$B$64=1,INVOER!$C$20=1),'Berekening trap 1'!U80,'Berekening trap 1'!V80)</f>
        <v>1.6121106339528346E-3</v>
      </c>
      <c r="L80" s="374">
        <f>100*K80/$K$187</f>
        <v>1.9363266521100278E-2</v>
      </c>
      <c r="M80" s="374">
        <f t="shared" si="14"/>
        <v>99.867072622009431</v>
      </c>
      <c r="N80" s="375">
        <f>'Berekening trap 2'!H80*$L80</f>
        <v>1.7287899367505841E-2</v>
      </c>
      <c r="O80" s="376">
        <f>'Berekening trap 2'!I80*$L80</f>
        <v>1.7287899367505841E-2</v>
      </c>
      <c r="Q80" s="396">
        <f t="shared" si="5"/>
        <v>10.718063048074185</v>
      </c>
      <c r="R80" s="6">
        <f t="shared" si="10"/>
        <v>0.63488990642319387</v>
      </c>
      <c r="S80" s="380">
        <f>1/100*'Berekening trap 1'!T80*INVOER!$W$19*1000</f>
        <v>1.910113376850031E-3</v>
      </c>
      <c r="T80" s="380">
        <f t="shared" si="6"/>
        <v>1.6151984364479667E-3</v>
      </c>
      <c r="U80" s="44">
        <f t="shared" si="16"/>
        <v>99.988911783409193</v>
      </c>
      <c r="V80" s="380">
        <f>L80</f>
        <v>1.9363266521100278E-2</v>
      </c>
      <c r="W80" s="400">
        <f>W79-V80</f>
        <v>99.867072622009431</v>
      </c>
      <c r="X80" s="145">
        <f>IF(AND(INVOER!$T$36=1,INVOER!E23=1),1/100*N80*INVOER!$W$20*1000,1/100*O80*INVOER!$W$20*1000)</f>
        <v>1.7053862208295458E-3</v>
      </c>
      <c r="Y80" s="6">
        <f t="shared" si="8"/>
        <v>0.11139354214618682</v>
      </c>
      <c r="Z80" s="44">
        <f t="shared" si="18"/>
        <v>99.172882355141482</v>
      </c>
      <c r="AA80" s="6"/>
      <c r="AB80" s="6"/>
      <c r="AC80" s="6"/>
      <c r="AD80" s="6"/>
      <c r="AE80" s="6"/>
      <c r="AF80" s="6"/>
    </row>
    <row r="81" spans="1:32" x14ac:dyDescent="0.2">
      <c r="A81" s="271">
        <f>'Berekening trap 1'!A81</f>
        <v>0.68487485997290232</v>
      </c>
      <c r="B81" s="46">
        <f>(A80+A81)/2</f>
        <v>0.66793384083884377</v>
      </c>
      <c r="C81" s="182">
        <f t="shared" si="15"/>
        <v>0.65358291492743847</v>
      </c>
      <c r="D81" s="201">
        <f>IF(C81-$K$35&gt;0,EXP(-(((C81-$K$35)/$K$37)^$K$39)),1)</f>
        <v>0.87017265018031376</v>
      </c>
      <c r="E81" s="167">
        <f t="shared" si="12"/>
        <v>0.60620828246397307</v>
      </c>
      <c r="F81" s="45">
        <f t="shared" si="4"/>
        <v>0.87017265018031376</v>
      </c>
      <c r="G81" s="183">
        <f t="shared" si="4"/>
        <v>0.60620828246397307</v>
      </c>
      <c r="H81" s="171">
        <f t="shared" ref="H81:H144" si="20">IF(C81&lt;$K$41,D81,E81)</f>
        <v>0.87017265018031376</v>
      </c>
      <c r="I81" s="235">
        <f>IF(C81&lt;$K$41,F81,G81)</f>
        <v>0.87017265018031376</v>
      </c>
      <c r="J81" s="314">
        <f>IF(INVOER!$T$36=1,100-H81*100,100-I81*100)</f>
        <v>12.982734981968619</v>
      </c>
      <c r="K81" s="408">
        <f>IF(AND('Berekening trap 1'!$B$64=1,INVOER!$C$20=1),'Berekening trap 1'!U81,'Berekening trap 1'!V81)</f>
        <v>1.8869660030951252E-3</v>
      </c>
      <c r="L81" s="377">
        <f t="shared" si="13"/>
        <v>2.266458942994307E-2</v>
      </c>
      <c r="M81" s="377">
        <f t="shared" si="14"/>
        <v>99.844408032579494</v>
      </c>
      <c r="N81" s="378">
        <f>'Berekening trap 2'!H81*$L81</f>
        <v>1.9722105849502288E-2</v>
      </c>
      <c r="O81" s="379">
        <f>'Berekening trap 2'!I81*$L81</f>
        <v>1.9722105849502288E-2</v>
      </c>
      <c r="Q81" s="396">
        <f t="shared" si="5"/>
        <v>12.982734782160637</v>
      </c>
      <c r="R81" s="6">
        <f t="shared" si="10"/>
        <v>0.66793384083884377</v>
      </c>
      <c r="S81" s="380">
        <f>1/100*'Berekening trap 1'!T81*INVOER!$W$19*1000</f>
        <v>2.2357764586761523E-3</v>
      </c>
      <c r="T81" s="380">
        <f t="shared" si="6"/>
        <v>1.8905802577311734E-3</v>
      </c>
      <c r="U81" s="44">
        <f t="shared" si="16"/>
        <v>99.987021203151457</v>
      </c>
      <c r="V81" s="380">
        <f t="shared" si="7"/>
        <v>2.266458942994307E-2</v>
      </c>
      <c r="W81" s="44">
        <f t="shared" si="17"/>
        <v>99.844408032579494</v>
      </c>
      <c r="X81" s="145">
        <f>IF(AND(INVOER!$T$36=1,INVOER!E24=1),1/100*N81*INVOER!$W$20*1000,1/100*O81*INVOER!$W$20*1000)</f>
        <v>1.9455115307242441E-3</v>
      </c>
      <c r="Y81" s="6">
        <f t="shared" si="8"/>
        <v>0.12707820553880536</v>
      </c>
      <c r="Z81" s="44">
        <f t="shared" si="18"/>
        <v>99.045804149602674</v>
      </c>
      <c r="AA81" s="6"/>
      <c r="AB81" s="6"/>
      <c r="AC81" s="6"/>
      <c r="AD81" s="6"/>
      <c r="AE81" s="6"/>
      <c r="AF81" s="6"/>
    </row>
    <row r="82" spans="1:32" x14ac:dyDescent="0.2">
      <c r="A82" s="270">
        <f>'Berekening trap 1'!A82</f>
        <v>0.72052034705170798</v>
      </c>
      <c r="B82" s="6">
        <f>(A81+A82)/2</f>
        <v>0.70269760351230515</v>
      </c>
      <c r="C82" s="168">
        <f t="shared" si="15"/>
        <v>0.68759975904096882</v>
      </c>
      <c r="D82" s="200">
        <f t="shared" si="11"/>
        <v>0.84842579039928823</v>
      </c>
      <c r="E82" s="197">
        <f t="shared" si="12"/>
        <v>0.59672834873201386</v>
      </c>
      <c r="F82" s="43">
        <f t="shared" si="4"/>
        <v>0.84842579039928823</v>
      </c>
      <c r="G82" s="155">
        <f t="shared" si="4"/>
        <v>0.59672834873201386</v>
      </c>
      <c r="H82" s="170">
        <f t="shared" si="20"/>
        <v>0.84842579039928823</v>
      </c>
      <c r="I82" s="179">
        <f t="shared" si="9"/>
        <v>0.84842579039928823</v>
      </c>
      <c r="J82" s="313">
        <f>IF(INVOER!$T$36=1,100-H82*100,100-I82*100)</f>
        <v>15.157420960071178</v>
      </c>
      <c r="K82" s="407">
        <f>IF(AND('Berekening trap 1'!$B$64=1,INVOER!$C$20=1),'Berekening trap 1'!U82,'Berekening trap 1'!V82)</f>
        <v>2.2086760043338316E-3</v>
      </c>
      <c r="L82" s="380">
        <f t="shared" si="13"/>
        <v>2.652868930329632E-2</v>
      </c>
      <c r="M82" s="380">
        <f t="shared" si="14"/>
        <v>99.817879343276203</v>
      </c>
      <c r="N82" s="375">
        <f>'Berekening trap 2'!H82*$L82</f>
        <v>2.2507624190406323E-2</v>
      </c>
      <c r="O82" s="376">
        <f>'Berekening trap 2'!I82*$L82</f>
        <v>2.2507624190406323E-2</v>
      </c>
      <c r="Q82" s="396">
        <f t="shared" si="5"/>
        <v>15.157420765256653</v>
      </c>
      <c r="R82" s="6">
        <f t="shared" si="10"/>
        <v>0.70269760351230515</v>
      </c>
      <c r="S82" s="380">
        <f>1/100*'Berekening trap 1'!T82*INVOER!$W$19*1000</f>
        <v>2.6169553702783642E-3</v>
      </c>
      <c r="T82" s="380">
        <f t="shared" si="6"/>
        <v>2.2129064554787378E-3</v>
      </c>
      <c r="U82" s="44">
        <f t="shared" si="16"/>
        <v>99.984808296695974</v>
      </c>
      <c r="V82" s="380">
        <f t="shared" si="7"/>
        <v>2.652868930329632E-2</v>
      </c>
      <c r="W82" s="44">
        <f t="shared" si="17"/>
        <v>99.817879343276203</v>
      </c>
      <c r="X82" s="145">
        <f>IF(AND(INVOER!$T$36=1,INVOER!E25=1),1/100*N82*INVOER!$W$20*1000,1/100*O82*INVOER!$W$20*1000)</f>
        <v>2.2202924335662923E-3</v>
      </c>
      <c r="Y82" s="6">
        <f t="shared" si="8"/>
        <v>0.14502652581244635</v>
      </c>
      <c r="Z82" s="44">
        <f t="shared" si="18"/>
        <v>98.900777623790233</v>
      </c>
      <c r="AA82" s="6"/>
      <c r="AB82" s="6"/>
      <c r="AC82" s="6"/>
      <c r="AD82" s="6"/>
      <c r="AE82" s="6"/>
      <c r="AF82" s="6"/>
    </row>
    <row r="83" spans="1:32" x14ac:dyDescent="0.2">
      <c r="A83" s="271">
        <f>'Berekening trap 1'!A83</f>
        <v>0.75802106465997932</v>
      </c>
      <c r="B83" s="6">
        <f>(A82+A83)/2</f>
        <v>0.73927070585584365</v>
      </c>
      <c r="C83" s="168">
        <f t="shared" si="15"/>
        <v>0.7233870681666893</v>
      </c>
      <c r="D83" s="200">
        <f t="shared" si="11"/>
        <v>0.82731155977963955</v>
      </c>
      <c r="E83" s="197">
        <f t="shared" si="12"/>
        <v>0.58703926351126423</v>
      </c>
      <c r="F83" s="43">
        <f t="shared" si="4"/>
        <v>0.82731155977963955</v>
      </c>
      <c r="G83" s="155">
        <f t="shared" si="4"/>
        <v>0.58703926351126423</v>
      </c>
      <c r="H83" s="170">
        <f>IF(C83&lt;$K$41,D83,E83)</f>
        <v>0.82731155977963955</v>
      </c>
      <c r="I83" s="179">
        <f t="shared" si="9"/>
        <v>0.82731155977963955</v>
      </c>
      <c r="J83" s="314">
        <f>IF(INVOER!$T$36=1,100-H83*100,100-I83*100)</f>
        <v>17.268844022036049</v>
      </c>
      <c r="K83" s="408">
        <f>IF(AND('Berekening trap 1'!$B$64=1,INVOER!$C$20=1),'Berekening trap 1'!U83,'Berekening trap 1'!V83)</f>
        <v>2.5852255143177238E-3</v>
      </c>
      <c r="L83" s="380">
        <f t="shared" si="13"/>
        <v>3.1051473513415941E-2</v>
      </c>
      <c r="M83" s="380">
        <f t="shared" si="14"/>
        <v>99.786827869762789</v>
      </c>
      <c r="N83" s="375">
        <f>'Berekening trap 2'!H83*$L83</f>
        <v>2.5689242985840306E-2</v>
      </c>
      <c r="O83" s="376">
        <f>'Berekening trap 2'!I83*$L83</f>
        <v>2.5689242985840306E-2</v>
      </c>
      <c r="Q83" s="396">
        <f t="shared" si="5"/>
        <v>17.268843832069773</v>
      </c>
      <c r="R83" s="6">
        <f t="shared" si="10"/>
        <v>0.73927070585584365</v>
      </c>
      <c r="S83" s="380">
        <f>1/100*'Berekening trap 1'!T83*INVOER!$W$19*1000</f>
        <v>3.0631110130229177E-3</v>
      </c>
      <c r="T83" s="380">
        <f t="shared" si="6"/>
        <v>2.5901772004027022E-3</v>
      </c>
      <c r="U83" s="44">
        <f>U82-T83</f>
        <v>99.98221811949557</v>
      </c>
      <c r="V83" s="380">
        <f t="shared" si="7"/>
        <v>3.1051473513415941E-2</v>
      </c>
      <c r="W83" s="44">
        <f>W82-V83</f>
        <v>99.786827869762789</v>
      </c>
      <c r="X83" s="145">
        <f>IF(AND(INVOER!$T$36=1,INVOER!E26=1),1/100*N83*INVOER!$W$20*1000,1/100*O83*INVOER!$W$20*1000)</f>
        <v>2.5341471557810595E-3</v>
      </c>
      <c r="Y83" s="6">
        <f t="shared" si="8"/>
        <v>0.16552709559528669</v>
      </c>
      <c r="Z83" s="44">
        <f>Z82-Y83</f>
        <v>98.735250528194953</v>
      </c>
      <c r="AA83" s="6"/>
      <c r="AB83" s="6"/>
      <c r="AC83" s="6"/>
      <c r="AD83" s="6"/>
      <c r="AE83" s="6"/>
      <c r="AF83" s="6"/>
    </row>
    <row r="84" spans="1:32" x14ac:dyDescent="0.2">
      <c r="A84" s="271">
        <f>'Berekening trap 1'!A84</f>
        <v>0.79747357145351072</v>
      </c>
      <c r="B84" s="6">
        <f t="shared" si="19"/>
        <v>0.77774731805674502</v>
      </c>
      <c r="C84" s="168">
        <f>B84/$B$51</f>
        <v>0.76103698919362117</v>
      </c>
      <c r="D84" s="200">
        <f>IF(C84-$K$35&gt;0,EXP(-(((C84-$K$35)/$K$37)^$K$39)),1)</f>
        <v>0.80665911651664557</v>
      </c>
      <c r="E84" s="197">
        <f t="shared" si="12"/>
        <v>0.57714339206287735</v>
      </c>
      <c r="F84" s="43">
        <f t="shared" si="4"/>
        <v>0.80665911651664557</v>
      </c>
      <c r="G84" s="155">
        <f t="shared" si="4"/>
        <v>0.57714339206287735</v>
      </c>
      <c r="H84" s="170">
        <f t="shared" si="20"/>
        <v>0.80665911651664557</v>
      </c>
      <c r="I84" s="179">
        <f t="shared" si="9"/>
        <v>0.80665911651664557</v>
      </c>
      <c r="J84" s="314">
        <f>IF(INVOER!$T$36=1,100-H84*100,100-I84*100)</f>
        <v>19.334088348335442</v>
      </c>
      <c r="K84" s="408">
        <f>IF(AND('Berekening trap 1'!$B$64=1,INVOER!$C$20=1),'Berekening trap 1'!U84,'Berekening trap 1'!V84)</f>
        <v>3.0259592745385255E-3</v>
      </c>
      <c r="L84" s="380">
        <f t="shared" si="13"/>
        <v>3.6345182942698055E-2</v>
      </c>
      <c r="M84" s="380">
        <f t="shared" si="14"/>
        <v>99.750482686820092</v>
      </c>
      <c r="N84" s="375">
        <f>'Berekening trap 2'!H84*$L84</f>
        <v>2.9318173162192668E-2</v>
      </c>
      <c r="O84" s="376">
        <f>'Berekening trap 2'!I84*$L84</f>
        <v>2.9318173162192668E-2</v>
      </c>
      <c r="Q84" s="396">
        <f t="shared" si="5"/>
        <v>19.334088163111353</v>
      </c>
      <c r="R84" s="6">
        <f t="shared" si="10"/>
        <v>0.77774731805674502</v>
      </c>
      <c r="S84" s="380">
        <f>1/100*'Berekening trap 1'!T84*INVOER!$W$19*1000</f>
        <v>3.5853155275871441E-3</v>
      </c>
      <c r="T84" s="380">
        <f t="shared" si="6"/>
        <v>3.0317551327143249E-3</v>
      </c>
      <c r="U84" s="44">
        <f t="shared" si="16"/>
        <v>99.97918636436286</v>
      </c>
      <c r="V84" s="380">
        <f t="shared" si="7"/>
        <v>3.6345182942698055E-2</v>
      </c>
      <c r="W84" s="44">
        <f t="shared" ref="W84:W147" si="21">W83-V84</f>
        <v>99.750482686820092</v>
      </c>
      <c r="X84" s="145">
        <f>IF(AND(INVOER!$T$36=1,INVOER!E27=1),1/100*N84*INVOER!$W$20*1000,1/100*O84*INVOER!$W$20*1000)</f>
        <v>2.8921274625577247E-3</v>
      </c>
      <c r="Y84" s="6">
        <f t="shared" si="8"/>
        <v>0.18890988941839748</v>
      </c>
      <c r="Z84" s="44">
        <f t="shared" si="18"/>
        <v>98.546340638776556</v>
      </c>
      <c r="AA84" s="6"/>
      <c r="AB84" s="6"/>
      <c r="AC84" s="6"/>
      <c r="AD84" s="6"/>
      <c r="AE84" s="6"/>
      <c r="AF84" s="6"/>
    </row>
    <row r="85" spans="1:32" x14ac:dyDescent="0.2">
      <c r="A85" s="271">
        <f>'Berekening trap 1'!A85</f>
        <v>0.83897945164899612</v>
      </c>
      <c r="B85" s="6">
        <f t="shared" si="19"/>
        <v>0.81822651155125348</v>
      </c>
      <c r="C85" s="168">
        <f>B85/$B$51</f>
        <v>0.80064646495371505</v>
      </c>
      <c r="D85" s="200">
        <f t="shared" si="11"/>
        <v>0.78635225664591391</v>
      </c>
      <c r="E85" s="197">
        <f t="shared" si="12"/>
        <v>0.56704363940424285</v>
      </c>
      <c r="F85" s="43">
        <f t="shared" si="4"/>
        <v>0.78635225664591391</v>
      </c>
      <c r="G85" s="155">
        <f t="shared" si="4"/>
        <v>0.56704363940424285</v>
      </c>
      <c r="H85" s="170">
        <f t="shared" si="20"/>
        <v>0.78635225664591391</v>
      </c>
      <c r="I85" s="179">
        <f t="shared" si="9"/>
        <v>0.78635225664591391</v>
      </c>
      <c r="J85" s="314">
        <f>IF(INVOER!$T$36=1,100-H85*100,100-I85*100)</f>
        <v>21.364774335408612</v>
      </c>
      <c r="K85" s="408">
        <f>IF(AND('Berekening trap 1'!$B$64=1,INVOER!$C$20=1),'Berekening trap 1'!U85,'Berekening trap 1'!V85)</f>
        <v>3.5418131489217686E-3</v>
      </c>
      <c r="L85" s="380">
        <f t="shared" si="13"/>
        <v>4.2541169648109958E-2</v>
      </c>
      <c r="M85" s="380">
        <f t="shared" si="14"/>
        <v>99.707941517171989</v>
      </c>
      <c r="N85" s="375">
        <f>'Berekening trap 2'!H85*$L85</f>
        <v>3.3452344753147928E-2</v>
      </c>
      <c r="O85" s="376">
        <f>'Berekening trap 2'!I85*$L85</f>
        <v>3.3452344753147928E-2</v>
      </c>
      <c r="Q85" s="396">
        <f t="shared" si="5"/>
        <v>21.364774154847346</v>
      </c>
      <c r="R85" s="6">
        <f t="shared" si="10"/>
        <v>0.81822651155125348</v>
      </c>
      <c r="S85" s="380">
        <f>1/100*'Berekening trap 1'!T85*INVOER!$W$19*1000</f>
        <v>4.1965263001030066E-3</v>
      </c>
      <c r="T85" s="380">
        <f t="shared" si="6"/>
        <v>3.5485970626608137E-3</v>
      </c>
      <c r="U85" s="44">
        <f t="shared" si="16"/>
        <v>99.975637767300199</v>
      </c>
      <c r="V85" s="380">
        <f t="shared" si="7"/>
        <v>4.2541169648109958E-2</v>
      </c>
      <c r="W85" s="44">
        <f t="shared" si="21"/>
        <v>99.707941517171989</v>
      </c>
      <c r="X85" s="145">
        <f>IF(AND(INVOER!$T$36=1,INVOER!E28=1),1/100*N85*INVOER!$W$20*1000,1/100*O85*INVOER!$W$20*1000)</f>
        <v>3.2999479337372279E-3</v>
      </c>
      <c r="Y85" s="6">
        <f t="shared" si="8"/>
        <v>0.2155481759775055</v>
      </c>
      <c r="Z85" s="44">
        <f t="shared" si="18"/>
        <v>98.330792462799053</v>
      </c>
      <c r="AA85" s="6"/>
      <c r="AB85" s="6"/>
      <c r="AC85" s="6"/>
      <c r="AD85" s="6"/>
      <c r="AE85" s="6"/>
      <c r="AF85" s="6"/>
    </row>
    <row r="86" spans="1:32" x14ac:dyDescent="0.2">
      <c r="A86" s="272">
        <f>'Berekening trap 1'!A86</f>
        <v>0.88264557658796816</v>
      </c>
      <c r="B86" s="46">
        <f t="shared" si="19"/>
        <v>0.86081251411848214</v>
      </c>
      <c r="C86" s="182">
        <f t="shared" si="15"/>
        <v>0.84231748383492822</v>
      </c>
      <c r="D86" s="201">
        <f t="shared" si="11"/>
        <v>0.76630865930648795</v>
      </c>
      <c r="E86" s="167">
        <f t="shared" si="12"/>
        <v>0.55674347632581422</v>
      </c>
      <c r="F86" s="45">
        <f t="shared" si="4"/>
        <v>0.76630865930648795</v>
      </c>
      <c r="G86" s="183">
        <f t="shared" si="4"/>
        <v>0.55674347632581422</v>
      </c>
      <c r="H86" s="171">
        <f t="shared" si="20"/>
        <v>0.76630865930648795</v>
      </c>
      <c r="I86" s="235">
        <f t="shared" si="9"/>
        <v>0.76630865930648795</v>
      </c>
      <c r="J86" s="315">
        <f>IF(INVOER!$T$36=1,100-H86*100,100-I86*100)</f>
        <v>23.369134069351205</v>
      </c>
      <c r="K86" s="409">
        <f>IF(AND('Berekening trap 1'!$B$64=1,INVOER!$C$20=1),'Berekening trap 1'!U86,'Berekening trap 1'!V86)</f>
        <v>4.1455845854465601E-3</v>
      </c>
      <c r="L86" s="380">
        <f t="shared" si="13"/>
        <v>4.9793145410214609E-2</v>
      </c>
      <c r="M86" s="380">
        <f t="shared" si="14"/>
        <v>99.658148371761769</v>
      </c>
      <c r="N86" s="375">
        <f>'Berekening trap 2'!H86*$L86</f>
        <v>3.8156918501954559E-2</v>
      </c>
      <c r="O86" s="376">
        <f>'Berekening trap 2'!I86*$L86</f>
        <v>3.8156918501954559E-2</v>
      </c>
      <c r="Q86" s="396">
        <f t="shared" si="5"/>
        <v>23.369133893392338</v>
      </c>
      <c r="R86" s="6">
        <f t="shared" si="10"/>
        <v>0.86081251411848214</v>
      </c>
      <c r="S86" s="380">
        <f>1/100*'Berekening trap 1'!T86*INVOER!$W$19*1000</f>
        <v>4.9119064192938242E-3</v>
      </c>
      <c r="T86" s="380">
        <f t="shared" si="6"/>
        <v>4.1535249501815398E-3</v>
      </c>
      <c r="U86" s="44">
        <f t="shared" si="16"/>
        <v>99.971484242350016</v>
      </c>
      <c r="V86" s="380">
        <f t="shared" si="7"/>
        <v>4.9793145410214609E-2</v>
      </c>
      <c r="W86" s="44">
        <f t="shared" si="21"/>
        <v>99.658148371761769</v>
      </c>
      <c r="X86" s="145">
        <f>IF(AND(INVOER!$T$36=1,INVOER!E29=1),1/100*N86*INVOER!$W$20*1000,1/100*O86*INVOER!$W$20*1000)</f>
        <v>3.7640364314509172E-3</v>
      </c>
      <c r="Y86" s="6">
        <f t="shared" si="8"/>
        <v>0.24586181461150589</v>
      </c>
      <c r="Z86" s="44">
        <f t="shared" si="18"/>
        <v>98.084930648187552</v>
      </c>
      <c r="AA86" s="6"/>
      <c r="AB86" s="6"/>
      <c r="AC86" s="6"/>
      <c r="AD86" s="6"/>
      <c r="AE86" s="6"/>
      <c r="AF86" s="6"/>
    </row>
    <row r="87" spans="1:32" x14ac:dyDescent="0.2">
      <c r="A87" s="271">
        <f>'Berekening trap 1'!A87</f>
        <v>0.92858437991428122</v>
      </c>
      <c r="B87" s="6">
        <f t="shared" si="19"/>
        <v>0.90561497825112469</v>
      </c>
      <c r="C87" s="168">
        <f t="shared" si="15"/>
        <v>0.88615734238584365</v>
      </c>
      <c r="D87" s="200">
        <f t="shared" si="11"/>
        <v>0.74646847075781042</v>
      </c>
      <c r="E87" s="197">
        <f t="shared" si="12"/>
        <v>0.54624696494267388</v>
      </c>
      <c r="F87" s="43">
        <f t="shared" si="4"/>
        <v>0.74646847075781042</v>
      </c>
      <c r="G87" s="155">
        <f t="shared" si="4"/>
        <v>0.54624696494267388</v>
      </c>
      <c r="H87" s="170">
        <f t="shared" si="20"/>
        <v>0.74646847075781042</v>
      </c>
      <c r="I87" s="179">
        <f t="shared" si="9"/>
        <v>0.74646847075781042</v>
      </c>
      <c r="J87" s="314">
        <f>IF(INVOER!$T$36=1,100-H87*100,100-I87*100)</f>
        <v>25.353152924218961</v>
      </c>
      <c r="K87" s="408">
        <f>IF(AND('Berekening trap 1'!$B$64=1,INVOER!$C$20=1),'Berekening trap 1'!U87,'Berekening trap 1'!V87)</f>
        <v>4.85224888155944E-3</v>
      </c>
      <c r="L87" s="381">
        <f t="shared" si="13"/>
        <v>5.8280980437410236E-2</v>
      </c>
      <c r="M87" s="381">
        <f t="shared" si="14"/>
        <v>99.599867391324352</v>
      </c>
      <c r="N87" s="372">
        <f>'Berekening trap 2'!H87*$L87</f>
        <v>4.3504914341379486E-2</v>
      </c>
      <c r="O87" s="373">
        <f>'Berekening trap 2'!I87*$L87</f>
        <v>4.3504914341379486E-2</v>
      </c>
      <c r="Q87" s="396">
        <f t="shared" si="5"/>
        <v>25.35315275281577</v>
      </c>
      <c r="R87" s="6">
        <f t="shared" si="10"/>
        <v>0.90561497825112469</v>
      </c>
      <c r="S87" s="380">
        <f>1/100*'Berekening trap 1'!T87*INVOER!$W$19*1000</f>
        <v>5.7491994043526989E-3</v>
      </c>
      <c r="T87" s="380">
        <f t="shared" si="6"/>
        <v>4.861542776089957E-3</v>
      </c>
      <c r="U87" s="44">
        <f t="shared" si="16"/>
        <v>99.966622699573932</v>
      </c>
      <c r="V87" s="380">
        <f t="shared" si="7"/>
        <v>5.8280980437410236E-2</v>
      </c>
      <c r="W87" s="44">
        <f t="shared" si="21"/>
        <v>99.599867391324352</v>
      </c>
      <c r="X87" s="145">
        <f>IF(AND(INVOER!$T$36=1,INVOER!E30=1),1/100*N87*INVOER!$W$20*1000,1/100*O87*INVOER!$W$20*1000)</f>
        <v>4.2915960973031846E-3</v>
      </c>
      <c r="Y87" s="6">
        <f t="shared" si="8"/>
        <v>0.28032130487533424</v>
      </c>
      <c r="Z87" s="44">
        <f t="shared" si="18"/>
        <v>97.804609343312222</v>
      </c>
      <c r="AA87" s="6"/>
      <c r="AB87" s="6"/>
      <c r="AC87" s="6"/>
      <c r="AD87" s="6"/>
      <c r="AE87" s="6"/>
      <c r="AF87" s="6"/>
    </row>
    <row r="88" spans="1:32" x14ac:dyDescent="0.2">
      <c r="A88" s="271">
        <f>'Berekening trap 1'!A88</f>
        <v>0.97691414707367863</v>
      </c>
      <c r="B88" s="6">
        <f t="shared" si="19"/>
        <v>0.95274926349397993</v>
      </c>
      <c r="C88" s="168">
        <f t="shared" si="15"/>
        <v>0.93227892158799619</v>
      </c>
      <c r="D88" s="200">
        <f>IF(C88-$K$35&gt;0,EXP(-(((C88-$K$35)/$K$37)^$K$39)),1)</f>
        <v>0.72678754135698476</v>
      </c>
      <c r="E88" s="197">
        <f t="shared" si="12"/>
        <v>0.53555878356298448</v>
      </c>
      <c r="F88" s="43">
        <f t="shared" si="4"/>
        <v>0.72678754135698476</v>
      </c>
      <c r="G88" s="155">
        <f t="shared" si="4"/>
        <v>0.53555878356298448</v>
      </c>
      <c r="H88" s="170">
        <f t="shared" si="20"/>
        <v>0.72678754135698476</v>
      </c>
      <c r="I88" s="179">
        <f t="shared" si="9"/>
        <v>0.72678754135698476</v>
      </c>
      <c r="J88" s="314">
        <f>IF(INVOER!$T$36=1,100-H88*100,100-I88*100)</f>
        <v>27.321245864301531</v>
      </c>
      <c r="K88" s="408">
        <f>IF(AND('Berekening trap 1'!$B$64=1,INVOER!$C$20=1),'Berekening trap 1'!U88,'Berekening trap 1'!V88)</f>
        <v>5.6505854048060347E-3</v>
      </c>
      <c r="L88" s="380">
        <f t="shared" si="13"/>
        <v>6.7869902281594688E-2</v>
      </c>
      <c r="M88" s="380">
        <f t="shared" si="14"/>
        <v>99.531997489042752</v>
      </c>
      <c r="N88" s="375">
        <f>'Berekening trap 2'!H88*$L88</f>
        <v>4.9326999411379011E-2</v>
      </c>
      <c r="O88" s="376">
        <f>'Berekening trap 2'!I88*$L88</f>
        <v>4.9326999411379011E-2</v>
      </c>
      <c r="Q88" s="396">
        <f t="shared" si="5"/>
        <v>27.689078749000799</v>
      </c>
      <c r="R88" s="6">
        <f t="shared" si="10"/>
        <v>0.95274926349397993</v>
      </c>
      <c r="S88" s="380">
        <f>1/100*'Berekening trap 1'!T88*INVOER!$W$19*1000</f>
        <v>6.7291673202927995E-3</v>
      </c>
      <c r="T88" s="380">
        <f t="shared" si="6"/>
        <v>5.690207013919593E-3</v>
      </c>
      <c r="U88" s="44">
        <f t="shared" si="16"/>
        <v>99.960932492560019</v>
      </c>
      <c r="V88" s="380">
        <f t="shared" si="7"/>
        <v>6.7869902281594688E-2</v>
      </c>
      <c r="W88" s="44">
        <f t="shared" si="21"/>
        <v>99.531997489042752</v>
      </c>
      <c r="X88" s="145">
        <f>IF(AND(INVOER!$T$36=1,INVOER!E31=1),1/100*N88*INVOER!$W$20*1000,1/100*O88*INVOER!$W$20*1000)</f>
        <v>4.8659228818248995E-3</v>
      </c>
      <c r="Y88" s="6">
        <f t="shared" si="8"/>
        <v>0.31783556064678276</v>
      </c>
      <c r="Z88" s="44">
        <f t="shared" si="18"/>
        <v>97.486773782665438</v>
      </c>
      <c r="AA88" s="6"/>
      <c r="AB88" s="6"/>
      <c r="AC88" s="6"/>
      <c r="AD88" s="6"/>
      <c r="AE88" s="6"/>
      <c r="AF88" s="6"/>
    </row>
    <row r="89" spans="1:32" x14ac:dyDescent="0.2">
      <c r="A89" s="271">
        <f>'Berekening trap 1'!A89</f>
        <v>1.0277593198808612</v>
      </c>
      <c r="B89" s="6">
        <f t="shared" si="19"/>
        <v>1.0023367334772699</v>
      </c>
      <c r="C89" s="168">
        <f t="shared" si="15"/>
        <v>0.98080097750726669</v>
      </c>
      <c r="D89" s="200">
        <f>IF(C89-$K$35&gt;0,EXP(-(((C89-$K$35)/$K$37)^$K$39)),1)</f>
        <v>0.70723318406841063</v>
      </c>
      <c r="E89" s="197">
        <f t="shared" si="12"/>
        <v>0.52468425063474777</v>
      </c>
      <c r="F89" s="43">
        <f t="shared" si="4"/>
        <v>0.70723318406841063</v>
      </c>
      <c r="G89" s="155">
        <f t="shared" si="4"/>
        <v>0.52468425063474777</v>
      </c>
      <c r="H89" s="170">
        <f t="shared" si="20"/>
        <v>0.70723318406841063</v>
      </c>
      <c r="I89" s="179">
        <f t="shared" si="9"/>
        <v>0.70723318406841063</v>
      </c>
      <c r="J89" s="314">
        <f>IF(INVOER!$T$36=1,100-H89*100,100-I89*100)</f>
        <v>29.276681593158941</v>
      </c>
      <c r="K89" s="408">
        <f>IF(AND('Berekening trap 1'!$B$64=1,INVOER!$C$20=1),'Berekening trap 1'!U89,'Berekening trap 1'!V89)</f>
        <v>6.5695283424728555E-3</v>
      </c>
      <c r="L89" s="380">
        <f t="shared" si="13"/>
        <v>7.8907443158113766E-2</v>
      </c>
      <c r="M89" s="380">
        <f t="shared" si="14"/>
        <v>99.453090045884636</v>
      </c>
      <c r="N89" s="375">
        <f>'Berekening trap 2'!H89*$L89</f>
        <v>5.5805962271409923E-2</v>
      </c>
      <c r="O89" s="376">
        <f>'Berekening trap 2'!I89*$L89</f>
        <v>5.5805962271409923E-2</v>
      </c>
      <c r="Q89" s="396">
        <f t="shared" si="5"/>
        <v>30.104415119443143</v>
      </c>
      <c r="R89" s="6">
        <f t="shared" si="10"/>
        <v>1.0023367334772699</v>
      </c>
      <c r="S89" s="380">
        <f>1/100*'Berekening trap 1'!T89*INVOER!$W$19*1000</f>
        <v>7.8761029012175479E-3</v>
      </c>
      <c r="T89" s="380">
        <f t="shared" si="6"/>
        <v>6.6600596831214599E-3</v>
      </c>
      <c r="U89" s="44">
        <f t="shared" si="16"/>
        <v>99.954272432876891</v>
      </c>
      <c r="V89" s="380">
        <f t="shared" si="7"/>
        <v>7.8907443158113766E-2</v>
      </c>
      <c r="W89" s="44">
        <f t="shared" si="21"/>
        <v>99.453090045884636</v>
      </c>
      <c r="X89" s="145">
        <f>IF(AND(INVOER!$T$36=1,INVOER!E32=1),1/100*N89*INVOER!$W$20*1000,1/100*O89*INVOER!$W$20*1000)</f>
        <v>5.5050481886005122E-3</v>
      </c>
      <c r="Y89" s="6">
        <f t="shared" si="8"/>
        <v>0.35958236903976537</v>
      </c>
      <c r="Z89" s="44">
        <f t="shared" si="18"/>
        <v>97.127191413625667</v>
      </c>
      <c r="AA89" s="6"/>
      <c r="AB89" s="6"/>
      <c r="AC89" s="6"/>
      <c r="AD89" s="6"/>
      <c r="AE89" s="6"/>
      <c r="AF89" s="6"/>
    </row>
    <row r="90" spans="1:32" x14ac:dyDescent="0.2">
      <c r="A90" s="271">
        <f>'Berekening trap 1'!A90</f>
        <v>1.0812508169382724</v>
      </c>
      <c r="B90" s="6">
        <f t="shared" si="19"/>
        <v>1.0545050684095667</v>
      </c>
      <c r="C90" s="168">
        <f t="shared" si="15"/>
        <v>1.0318484470727263</v>
      </c>
      <c r="D90" s="200">
        <f t="shared" ref="D90:D153" si="22">IF(C90-$K$35&gt;0,EXP(-(((C90-$K$35)/$K$37)^$K$39)),1)</f>
        <v>0.68778139112468806</v>
      </c>
      <c r="E90" s="197">
        <f t="shared" si="12"/>
        <v>0.51362934751131351</v>
      </c>
      <c r="F90" s="43">
        <f t="shared" si="4"/>
        <v>0.68778139112468806</v>
      </c>
      <c r="G90" s="155">
        <f t="shared" si="4"/>
        <v>0.51362934751131351</v>
      </c>
      <c r="H90" s="170">
        <f t="shared" si="20"/>
        <v>0.68778139112468806</v>
      </c>
      <c r="I90" s="179">
        <f t="shared" si="9"/>
        <v>0.68778139112468806</v>
      </c>
      <c r="J90" s="314">
        <f>IF(INVOER!$T$36=1,100-H90*100,100-I90*100)</f>
        <v>31.221860887531193</v>
      </c>
      <c r="K90" s="408">
        <f>IF(AND('Berekening trap 1'!$B$64=1,INVOER!$C$20=1),'Berekening trap 1'!U90,'Berekening trap 1'!V90)</f>
        <v>7.6308410852395231E-3</v>
      </c>
      <c r="L90" s="380">
        <f t="shared" si="13"/>
        <v>9.1655005929312611E-2</v>
      </c>
      <c r="M90" s="380">
        <f t="shared" si="14"/>
        <v>99.361435039955325</v>
      </c>
      <c r="N90" s="375">
        <f>'Berekening trap 2'!H90*$L90</f>
        <v>6.3038607481604156E-2</v>
      </c>
      <c r="O90" s="376">
        <f>'Berekening trap 2'!I90*$L90</f>
        <v>6.3038607481604156E-2</v>
      </c>
      <c r="Q90" s="396">
        <f t="shared" si="5"/>
        <v>32.542496460364305</v>
      </c>
      <c r="R90" s="6">
        <f t="shared" si="10"/>
        <v>1.0545050684095667</v>
      </c>
      <c r="S90" s="380">
        <f>1/100*'Berekening trap 1'!T90*INVOER!$W$19*1000</f>
        <v>9.2184280427338918E-3</v>
      </c>
      <c r="T90" s="380">
        <f t="shared" si="6"/>
        <v>7.795134436305716E-3</v>
      </c>
      <c r="U90" s="44">
        <f t="shared" si="16"/>
        <v>99.946477298440584</v>
      </c>
      <c r="V90" s="380">
        <f t="shared" si="7"/>
        <v>9.1655005929312611E-2</v>
      </c>
      <c r="W90" s="44">
        <f t="shared" si="21"/>
        <v>99.361435039955325</v>
      </c>
      <c r="X90" s="145">
        <f>IF(AND(INVOER!$T$36=1,INVOER!E33=1),1/100*N90*INVOER!$W$20*1000,1/100*O90*INVOER!$W$20*1000)</f>
        <v>6.2185214232259849E-3</v>
      </c>
      <c r="Y90" s="6">
        <f t="shared" si="8"/>
        <v>0.40618548442835423</v>
      </c>
      <c r="Z90" s="44">
        <f t="shared" si="18"/>
        <v>96.721005929197318</v>
      </c>
      <c r="AA90" s="6"/>
      <c r="AB90" s="6"/>
      <c r="AC90" s="6"/>
      <c r="AD90" s="6"/>
      <c r="AE90" s="6"/>
      <c r="AF90" s="6"/>
    </row>
    <row r="91" spans="1:32" x14ac:dyDescent="0.2">
      <c r="A91" s="271">
        <f>'Berekening trap 1'!A91</f>
        <v>1.137526370731627</v>
      </c>
      <c r="B91" s="46">
        <f t="shared" si="19"/>
        <v>1.1093885938349497</v>
      </c>
      <c r="C91" s="182">
        <f t="shared" si="15"/>
        <v>1.0855527697702654</v>
      </c>
      <c r="D91" s="201">
        <f t="shared" si="22"/>
        <v>0.66841493858852452</v>
      </c>
      <c r="E91" s="167">
        <f t="shared" si="12"/>
        <v>0.50240073975511312</v>
      </c>
      <c r="F91" s="45">
        <f t="shared" si="4"/>
        <v>0.66841493858852452</v>
      </c>
      <c r="G91" s="183">
        <f t="shared" si="4"/>
        <v>0.50240073975511312</v>
      </c>
      <c r="H91" s="171">
        <f t="shared" si="20"/>
        <v>0.66841493858852452</v>
      </c>
      <c r="I91" s="235">
        <f t="shared" si="9"/>
        <v>0.66841493858852452</v>
      </c>
      <c r="J91" s="314">
        <f>IF(INVOER!$T$36=1,100-H91*100,100-I91*100)</f>
        <v>33.158506141147541</v>
      </c>
      <c r="K91" s="408">
        <f>IF(AND('Berekening trap 1'!$B$64=1,INVOER!$C$20=1),'Berekening trap 1'!U91,'Berekening trap 1'!V91)</f>
        <v>8.8562487463946168E-3</v>
      </c>
      <c r="L91" s="377">
        <f t="shared" si="13"/>
        <v>0.10637353370290858</v>
      </c>
      <c r="M91" s="377">
        <f t="shared" si="14"/>
        <v>99.255061506252417</v>
      </c>
      <c r="N91" s="378">
        <f>'Berekening trap 2'!H91*$L91</f>
        <v>7.110165899747399E-2</v>
      </c>
      <c r="O91" s="379">
        <f>'Berekening trap 2'!I91*$L91</f>
        <v>7.110165899747399E-2</v>
      </c>
      <c r="Q91" s="396">
        <f t="shared" si="5"/>
        <v>34.992533033887021</v>
      </c>
      <c r="R91" s="6">
        <f t="shared" si="10"/>
        <v>1.1093885938349497</v>
      </c>
      <c r="S91" s="380">
        <f>1/100*'Berekening trap 1'!T91*INVOER!$W$19*1000</f>
        <v>1.078939303829214E-2</v>
      </c>
      <c r="T91" s="380">
        <f t="shared" si="6"/>
        <v>9.1235478358938742E-3</v>
      </c>
      <c r="U91" s="44">
        <f t="shared" si="16"/>
        <v>99.937353750604686</v>
      </c>
      <c r="V91" s="380">
        <f t="shared" si="7"/>
        <v>0.10637353370290858</v>
      </c>
      <c r="W91" s="44">
        <f t="shared" si="21"/>
        <v>99.255061506252417</v>
      </c>
      <c r="X91" s="145">
        <f>IF(AND(INVOER!$T$36=1,INVOER!E34=1),1/100*N91*INVOER!$W$20*1000,1/100*O91*INVOER!$W$20*1000)</f>
        <v>7.013911115211856E-3</v>
      </c>
      <c r="Y91" s="6">
        <f t="shared" si="8"/>
        <v>0.45813927301577034</v>
      </c>
      <c r="Z91" s="44">
        <f t="shared" si="18"/>
        <v>96.262866656181544</v>
      </c>
      <c r="AA91" s="6"/>
      <c r="AB91" s="6"/>
      <c r="AC91" s="6"/>
      <c r="AD91" s="6"/>
      <c r="AE91" s="6"/>
      <c r="AF91" s="6"/>
    </row>
    <row r="92" spans="1:32" x14ac:dyDescent="0.2">
      <c r="A92" s="270">
        <f>'Berekening trap 1'!A92</f>
        <v>1.1967308822701572</v>
      </c>
      <c r="B92" s="6">
        <f t="shared" si="19"/>
        <v>1.167128626500892</v>
      </c>
      <c r="C92" s="168">
        <f t="shared" si="15"/>
        <v>1.1420522260793182</v>
      </c>
      <c r="D92" s="200">
        <f t="shared" si="22"/>
        <v>0.64912205467058126</v>
      </c>
      <c r="E92" s="197">
        <f t="shared" si="12"/>
        <v>0.49100579667840311</v>
      </c>
      <c r="F92" s="43">
        <f t="shared" si="4"/>
        <v>0.64912205467058126</v>
      </c>
      <c r="G92" s="155">
        <f t="shared" si="4"/>
        <v>0.49100579667840311</v>
      </c>
      <c r="H92" s="170">
        <f t="shared" si="20"/>
        <v>0.64912205467058126</v>
      </c>
      <c r="I92" s="179">
        <f t="shared" si="9"/>
        <v>0.64912205467058126</v>
      </c>
      <c r="J92" s="313">
        <f>IF(INVOER!$T$36=1,100-H92*100,100-I92*100)</f>
        <v>35.087794532941871</v>
      </c>
      <c r="K92" s="407">
        <f>IF(AND('Berekening trap 1'!$B$64=1,INVOER!$C$20=1),'Berekening trap 1'!U92,'Berekening trap 1'!V92)</f>
        <v>1.027015161039937E-2</v>
      </c>
      <c r="L92" s="380">
        <f t="shared" si="13"/>
        <v>0.12335610140891133</v>
      </c>
      <c r="M92" s="380">
        <f t="shared" si="14"/>
        <v>99.131705404843501</v>
      </c>
      <c r="N92" s="375">
        <f>'Berekening trap 2'!H92*$L92</f>
        <v>8.0073166002705101E-2</v>
      </c>
      <c r="O92" s="376">
        <f>'Berekening trap 2'!I92*$L92</f>
        <v>8.0073166002705101E-2</v>
      </c>
      <c r="Q92" s="396">
        <f t="shared" si="5"/>
        <v>37.448659377045644</v>
      </c>
      <c r="R92" s="6">
        <f t="shared" si="10"/>
        <v>1.167128626500892</v>
      </c>
      <c r="S92" s="380">
        <f>1/100*'Berekening trap 1'!T92*INVOER!$W$19*1000</f>
        <v>1.2627893254045912E-2</v>
      </c>
      <c r="T92" s="380">
        <f t="shared" si="6"/>
        <v>1.0678189937187265E-2</v>
      </c>
      <c r="U92" s="44">
        <f t="shared" si="16"/>
        <v>99.926675560667505</v>
      </c>
      <c r="V92" s="380">
        <f t="shared" si="7"/>
        <v>0.12335610140891133</v>
      </c>
      <c r="W92" s="44">
        <f t="shared" si="21"/>
        <v>99.131705404843501</v>
      </c>
      <c r="X92" s="145">
        <f>IF(AND(INVOER!$T$36=1,INVOER!E35=1),1/100*N92*INVOER!$W$20*1000,1/100*O92*INVOER!$W$20*1000)</f>
        <v>7.8989165228413333E-3</v>
      </c>
      <c r="Y92" s="6">
        <f t="shared" si="8"/>
        <v>0.51594664003344426</v>
      </c>
      <c r="Z92" s="44">
        <f t="shared" si="18"/>
        <v>95.746920016148096</v>
      </c>
      <c r="AA92" s="6"/>
      <c r="AB92" s="6"/>
      <c r="AC92" s="6"/>
      <c r="AD92" s="6"/>
      <c r="AE92" s="6"/>
      <c r="AF92" s="6"/>
    </row>
    <row r="93" spans="1:32" x14ac:dyDescent="0.2">
      <c r="A93" s="271">
        <f>'Berekening trap 1'!A93</f>
        <v>1.2590167941847168</v>
      </c>
      <c r="B93" s="6">
        <f t="shared" si="19"/>
        <v>1.227873838227437</v>
      </c>
      <c r="C93" s="168">
        <f t="shared" si="15"/>
        <v>1.2014922935241101</v>
      </c>
      <c r="D93" s="200">
        <f t="shared" si="22"/>
        <v>0.62989545845408912</v>
      </c>
      <c r="E93" s="197">
        <f t="shared" si="12"/>
        <v>0.4794526087997234</v>
      </c>
      <c r="F93" s="43">
        <f t="shared" si="4"/>
        <v>0.62989545845408912</v>
      </c>
      <c r="G93" s="155">
        <f t="shared" si="4"/>
        <v>0.4794526087997234</v>
      </c>
      <c r="H93" s="170">
        <f t="shared" si="20"/>
        <v>0.62989545845408912</v>
      </c>
      <c r="I93" s="179">
        <f t="shared" si="9"/>
        <v>0.62989545845408912</v>
      </c>
      <c r="J93" s="314">
        <f>IF(INVOER!$T$36=1,100-H93*100,100-I93*100)</f>
        <v>37.010454154591088</v>
      </c>
      <c r="K93" s="408">
        <f>IF(AND('Berekening trap 1'!$B$64=1,INVOER!$C$20=1),'Berekening trap 1'!U93,'Berekening trap 1'!V93)</f>
        <v>1.1900127980657451E-2</v>
      </c>
      <c r="L93" s="380">
        <f t="shared" si="13"/>
        <v>0.14293395556834632</v>
      </c>
      <c r="M93" s="380">
        <f t="shared" si="14"/>
        <v>98.988771449275148</v>
      </c>
      <c r="N93" s="375">
        <f>'Berekening trap 2'!H93*$L93</f>
        <v>9.0033449471379909E-2</v>
      </c>
      <c r="O93" s="376">
        <f>'Berekening trap 2'!I93*$L93</f>
        <v>9.0033449471379909E-2</v>
      </c>
      <c r="Q93" s="396">
        <f t="shared" si="5"/>
        <v>39.906576564777332</v>
      </c>
      <c r="R93" s="6">
        <f t="shared" si="10"/>
        <v>1.227873838227437</v>
      </c>
      <c r="S93" s="380">
        <f>1/100*'Berekening trap 1'!T93*INVOER!$W$19*1000</f>
        <v>1.4779422606111921E-2</v>
      </c>
      <c r="T93" s="380">
        <f t="shared" si="6"/>
        <v>1.2497530552014951E-2</v>
      </c>
      <c r="U93" s="44">
        <f t="shared" si="16"/>
        <v>99.914178030115494</v>
      </c>
      <c r="V93" s="380">
        <f t="shared" si="7"/>
        <v>0.14293395556834632</v>
      </c>
      <c r="W93" s="44">
        <f t="shared" si="21"/>
        <v>98.988771449275148</v>
      </c>
      <c r="X93" s="145">
        <f>IF(AND(INVOER!$T$36=1,INVOER!E36=1),1/100*N93*INVOER!$W$20*1000,1/100*O93*INVOER!$W$20*1000)</f>
        <v>8.8814610079718578E-3</v>
      </c>
      <c r="Y93" s="6">
        <f t="shared" si="8"/>
        <v>0.58012512885790046</v>
      </c>
      <c r="Z93" s="44">
        <f t="shared" si="18"/>
        <v>95.166794887290195</v>
      </c>
      <c r="AA93" s="6"/>
      <c r="AB93" s="6"/>
      <c r="AC93" s="6"/>
      <c r="AD93" s="6"/>
      <c r="AE93" s="6"/>
      <c r="AF93" s="6"/>
    </row>
    <row r="94" spans="1:32" x14ac:dyDescent="0.2">
      <c r="A94" s="271">
        <f>'Berekening trap 1'!A94</f>
        <v>1.3245444832444178</v>
      </c>
      <c r="B94" s="6">
        <f t="shared" si="19"/>
        <v>1.2917806387145672</v>
      </c>
      <c r="C94" s="168">
        <f t="shared" si="15"/>
        <v>1.2640260212561991</v>
      </c>
      <c r="D94" s="200">
        <f t="shared" si="22"/>
        <v>0.61073164890235021</v>
      </c>
      <c r="E94" s="197">
        <f t="shared" si="12"/>
        <v>0.46775000287568036</v>
      </c>
      <c r="F94" s="43">
        <f t="shared" si="4"/>
        <v>0.61073164890235021</v>
      </c>
      <c r="G94" s="155">
        <f t="shared" si="4"/>
        <v>0.46775000287568036</v>
      </c>
      <c r="H94" s="170">
        <f t="shared" si="20"/>
        <v>0.61073164890235021</v>
      </c>
      <c r="I94" s="179">
        <f t="shared" si="9"/>
        <v>0.61073164890235021</v>
      </c>
      <c r="J94" s="314">
        <f>IF(INVOER!$T$36=1,100-H94*100,100-I94*100)</f>
        <v>38.92683510976498</v>
      </c>
      <c r="K94" s="408">
        <f>IF(AND('Berekening trap 1'!$B$64=1,INVOER!$C$20=1),'Berekening trap 1'!U94,'Berekening trap 1'!V94)</f>
        <v>1.3777345164138685E-2</v>
      </c>
      <c r="L94" s="380">
        <f t="shared" si="13"/>
        <v>0.1654814506820097</v>
      </c>
      <c r="M94" s="380">
        <f t="shared" si="14"/>
        <v>98.82328999859314</v>
      </c>
      <c r="N94" s="375">
        <f>'Berekening trap 2'!H94*$L94</f>
        <v>0.10106475923777673</v>
      </c>
      <c r="O94" s="376">
        <f>'Berekening trap 2'!I94*$L94</f>
        <v>0.10106475923777673</v>
      </c>
      <c r="Q94" s="396">
        <f t="shared" si="5"/>
        <v>42.36254349837116</v>
      </c>
      <c r="R94" s="6">
        <f t="shared" si="10"/>
        <v>1.2917806387145672</v>
      </c>
      <c r="S94" s="380">
        <f>1/100*'Berekening trap 1'!T94*INVOER!$W$19*1000</f>
        <v>1.7297186261124201E-2</v>
      </c>
      <c r="T94" s="380">
        <f t="shared" si="6"/>
        <v>1.4626560152146716E-2</v>
      </c>
      <c r="U94" s="44">
        <f t="shared" si="16"/>
        <v>99.899551469963342</v>
      </c>
      <c r="V94" s="380">
        <f t="shared" si="7"/>
        <v>0.1654814506820097</v>
      </c>
      <c r="W94" s="44">
        <f t="shared" si="21"/>
        <v>98.82328999859314</v>
      </c>
      <c r="X94" s="145">
        <f>IF(AND(INVOER!$T$36=1,INVOER!E37=1),1/100*N94*INVOER!$W$20*1000,1/100*O94*INVOER!$W$20*1000)</f>
        <v>9.9696582072611815E-3</v>
      </c>
      <c r="Y94" s="6">
        <f t="shared" si="8"/>
        <v>0.65120471136058655</v>
      </c>
      <c r="Z94" s="44">
        <f t="shared" si="18"/>
        <v>94.515590175929603</v>
      </c>
      <c r="AA94" s="6"/>
      <c r="AB94" s="6"/>
      <c r="AC94" s="6"/>
      <c r="AD94" s="6"/>
      <c r="AE94" s="6"/>
      <c r="AF94" s="6"/>
    </row>
    <row r="95" spans="1:32" x14ac:dyDescent="0.2">
      <c r="A95" s="271">
        <f>'Berekening trap 1'!A95</f>
        <v>1.3934826733024677</v>
      </c>
      <c r="B95" s="6">
        <f t="shared" si="19"/>
        <v>1.3590135782734427</v>
      </c>
      <c r="C95" s="168">
        <f t="shared" si="15"/>
        <v>1.3298144241328134</v>
      </c>
      <c r="D95" s="200">
        <f t="shared" si="22"/>
        <v>0.5916303668565831</v>
      </c>
      <c r="E95" s="197">
        <f t="shared" si="12"/>
        <v>0.45590755414996703</v>
      </c>
      <c r="F95" s="43">
        <f t="shared" si="4"/>
        <v>0.5916303668565831</v>
      </c>
      <c r="G95" s="155">
        <f t="shared" si="4"/>
        <v>0.45590755414996703</v>
      </c>
      <c r="H95" s="170">
        <f t="shared" si="20"/>
        <v>0.5916303668565831</v>
      </c>
      <c r="I95" s="179">
        <f t="shared" si="9"/>
        <v>0.5916303668565831</v>
      </c>
      <c r="J95" s="314">
        <f>IF(INVOER!$T$36=1,100-H95*100,100-I95*100)</f>
        <v>40.836963314341688</v>
      </c>
      <c r="K95" s="408">
        <f>IF(AND('Berekening trap 1'!$B$64=1,INVOER!$C$20=1),'Berekening trap 1'!U95,'Berekening trap 1'!V95)</f>
        <v>1.5936965016945547E-2</v>
      </c>
      <c r="L95" s="380">
        <f t="shared" si="13"/>
        <v>0.19142092029001306</v>
      </c>
      <c r="M95" s="380">
        <f t="shared" si="14"/>
        <v>98.631869078303126</v>
      </c>
      <c r="N95" s="375">
        <f>'Berekening trap 2'!H95*$L95</f>
        <v>0.11325042929520518</v>
      </c>
      <c r="O95" s="376">
        <f>'Berekening trap 2'!I95*$L95</f>
        <v>0.11325042929520518</v>
      </c>
      <c r="Q95" s="396">
        <f t="shared" si="5"/>
        <v>44.812978306105236</v>
      </c>
      <c r="R95" s="6">
        <f t="shared" si="10"/>
        <v>1.3590135782734427</v>
      </c>
      <c r="S95" s="380">
        <f>1/100*'Berekening trap 1'!T95*INVOER!$W$19*1000</f>
        <v>2.0243398470644186E-2</v>
      </c>
      <c r="T95" s="380">
        <f t="shared" si="6"/>
        <v>1.7117887322530806E-2</v>
      </c>
      <c r="U95" s="44">
        <f t="shared" si="16"/>
        <v>99.882433582640815</v>
      </c>
      <c r="V95" s="380">
        <f t="shared" si="7"/>
        <v>0.19142092029001306</v>
      </c>
      <c r="W95" s="44">
        <f t="shared" si="21"/>
        <v>98.631869078303126</v>
      </c>
      <c r="X95" s="145">
        <f>IF(AND(INVOER!$T$36=1,INVOER!E38=1),1/100*N95*INVOER!$W$20*1000,1/100*O95*INVOER!$W$20*1000)</f>
        <v>1.1171728705575968E-2</v>
      </c>
      <c r="Y95" s="6">
        <f t="shared" si="8"/>
        <v>0.72972234512660927</v>
      </c>
      <c r="Z95" s="44">
        <f t="shared" si="18"/>
        <v>93.785867830802999</v>
      </c>
      <c r="AA95" s="6"/>
      <c r="AB95" s="6"/>
      <c r="AC95" s="6"/>
      <c r="AD95" s="6"/>
      <c r="AE95" s="6"/>
      <c r="AF95" s="6"/>
    </row>
    <row r="96" spans="1:32" x14ac:dyDescent="0.2">
      <c r="A96" s="272">
        <f>'Berekening trap 1'!A96</f>
        <v>1.4660088697344815</v>
      </c>
      <c r="B96" s="46">
        <f t="shared" si="19"/>
        <v>1.4297457715184745</v>
      </c>
      <c r="C96" s="182">
        <f t="shared" si="15"/>
        <v>1.3990268973056659</v>
      </c>
      <c r="D96" s="201">
        <f t="shared" si="22"/>
        <v>0.57259417874190732</v>
      </c>
      <c r="E96" s="167">
        <f t="shared" si="12"/>
        <v>0.44393559544571343</v>
      </c>
      <c r="F96" s="45">
        <f t="shared" si="4"/>
        <v>0.57259417874190732</v>
      </c>
      <c r="G96" s="183">
        <f t="shared" si="4"/>
        <v>0.44393559544571343</v>
      </c>
      <c r="H96" s="171">
        <f t="shared" si="20"/>
        <v>0.57259417874190732</v>
      </c>
      <c r="I96" s="235">
        <f t="shared" si="9"/>
        <v>0.57259417874190732</v>
      </c>
      <c r="J96" s="315">
        <f>IF(INVOER!$T$36=1,100-H96*100,100-I96*100)</f>
        <v>42.740582125809269</v>
      </c>
      <c r="K96" s="409">
        <f>IF(AND('Berekening trap 1'!$B$64=1,INVOER!$C$20=1),'Berekening trap 1'!U96,'Berekening trap 1'!V96)</f>
        <v>1.8418558796576782E-2</v>
      </c>
      <c r="L96" s="380">
        <f t="shared" si="13"/>
        <v>0.22122765981525466</v>
      </c>
      <c r="M96" s="380">
        <f t="shared" si="14"/>
        <v>98.41064141848787</v>
      </c>
      <c r="N96" s="375">
        <f>'Berekening trap 2'!H96*$L96</f>
        <v>0.12667367018690981</v>
      </c>
      <c r="O96" s="376">
        <f>'Berekening trap 2'!I96*$L96</f>
        <v>0.12667367018690981</v>
      </c>
      <c r="Q96" s="396">
        <f t="shared" si="5"/>
        <v>47.254278749672146</v>
      </c>
      <c r="R96" s="6">
        <f t="shared" si="10"/>
        <v>1.4297457715184745</v>
      </c>
      <c r="S96" s="380">
        <f>1/100*'Berekening trap 1'!T96*INVOER!$W$19*1000</f>
        <v>2.3690795411809479E-2</v>
      </c>
      <c r="T96" s="380">
        <f t="shared" si="6"/>
        <v>2.0033018024546125E-2</v>
      </c>
      <c r="U96" s="44">
        <f t="shared" si="16"/>
        <v>99.862400564616266</v>
      </c>
      <c r="V96" s="380">
        <f t="shared" si="7"/>
        <v>0.22122765981525466</v>
      </c>
      <c r="W96" s="44">
        <f t="shared" si="21"/>
        <v>98.41064141848787</v>
      </c>
      <c r="X96" s="145">
        <f>IF(AND(INVOER!$T$36=1,INVOER!E39=1),1/100*N96*INVOER!$W$20*1000,1/100*O96*INVOER!$W$20*1000)</f>
        <v>1.2495880909898489E-2</v>
      </c>
      <c r="Y96" s="6">
        <f t="shared" si="8"/>
        <v>0.81621419229798964</v>
      </c>
      <c r="Z96" s="44">
        <f t="shared" si="18"/>
        <v>92.969653638505008</v>
      </c>
      <c r="AA96" s="6"/>
      <c r="AB96" s="6"/>
      <c r="AC96" s="6"/>
      <c r="AD96" s="6"/>
      <c r="AE96" s="6"/>
      <c r="AF96" s="6"/>
    </row>
    <row r="97" spans="1:32" x14ac:dyDescent="0.2">
      <c r="A97" s="271">
        <f>'Berekening trap 1'!A97</f>
        <v>1.5423098164878819</v>
      </c>
      <c r="B97" s="6">
        <f t="shared" si="19"/>
        <v>1.5041593431111817</v>
      </c>
      <c r="C97" s="168">
        <f t="shared" si="15"/>
        <v>1.4718416523877604</v>
      </c>
      <c r="D97" s="200">
        <f t="shared" si="22"/>
        <v>0.55362814701689345</v>
      </c>
      <c r="E97" s="197">
        <f t="shared" si="12"/>
        <v>0.43184522271382625</v>
      </c>
      <c r="F97" s="43">
        <f t="shared" si="4"/>
        <v>0.55362814701689345</v>
      </c>
      <c r="G97" s="155">
        <f t="shared" si="4"/>
        <v>0.43184522271382625</v>
      </c>
      <c r="H97" s="170">
        <f t="shared" si="20"/>
        <v>0.55362814701689345</v>
      </c>
      <c r="I97" s="179">
        <f t="shared" si="9"/>
        <v>0.55362814701689345</v>
      </c>
      <c r="J97" s="314">
        <f>IF(INVOER!$T$36=1,100-H97*100,100-I97*100)</f>
        <v>44.637185298310655</v>
      </c>
      <c r="K97" s="408">
        <f>IF(AND('Berekening trap 1'!$B$64=1,INVOER!$C$20=1),'Berekening trap 1'!U97,'Berekening trap 1'!V97)</f>
        <v>2.1266531108077441E-2</v>
      </c>
      <c r="L97" s="381">
        <f t="shared" si="13"/>
        <v>0.25543501863472057</v>
      </c>
      <c r="M97" s="381">
        <f t="shared" si="14"/>
        <v>98.155206399853157</v>
      </c>
      <c r="N97" s="372">
        <f>'Berekening trap 2'!H97*$L97</f>
        <v>0.14141601604996601</v>
      </c>
      <c r="O97" s="373">
        <f>'Berekening trap 2'!I97*$L97</f>
        <v>0.14141601604996601</v>
      </c>
      <c r="Q97" s="396">
        <f t="shared" si="5"/>
        <v>49.682737311932691</v>
      </c>
      <c r="R97" s="6">
        <f t="shared" si="10"/>
        <v>1.5041593431111817</v>
      </c>
      <c r="S97" s="380">
        <f>1/100*'Berekening trap 1'!T97*INVOER!$W$19*1000</f>
        <v>2.7724397375373834E-2</v>
      </c>
      <c r="T97" s="380">
        <f t="shared" si="6"/>
        <v>2.3443845708265403E-2</v>
      </c>
      <c r="U97" s="44">
        <f t="shared" si="16"/>
        <v>99.838956718907994</v>
      </c>
      <c r="V97" s="380">
        <f t="shared" si="7"/>
        <v>0.25543501863472057</v>
      </c>
      <c r="W97" s="44">
        <f t="shared" si="21"/>
        <v>98.155206399853157</v>
      </c>
      <c r="X97" s="145">
        <f>IF(AND(INVOER!$T$36=1,INVOER!E40=1),1/100*N97*INVOER!$W$20*1000,1/100*O97*INVOER!$W$20*1000)</f>
        <v>1.395015785605049E-2</v>
      </c>
      <c r="Y97" s="6">
        <f t="shared" si="8"/>
        <v>0.91120561319419646</v>
      </c>
      <c r="Z97" s="44">
        <f t="shared" si="18"/>
        <v>92.05844802531081</v>
      </c>
      <c r="AA97" s="6"/>
      <c r="AB97" s="6"/>
      <c r="AC97" s="6"/>
      <c r="AD97" s="6"/>
      <c r="AE97" s="6"/>
      <c r="AF97" s="6"/>
    </row>
    <row r="98" spans="1:32" x14ac:dyDescent="0.2">
      <c r="A98" s="271">
        <f>'Berekening trap 1'!A98</f>
        <v>1.6225819769192185</v>
      </c>
      <c r="B98" s="6">
        <f t="shared" si="19"/>
        <v>1.5824458967035502</v>
      </c>
      <c r="C98" s="168">
        <f t="shared" si="15"/>
        <v>1.5484461763212447</v>
      </c>
      <c r="D98" s="200">
        <f t="shared" si="22"/>
        <v>0.53473956293615388</v>
      </c>
      <c r="E98" s="197">
        <f t="shared" si="12"/>
        <v>0.41964829663951214</v>
      </c>
      <c r="F98" s="43">
        <f t="shared" ref="F98:G138" si="23">D98^($B$54*$B$63)</f>
        <v>0.53473956293615388</v>
      </c>
      <c r="G98" s="155">
        <f t="shared" si="23"/>
        <v>0.41964829663951214</v>
      </c>
      <c r="H98" s="170">
        <f t="shared" si="20"/>
        <v>0.53473956293615388</v>
      </c>
      <c r="I98" s="179">
        <f t="shared" si="9"/>
        <v>0.53473956293615388</v>
      </c>
      <c r="J98" s="314">
        <f>IF(INVOER!$T$36=1,100-H98*100,100-I98*100)</f>
        <v>46.526043706384613</v>
      </c>
      <c r="K98" s="408">
        <f>IF(AND('Berekening trap 1'!$B$64=1,INVOER!$C$20=1),'Berekening trap 1'!U98,'Berekening trap 1'!V98)</f>
        <v>2.4530546721382714E-2</v>
      </c>
      <c r="L98" s="380">
        <f t="shared" si="13"/>
        <v>0.29463952663706139</v>
      </c>
      <c r="M98" s="380">
        <f t="shared" si="14"/>
        <v>97.860566873216101</v>
      </c>
      <c r="N98" s="375">
        <f>'Berekening trap 2'!H98*$L98</f>
        <v>0.15755541169761747</v>
      </c>
      <c r="O98" s="376">
        <f>'Berekening trap 2'!I98*$L98</f>
        <v>0.15755541169761747</v>
      </c>
      <c r="Q98" s="396">
        <f t="shared" si="5"/>
        <v>52.094502957095067</v>
      </c>
      <c r="R98" s="6">
        <f t="shared" si="10"/>
        <v>1.5824458967035502</v>
      </c>
      <c r="S98" s="380">
        <f>1/100*'Berekening trap 1'!T98*INVOER!$W$19*1000</f>
        <v>3.2443559645449288E-2</v>
      </c>
      <c r="T98" s="380">
        <f t="shared" si="6"/>
        <v>2.7434385543413927E-2</v>
      </c>
      <c r="U98" s="44">
        <f t="shared" si="16"/>
        <v>99.811522333364579</v>
      </c>
      <c r="V98" s="380">
        <f t="shared" si="7"/>
        <v>0.29463952663706139</v>
      </c>
      <c r="W98" s="44">
        <f t="shared" si="21"/>
        <v>97.860566873216101</v>
      </c>
      <c r="X98" s="145">
        <f>IF(AND(INVOER!$T$36=1,INVOER!E41=1),1/100*N98*INVOER!$W$20*1000,1/100*O98*INVOER!$W$20*1000)</f>
        <v>1.5542248506563808E-2</v>
      </c>
      <c r="Y98" s="6">
        <f t="shared" si="8"/>
        <v>1.0151988405419805</v>
      </c>
      <c r="Z98" s="44">
        <f t="shared" si="18"/>
        <v>91.043249184768825</v>
      </c>
      <c r="AA98" s="6"/>
      <c r="AB98" s="6"/>
      <c r="AC98" s="6"/>
      <c r="AD98" s="6"/>
      <c r="AE98" s="6"/>
      <c r="AF98" s="6"/>
    </row>
    <row r="99" spans="1:32" x14ac:dyDescent="0.2">
      <c r="A99" s="271">
        <f>'Berekening trap 1'!A99</f>
        <v>1.7070320396574905</v>
      </c>
      <c r="B99" s="6">
        <f t="shared" si="19"/>
        <v>1.6648070082883546</v>
      </c>
      <c r="C99" s="168">
        <f t="shared" si="15"/>
        <v>1.6290377141278287</v>
      </c>
      <c r="D99" s="200">
        <f t="shared" si="22"/>
        <v>0.51593772417195072</v>
      </c>
      <c r="E99" s="197">
        <f t="shared" si="12"/>
        <v>0.40735743990227935</v>
      </c>
      <c r="F99" s="43">
        <f t="shared" si="23"/>
        <v>0.51593772417195072</v>
      </c>
      <c r="G99" s="155">
        <f t="shared" si="23"/>
        <v>0.40735743990227935</v>
      </c>
      <c r="H99" s="170">
        <f t="shared" si="20"/>
        <v>0.51593772417195072</v>
      </c>
      <c r="I99" s="179">
        <f t="shared" si="9"/>
        <v>0.51593772417195072</v>
      </c>
      <c r="J99" s="314">
        <f>IF(INVOER!$T$36=1,100-H99*100,100-I99*100)</f>
        <v>48.406227582804931</v>
      </c>
      <c r="K99" s="408">
        <f>IF(AND('Berekening trap 1'!$B$64=1,INVOER!$C$20=1),'Berekening trap 1'!U99,'Berekening trap 1'!V99)</f>
        <v>2.8265949747770257E-2</v>
      </c>
      <c r="L99" s="380">
        <f t="shared" si="13"/>
        <v>0.33950592900444548</v>
      </c>
      <c r="M99" s="380">
        <f t="shared" si="14"/>
        <v>97.521060944211655</v>
      </c>
      <c r="N99" s="375">
        <f>'Berekening trap 2'!H99*$L99</f>
        <v>0.17516391635343748</v>
      </c>
      <c r="O99" s="376">
        <f>'Berekening trap 2'!I99*$L99</f>
        <v>0.17516391635343748</v>
      </c>
      <c r="Q99" s="396">
        <f t="shared" si="5"/>
        <v>54.485568524903243</v>
      </c>
      <c r="R99" s="6">
        <f t="shared" si="10"/>
        <v>1.6648070082883546</v>
      </c>
      <c r="S99" s="380">
        <f>1/100*'Berekening trap 1'!T99*INVOER!$W$19*1000</f>
        <v>3.7964356958188616E-2</v>
      </c>
      <c r="T99" s="380">
        <f t="shared" si="6"/>
        <v>3.2102790725826731E-2</v>
      </c>
      <c r="U99" s="44">
        <f t="shared" si="16"/>
        <v>99.779419542638749</v>
      </c>
      <c r="V99" s="380">
        <f t="shared" si="7"/>
        <v>0.33950592900444548</v>
      </c>
      <c r="W99" s="44">
        <f t="shared" si="21"/>
        <v>97.521060944211655</v>
      </c>
      <c r="X99" s="145">
        <f>IF(AND(INVOER!$T$36=1,INVOER!E42=1),1/100*N99*INVOER!$W$20*1000,1/100*O99*INVOER!$W$20*1000)</f>
        <v>1.7279261232695884E-2</v>
      </c>
      <c r="Y99" s="6">
        <f t="shared" si="8"/>
        <v>1.1286581836242393</v>
      </c>
      <c r="Z99" s="44">
        <f t="shared" si="18"/>
        <v>89.914591001144586</v>
      </c>
      <c r="AA99" s="6"/>
      <c r="AB99" s="6"/>
      <c r="AC99" s="6"/>
      <c r="AD99" s="6"/>
      <c r="AE99" s="6"/>
      <c r="AF99" s="6"/>
    </row>
    <row r="100" spans="1:32" x14ac:dyDescent="0.2">
      <c r="A100" s="271">
        <f>'Berekening trap 1'!A100</f>
        <v>1.7958774507959951</v>
      </c>
      <c r="B100" s="6">
        <f t="shared" si="19"/>
        <v>1.7514547452267428</v>
      </c>
      <c r="C100" s="168">
        <f t="shared" si="15"/>
        <v>1.7138237767847759</v>
      </c>
      <c r="D100" s="200">
        <f t="shared" si="22"/>
        <v>0.49723374457009067</v>
      </c>
      <c r="E100" s="197">
        <f t="shared" si="12"/>
        <v>0.39498602968205138</v>
      </c>
      <c r="F100" s="43">
        <f t="shared" si="23"/>
        <v>0.49723374457009067</v>
      </c>
      <c r="G100" s="155">
        <f t="shared" si="23"/>
        <v>0.39498602968205138</v>
      </c>
      <c r="H100" s="170">
        <f t="shared" si="20"/>
        <v>0.49723374457009067</v>
      </c>
      <c r="I100" s="179">
        <f t="shared" si="9"/>
        <v>0.49723374457009067</v>
      </c>
      <c r="J100" s="314">
        <f>IF(INVOER!$T$36=1,100-H100*100,100-I100*100)</f>
        <v>50.276625542990935</v>
      </c>
      <c r="K100" s="408">
        <f>IF(AND('Berekening trap 1'!$B$64=1,INVOER!$C$20=1),'Berekening trap 1'!U100,'Berekening trap 1'!V100)</f>
        <v>3.2534160387077619E-2</v>
      </c>
      <c r="L100" s="380">
        <f t="shared" si="13"/>
        <v>0.39077195159401062</v>
      </c>
      <c r="M100" s="380">
        <f t="shared" si="14"/>
        <v>97.13028899261765</v>
      </c>
      <c r="N100" s="375">
        <f>'Berekening trap 2'!H100*$L100</f>
        <v>0.1943050007640521</v>
      </c>
      <c r="O100" s="376">
        <f>'Berekening trap 2'!I100*$L100</f>
        <v>0.1943050007640521</v>
      </c>
      <c r="Q100" s="396">
        <f t="shared" si="5"/>
        <v>56.851773688394147</v>
      </c>
      <c r="R100" s="6">
        <f t="shared" si="10"/>
        <v>1.7514547452267428</v>
      </c>
      <c r="S100" s="380">
        <f>1/100*'Berekening trap 1'!T100*INVOER!$W$19*1000</f>
        <v>4.4422352488716052E-2</v>
      </c>
      <c r="T100" s="380">
        <f t="shared" si="6"/>
        <v>3.756369394231409E-2</v>
      </c>
      <c r="U100" s="44">
        <f t="shared" si="16"/>
        <v>99.741855848696432</v>
      </c>
      <c r="V100" s="380">
        <f t="shared" si="7"/>
        <v>0.39077195159401062</v>
      </c>
      <c r="W100" s="44">
        <f t="shared" si="21"/>
        <v>97.13028899261765</v>
      </c>
      <c r="X100" s="145">
        <f>IF(AND(INVOER!$T$36=1,INVOER!E43=1),1/100*N100*INVOER!$W$20*1000,1/100*O100*INVOER!$W$20*1000)</f>
        <v>1.9167457184770476E-2</v>
      </c>
      <c r="Y100" s="6">
        <f t="shared" si="8"/>
        <v>1.2519926123880467</v>
      </c>
      <c r="Z100" s="44">
        <f t="shared" si="18"/>
        <v>88.662598388756535</v>
      </c>
      <c r="AA100" s="6"/>
      <c r="AB100" s="6"/>
      <c r="AC100" s="6"/>
      <c r="AD100" s="6"/>
      <c r="AE100" s="6"/>
      <c r="AF100" s="6"/>
    </row>
    <row r="101" spans="1:32" x14ac:dyDescent="0.2">
      <c r="A101" s="271">
        <f>'Berekening trap 1'!A101</f>
        <v>1.889346973783012</v>
      </c>
      <c r="B101" s="46">
        <f t="shared" si="19"/>
        <v>1.8426122122895037</v>
      </c>
      <c r="C101" s="182">
        <f t="shared" si="15"/>
        <v>1.8030226755341749</v>
      </c>
      <c r="D101" s="201">
        <f t="shared" si="22"/>
        <v>0.47864038659186403</v>
      </c>
      <c r="E101" s="167">
        <f t="shared" si="12"/>
        <v>0.38254818500628224</v>
      </c>
      <c r="F101" s="45">
        <f t="shared" si="23"/>
        <v>0.47864038659186403</v>
      </c>
      <c r="G101" s="183">
        <f t="shared" si="23"/>
        <v>0.38254818500628224</v>
      </c>
      <c r="H101" s="171">
        <f t="shared" si="20"/>
        <v>0.47864038659186403</v>
      </c>
      <c r="I101" s="235">
        <f t="shared" si="9"/>
        <v>0.47864038659186403</v>
      </c>
      <c r="J101" s="314">
        <f>IF(INVOER!$T$36=1,100-H101*100,100-I101*100)</f>
        <v>52.135961340813594</v>
      </c>
      <c r="K101" s="408">
        <f>IF(AND('Berekening trap 1'!$B$64=1,INVOER!$C$20=1),'Berekening trap 1'!U101,'Berekening trap 1'!V101)</f>
        <v>3.7403029626595474E-2</v>
      </c>
      <c r="L101" s="377">
        <f t="shared" si="13"/>
        <v>0.44925256127152813</v>
      </c>
      <c r="M101" s="377">
        <f t="shared" si="14"/>
        <v>96.681036431346129</v>
      </c>
      <c r="N101" s="378">
        <f>'Berekening trap 2'!H101*$L101</f>
        <v>0.21503041960438932</v>
      </c>
      <c r="O101" s="379">
        <f>'Berekening trap 2'!I101*$L101</f>
        <v>0.21503041960438932</v>
      </c>
      <c r="Q101" s="396">
        <f t="shared" si="5"/>
        <v>59.188818329855479</v>
      </c>
      <c r="R101" s="6">
        <f t="shared" si="10"/>
        <v>1.8426122122895037</v>
      </c>
      <c r="S101" s="380">
        <f>1/100*'Berekening trap 1'!T101*INVOER!$W$19*1000</f>
        <v>5.1975808831435454E-2</v>
      </c>
      <c r="T101" s="380">
        <f t="shared" si="6"/>
        <v>4.3950922586646152E-2</v>
      </c>
      <c r="U101" s="44">
        <f t="shared" si="16"/>
        <v>99.697904926109786</v>
      </c>
      <c r="V101" s="380">
        <f t="shared" si="7"/>
        <v>0.44925256127152813</v>
      </c>
      <c r="W101" s="44">
        <f t="shared" si="21"/>
        <v>96.681036431346129</v>
      </c>
      <c r="X101" s="145">
        <f>IF(AND(INVOER!$T$36=1,INVOER!E44=1),1/100*N101*INVOER!$W$20*1000,1/100*O101*INVOER!$W$20*1000)</f>
        <v>2.1211941766724141E-2</v>
      </c>
      <c r="Y101" s="6">
        <f t="shared" si="8"/>
        <v>1.3855356049755585</v>
      </c>
      <c r="Z101" s="44">
        <f t="shared" si="18"/>
        <v>87.277062783780977</v>
      </c>
      <c r="AA101" s="6"/>
      <c r="AB101" s="6"/>
      <c r="AC101" s="6"/>
      <c r="AD101" s="6"/>
      <c r="AE101" s="6"/>
      <c r="AF101" s="6"/>
    </row>
    <row r="102" spans="1:32" x14ac:dyDescent="0.2">
      <c r="A102" s="270">
        <f>'Berekening trap 1'!A102</f>
        <v>1.9876812784529594</v>
      </c>
      <c r="B102" s="6">
        <f t="shared" si="19"/>
        <v>1.9385141261179857</v>
      </c>
      <c r="C102" s="168">
        <f t="shared" si="15"/>
        <v>1.8968640840012485</v>
      </c>
      <c r="D102" s="200">
        <f t="shared" si="22"/>
        <v>0.46017190931193308</v>
      </c>
      <c r="E102" s="197">
        <f t="shared" si="12"/>
        <v>0.37005874854086579</v>
      </c>
      <c r="F102" s="43">
        <f t="shared" si="23"/>
        <v>0.46017190931193308</v>
      </c>
      <c r="G102" s="155">
        <f t="shared" si="23"/>
        <v>0.37005874854086579</v>
      </c>
      <c r="H102" s="170">
        <f t="shared" si="20"/>
        <v>0.46017190931193308</v>
      </c>
      <c r="I102" s="179">
        <f t="shared" si="9"/>
        <v>0.46017190931193308</v>
      </c>
      <c r="J102" s="313">
        <f>IF(INVOER!$T$36=1,100-H102*100,100-I102*100)</f>
        <v>53.982809068806695</v>
      </c>
      <c r="K102" s="407">
        <f>IF(AND('Berekening trap 1'!$B$64=1,INVOER!$C$20=1),'Berekening trap 1'!U102,'Berekening trap 1'!V102)</f>
        <v>4.2947126620686366E-2</v>
      </c>
      <c r="L102" s="380">
        <f t="shared" si="13"/>
        <v>0.51584341766467179</v>
      </c>
      <c r="M102" s="380">
        <f t="shared" si="14"/>
        <v>96.16519301368146</v>
      </c>
      <c r="N102" s="375">
        <f>'Berekening trap 2'!H102*$L102</f>
        <v>0.23737665041274497</v>
      </c>
      <c r="O102" s="376">
        <f>'Berekening trap 2'!I102*$L102</f>
        <v>0.23737665041274497</v>
      </c>
      <c r="Q102" s="396">
        <f t="shared" si="5"/>
        <v>61.492283562494279</v>
      </c>
      <c r="R102" s="6">
        <f t="shared" si="10"/>
        <v>1.9385141261179857</v>
      </c>
      <c r="S102" s="380">
        <f>1/100*'Berekening trap 1'!T102*INVOER!$W$19*1000</f>
        <v>6.0809405274531533E-2</v>
      </c>
      <c r="T102" s="380">
        <f t="shared" si="6"/>
        <v>5.1420642099647251E-2</v>
      </c>
      <c r="U102" s="44">
        <f t="shared" si="16"/>
        <v>99.646484284010143</v>
      </c>
      <c r="V102" s="380">
        <f t="shared" si="7"/>
        <v>0.51584341766467179</v>
      </c>
      <c r="W102" s="44">
        <f t="shared" si="21"/>
        <v>96.16519301368146</v>
      </c>
      <c r="X102" s="145">
        <f>IF(AND(INVOER!$T$36=1,INVOER!E45=1),1/100*N102*INVOER!$W$20*1000,1/100*O102*INVOER!$W$20*1000)</f>
        <v>2.3416313350450243E-2</v>
      </c>
      <c r="Y102" s="6">
        <f t="shared" si="8"/>
        <v>1.529522202215805</v>
      </c>
      <c r="Z102" s="44">
        <f t="shared" si="18"/>
        <v>85.747540581565175</v>
      </c>
      <c r="AA102" s="6"/>
      <c r="AB102" s="6"/>
      <c r="AC102" s="6"/>
      <c r="AD102" s="6"/>
      <c r="AE102" s="6"/>
      <c r="AF102" s="6"/>
    </row>
    <row r="103" spans="1:32" x14ac:dyDescent="0.2">
      <c r="A103" s="271">
        <f>'Berekening trap 1'!A103</f>
        <v>2.0911335607146886</v>
      </c>
      <c r="B103" s="6">
        <f t="shared" si="19"/>
        <v>2.0394074195838239</v>
      </c>
      <c r="C103" s="168">
        <f t="shared" si="15"/>
        <v>1.99558962956908</v>
      </c>
      <c r="D103" s="200">
        <f t="shared" si="22"/>
        <v>0.44184392651714305</v>
      </c>
      <c r="E103" s="197">
        <f t="shared" si="12"/>
        <v>0.3575332624419077</v>
      </c>
      <c r="F103" s="43">
        <f t="shared" si="23"/>
        <v>0.44184392651714305</v>
      </c>
      <c r="G103" s="155">
        <f t="shared" si="23"/>
        <v>0.3575332624419077</v>
      </c>
      <c r="H103" s="170">
        <f t="shared" si="20"/>
        <v>0.44184392651714305</v>
      </c>
      <c r="I103" s="179">
        <f t="shared" si="9"/>
        <v>0.44184392651714305</v>
      </c>
      <c r="J103" s="314">
        <f>IF(INVOER!$T$36=1,100-H103*100,100-I103*100)</f>
        <v>55.815607348285695</v>
      </c>
      <c r="K103" s="408">
        <f>IF(AND('Berekening trap 1'!$B$64=1,INVOER!$C$20=1),'Berekening trap 1'!U103,'Berekening trap 1'!V103)</f>
        <v>4.9247926843284127E-2</v>
      </c>
      <c r="L103" s="380">
        <f t="shared" si="13"/>
        <v>0.59152313308669524</v>
      </c>
      <c r="M103" s="380">
        <f t="shared" si="14"/>
        <v>95.573669880594764</v>
      </c>
      <c r="N103" s="375">
        <f>'Berekening trap 2'!H103*$L103</f>
        <v>0.26136090374874799</v>
      </c>
      <c r="O103" s="376">
        <f>'Berekening trap 2'!I103*$L103</f>
        <v>0.26136090374874799</v>
      </c>
      <c r="Q103" s="396">
        <f t="shared" si="5"/>
        <v>63.757658822010391</v>
      </c>
      <c r="R103" s="6">
        <f t="shared" si="10"/>
        <v>2.0394074195838239</v>
      </c>
      <c r="S103" s="380">
        <f>1/100*'Berekening trap 1'!T103*INVOER!$W$19*1000</f>
        <v>7.1138532597207885E-2</v>
      </c>
      <c r="T103" s="380">
        <f t="shared" si="6"/>
        <v>6.0154987664501496E-2</v>
      </c>
      <c r="U103" s="44">
        <f t="shared" si="16"/>
        <v>99.586329296345639</v>
      </c>
      <c r="V103" s="380">
        <f t="shared" si="7"/>
        <v>0.59152313308669524</v>
      </c>
      <c r="W103" s="44">
        <f t="shared" si="21"/>
        <v>95.573669880594764</v>
      </c>
      <c r="X103" s="145">
        <f>IF(AND(INVOER!$T$36=1,INVOER!E46=1),1/100*N103*INVOER!$W$20*1000,1/100*O103*INVOER!$W$20*1000)</f>
        <v>2.5782269692895435E-2</v>
      </c>
      <c r="Y103" s="6">
        <f t="shared" si="8"/>
        <v>1.6840632993169695</v>
      </c>
      <c r="Z103" s="44">
        <f t="shared" si="18"/>
        <v>84.063477282248201</v>
      </c>
      <c r="AA103" s="6"/>
      <c r="AB103" s="6"/>
      <c r="AC103" s="6"/>
      <c r="AD103" s="6"/>
      <c r="AE103" s="6"/>
      <c r="AF103" s="6"/>
    </row>
    <row r="104" spans="1:32" x14ac:dyDescent="0.2">
      <c r="A104" s="271">
        <f>'Berekening trap 1'!A104</f>
        <v>2.1999701944925172</v>
      </c>
      <c r="B104" s="6">
        <f t="shared" si="19"/>
        <v>2.1455518776036029</v>
      </c>
      <c r="C104" s="168">
        <f t="shared" si="15"/>
        <v>2.0994535155324483</v>
      </c>
      <c r="D104" s="200">
        <f t="shared" si="22"/>
        <v>0.42367327068856608</v>
      </c>
      <c r="E104" s="197">
        <f t="shared" si="12"/>
        <v>0.34498793790683385</v>
      </c>
      <c r="F104" s="43">
        <f t="shared" si="23"/>
        <v>0.42367327068856608</v>
      </c>
      <c r="G104" s="155">
        <f t="shared" si="23"/>
        <v>0.34498793790683385</v>
      </c>
      <c r="H104" s="170">
        <f t="shared" si="20"/>
        <v>0.42367327068856608</v>
      </c>
      <c r="I104" s="179">
        <f t="shared" si="9"/>
        <v>0.42367327068856608</v>
      </c>
      <c r="J104" s="314">
        <f>IF(INVOER!$T$36=1,100-H104*100,100-I104*100)</f>
        <v>57.632672931143389</v>
      </c>
      <c r="K104" s="408">
        <f>IF(AND('Berekening trap 1'!$B$64=1,INVOER!$C$20=1),'Berekening trap 1'!U104,'Berekening trap 1'!V104)</f>
        <v>5.6393861364757235E-2</v>
      </c>
      <c r="L104" s="380">
        <f t="shared" si="13"/>
        <v>0.67735386440712586</v>
      </c>
      <c r="M104" s="380">
        <f t="shared" si="14"/>
        <v>94.89631601618764</v>
      </c>
      <c r="N104" s="375">
        <f>'Berekening trap 2'!H104*$L104</f>
        <v>0.28697672714690653</v>
      </c>
      <c r="O104" s="376">
        <f>'Berekening trap 2'!I104*$L104</f>
        <v>0.28697672714690653</v>
      </c>
      <c r="Q104" s="396">
        <f t="shared" si="5"/>
        <v>65.980374066595843</v>
      </c>
      <c r="R104" s="6">
        <f t="shared" si="10"/>
        <v>2.1455518776036029</v>
      </c>
      <c r="S104" s="380">
        <f>1/100*'Berekening trap 1'!T104*INVOER!$W$19*1000</f>
        <v>8.3214243266624438E-2</v>
      </c>
      <c r="T104" s="380">
        <f t="shared" si="6"/>
        <v>7.0366250110296624E-2</v>
      </c>
      <c r="U104" s="44">
        <f t="shared" si="16"/>
        <v>99.515963046235342</v>
      </c>
      <c r="V104" s="380">
        <f t="shared" si="7"/>
        <v>0.67735386440712586</v>
      </c>
      <c r="W104" s="44">
        <f t="shared" si="21"/>
        <v>94.89631601618764</v>
      </c>
      <c r="X104" s="145">
        <f>IF(AND(INVOER!$T$36=1,INVOER!E47=1),1/100*N104*INVOER!$W$20*1000,1/100*O104*INVOER!$W$20*1000)</f>
        <v>2.8309174282618591E-2</v>
      </c>
      <c r="Y104" s="6">
        <f t="shared" si="8"/>
        <v>1.8491173202048594</v>
      </c>
      <c r="Z104" s="44">
        <f t="shared" si="18"/>
        <v>82.214359962043346</v>
      </c>
      <c r="AA104" s="6"/>
      <c r="AB104" s="6"/>
      <c r="AC104" s="6"/>
      <c r="AD104" s="6"/>
      <c r="AE104" s="6"/>
      <c r="AF104" s="6"/>
    </row>
    <row r="105" spans="1:32" x14ac:dyDescent="0.2">
      <c r="A105" s="271">
        <f>'Berekening trap 1'!A105</f>
        <v>2.3144714175986527</v>
      </c>
      <c r="B105" s="6">
        <f t="shared" si="19"/>
        <v>2.2572208060455852</v>
      </c>
      <c r="C105" s="168">
        <f t="shared" si="15"/>
        <v>2.2087231756327275</v>
      </c>
      <c r="D105" s="200">
        <f t="shared" si="22"/>
        <v>0.40567785958516872</v>
      </c>
      <c r="E105" s="197">
        <f t="shared" si="12"/>
        <v>0.33243961809255557</v>
      </c>
      <c r="F105" s="43">
        <f t="shared" si="23"/>
        <v>0.40567785958516872</v>
      </c>
      <c r="G105" s="155">
        <f t="shared" si="23"/>
        <v>0.33243961809255557</v>
      </c>
      <c r="H105" s="170">
        <f t="shared" si="20"/>
        <v>0.40567785958516872</v>
      </c>
      <c r="I105" s="179">
        <f t="shared" si="9"/>
        <v>0.40567785958516872</v>
      </c>
      <c r="J105" s="314">
        <f>IF(INVOER!$T$36=1,100-H105*100,100-I105*100)</f>
        <v>59.432214041483128</v>
      </c>
      <c r="K105" s="408">
        <f>IF(AND('Berekening trap 1'!$B$64=1,INVOER!$C$20=1),'Berekening trap 1'!U105,'Berekening trap 1'!V105)</f>
        <v>6.4480178686788361E-2</v>
      </c>
      <c r="L105" s="380">
        <f t="shared" si="13"/>
        <v>0.77447965353287374</v>
      </c>
      <c r="M105" s="380">
        <f t="shared" si="14"/>
        <v>94.121836362654761</v>
      </c>
      <c r="N105" s="375">
        <f>'Berekening trap 2'!H105*$L105</f>
        <v>0.31418924813747928</v>
      </c>
      <c r="O105" s="376">
        <f>'Berekening trap 2'!I105*$L105</f>
        <v>0.31418924813747928</v>
      </c>
      <c r="Q105" s="396">
        <f t="shared" si="5"/>
        <v>68.155836431379143</v>
      </c>
      <c r="R105" s="6">
        <f t="shared" si="10"/>
        <v>2.2572208060455852</v>
      </c>
      <c r="S105" s="380">
        <f>1/100*'Berekening trap 1'!T105*INVOER!$W$19*1000</f>
        <v>9.7328940717540502E-2</v>
      </c>
      <c r="T105" s="380">
        <f t="shared" si="6"/>
        <v>8.2301686786444075E-2</v>
      </c>
      <c r="U105" s="44">
        <f t="shared" si="16"/>
        <v>99.433661359448891</v>
      </c>
      <c r="V105" s="380">
        <f t="shared" si="7"/>
        <v>0.77447965353287374</v>
      </c>
      <c r="W105" s="44">
        <f t="shared" si="21"/>
        <v>94.121836362654761</v>
      </c>
      <c r="X105" s="145">
        <f>IF(AND(INVOER!$T$36=1,INVOER!E48=1),1/100*N105*INVOER!$W$20*1000,1/100*O105*INVOER!$W$20*1000)</f>
        <v>3.0993587081699626E-2</v>
      </c>
      <c r="Y105" s="6">
        <f t="shared" si="8"/>
        <v>2.0244595662133573</v>
      </c>
      <c r="Z105" s="44">
        <f t="shared" si="18"/>
        <v>80.189900395829994</v>
      </c>
      <c r="AA105" s="6"/>
      <c r="AB105" s="6"/>
      <c r="AC105" s="6"/>
      <c r="AD105" s="6"/>
      <c r="AE105" s="6"/>
      <c r="AF105" s="6"/>
    </row>
    <row r="106" spans="1:32" x14ac:dyDescent="0.2">
      <c r="A106" s="272">
        <f>'Berekening trap 1'!A106</f>
        <v>2.4349320533030236</v>
      </c>
      <c r="B106" s="46">
        <f t="shared" si="19"/>
        <v>2.374701735450838</v>
      </c>
      <c r="C106" s="182">
        <f t="shared" si="15"/>
        <v>2.3236799626591775</v>
      </c>
      <c r="D106" s="201">
        <f t="shared" si="22"/>
        <v>0.3878765628745911</v>
      </c>
      <c r="E106" s="167">
        <f t="shared" si="12"/>
        <v>0.31990573410621126</v>
      </c>
      <c r="F106" s="45">
        <f t="shared" si="23"/>
        <v>0.3878765628745911</v>
      </c>
      <c r="G106" s="183">
        <f t="shared" si="23"/>
        <v>0.31990573410621126</v>
      </c>
      <c r="H106" s="171">
        <f t="shared" si="20"/>
        <v>0.3878765628745911</v>
      </c>
      <c r="I106" s="235">
        <f t="shared" si="9"/>
        <v>0.3878765628745911</v>
      </c>
      <c r="J106" s="315">
        <f>IF(INVOER!$T$36=1,100-H106*100,100-I106*100)</f>
        <v>61.212343712540893</v>
      </c>
      <c r="K106" s="409">
        <f>IF(AND('Berekening trap 1'!$B$64=1,INVOER!$C$20=1),'Berekening trap 1'!U106,'Berekening trap 1'!V106)</f>
        <v>7.360856044753486E-2</v>
      </c>
      <c r="L106" s="380">
        <f t="shared" si="13"/>
        <v>0.88412181159387959</v>
      </c>
      <c r="M106" s="380">
        <f t="shared" si="14"/>
        <v>93.237714551060876</v>
      </c>
      <c r="N106" s="375">
        <f>'Berekening trap 2'!H106*$L106</f>
        <v>0.34293012944349083</v>
      </c>
      <c r="O106" s="376">
        <f>'Berekening trap 2'!I106*$L106</f>
        <v>0.34293012944349083</v>
      </c>
      <c r="Q106" s="396">
        <f t="shared" si="5"/>
        <v>70.279470819812104</v>
      </c>
      <c r="R106" s="6">
        <f t="shared" si="10"/>
        <v>2.374701735450838</v>
      </c>
      <c r="S106" s="380">
        <f>1/100*'Berekening trap 1'!T106*INVOER!$W$19*1000</f>
        <v>0.11382289551378025</v>
      </c>
      <c r="T106" s="380">
        <f t="shared" si="6"/>
        <v>9.624903165120996E-2</v>
      </c>
      <c r="U106" s="44">
        <f t="shared" si="16"/>
        <v>99.337412327797679</v>
      </c>
      <c r="V106" s="380">
        <f t="shared" si="7"/>
        <v>0.88412181159387959</v>
      </c>
      <c r="W106" s="44">
        <f t="shared" si="21"/>
        <v>93.237714551060876</v>
      </c>
      <c r="X106" s="145">
        <f>IF(AND(INVOER!$T$36=1,INVOER!E49=1),1/100*N106*INVOER!$W$20*1000,1/100*O106*INVOER!$W$20*1000)</f>
        <v>3.3828766874907837E-2</v>
      </c>
      <c r="Y106" s="6">
        <f t="shared" si="8"/>
        <v>2.2096497101991179</v>
      </c>
      <c r="Z106" s="44">
        <f t="shared" si="18"/>
        <v>77.980250685630878</v>
      </c>
      <c r="AA106" s="6"/>
      <c r="AB106" s="6"/>
      <c r="AC106" s="6"/>
      <c r="AD106" s="6"/>
      <c r="AE106" s="6"/>
      <c r="AF106" s="6"/>
    </row>
    <row r="107" spans="1:32" x14ac:dyDescent="0.2">
      <c r="A107" s="271">
        <f>'Berekening trap 1'!A107</f>
        <v>2.561662269458449</v>
      </c>
      <c r="B107" s="6">
        <f t="shared" si="19"/>
        <v>2.4982971613807363</v>
      </c>
      <c r="C107" s="168">
        <f t="shared" si="15"/>
        <v>2.4446198728896751</v>
      </c>
      <c r="D107" s="200">
        <f t="shared" si="22"/>
        <v>0.37028906683808904</v>
      </c>
      <c r="E107" s="197">
        <f t="shared" si="12"/>
        <v>0.30740425382099212</v>
      </c>
      <c r="F107" s="43">
        <f t="shared" si="23"/>
        <v>0.37028906683808904</v>
      </c>
      <c r="G107" s="155">
        <f t="shared" si="23"/>
        <v>0.30740425382099212</v>
      </c>
      <c r="H107" s="170">
        <f t="shared" si="20"/>
        <v>0.37028906683808904</v>
      </c>
      <c r="I107" s="179">
        <f t="shared" si="9"/>
        <v>0.37028906683808904</v>
      </c>
      <c r="J107" s="314">
        <f>IF(INVOER!$T$36=1,100-H107*100,100-I107*100)</f>
        <v>62.971093316191094</v>
      </c>
      <c r="K107" s="408">
        <f>IF(AND('Berekening trap 1'!$B$64=1,INVOER!$C$20=1),'Berekening trap 1'!U107,'Berekening trap 1'!V107)</f>
        <v>8.388642104194094E-2</v>
      </c>
      <c r="L107" s="381">
        <f t="shared" si="13"/>
        <v>1.0075705065933207</v>
      </c>
      <c r="M107" s="381">
        <f t="shared" si="14"/>
        <v>92.230144044467551</v>
      </c>
      <c r="N107" s="372">
        <f>'Berekening trap 2'!H107*$L107</f>
        <v>0.37309234266002139</v>
      </c>
      <c r="O107" s="373">
        <f>'Berekening trap 2'!I107*$L107</f>
        <v>0.37309234266002139</v>
      </c>
      <c r="Q107" s="396">
        <f t="shared" si="5"/>
        <v>72.346763950601925</v>
      </c>
      <c r="R107" s="6">
        <f t="shared" si="10"/>
        <v>2.4982971613807363</v>
      </c>
      <c r="S107" s="380">
        <f>1/100*'Berekening trap 1'!T107*INVOER!$W$19*1000</f>
        <v>0.13309167739748443</v>
      </c>
      <c r="T107" s="380">
        <f t="shared" si="6"/>
        <v>0.11254277983810591</v>
      </c>
      <c r="U107" s="44">
        <f t="shared" si="16"/>
        <v>99.224869547959571</v>
      </c>
      <c r="V107" s="380">
        <f t="shared" si="7"/>
        <v>1.0075705065933207</v>
      </c>
      <c r="W107" s="44">
        <f t="shared" si="21"/>
        <v>92.230144044467551</v>
      </c>
      <c r="X107" s="145">
        <f>IF(AND(INVOER!$T$36=1,INVOER!E50=1),1/100*N107*INVOER!$W$20*1000,1/100*O107*INVOER!$W$20*1000)</f>
        <v>3.6804155712829745E-2</v>
      </c>
      <c r="Y107" s="6">
        <f t="shared" si="8"/>
        <v>2.4039981210577017</v>
      </c>
      <c r="Z107" s="44">
        <f t="shared" si="18"/>
        <v>75.576252564573181</v>
      </c>
      <c r="AA107" s="6"/>
      <c r="AB107" s="6"/>
      <c r="AC107" s="6"/>
      <c r="AD107" s="6"/>
      <c r="AE107" s="6"/>
      <c r="AF107" s="6"/>
    </row>
    <row r="108" spans="1:32" x14ac:dyDescent="0.2">
      <c r="A108" s="271">
        <f>'Berekening trap 1'!A108</f>
        <v>2.6949883771357812</v>
      </c>
      <c r="B108" s="6">
        <f t="shared" si="19"/>
        <v>2.6283253232971151</v>
      </c>
      <c r="C108" s="168">
        <f t="shared" si="15"/>
        <v>2.5718543082361971</v>
      </c>
      <c r="D108" s="200">
        <f t="shared" si="22"/>
        <v>0.35293573565688147</v>
      </c>
      <c r="E108" s="197">
        <f t="shared" si="12"/>
        <v>0.29495362332630698</v>
      </c>
      <c r="F108" s="43">
        <f t="shared" si="23"/>
        <v>0.35293573565688147</v>
      </c>
      <c r="G108" s="155">
        <f t="shared" si="23"/>
        <v>0.29495362332630698</v>
      </c>
      <c r="H108" s="170">
        <f t="shared" si="20"/>
        <v>0.35293573565688147</v>
      </c>
      <c r="I108" s="179">
        <f t="shared" si="9"/>
        <v>0.35293573565688147</v>
      </c>
      <c r="J108" s="314">
        <f>IF(INVOER!$T$36=1,100-H108*100,100-I108*100)</f>
        <v>64.706426434311851</v>
      </c>
      <c r="K108" s="408">
        <f>IF(AND('Berekening trap 1'!$B$64=1,INVOER!$C$20=1),'Berekening trap 1'!U108,'Berekening trap 1'!V108)</f>
        <v>9.5425808949379604E-2</v>
      </c>
      <c r="L108" s="380">
        <f t="shared" ref="L108:L139" si="24">100*K108/$K$187</f>
        <v>1.1461715671137327</v>
      </c>
      <c r="M108" s="380">
        <f t="shared" si="14"/>
        <v>91.083972477353825</v>
      </c>
      <c r="N108" s="375">
        <f>'Berekening trap 2'!H108*$L108</f>
        <v>0.40452490522828594</v>
      </c>
      <c r="O108" s="376">
        <f>'Berekening trap 2'!I108*$L108</f>
        <v>0.40452490522828594</v>
      </c>
      <c r="Q108" s="396">
        <f t="shared" ref="Q108:Q139" si="25">IF(S108=0,100,100*(S108-X108)/S108)</f>
        <v>74.353311353322567</v>
      </c>
      <c r="R108" s="6">
        <f t="shared" si="10"/>
        <v>2.6283253232971151</v>
      </c>
      <c r="S108" s="380">
        <f>1/100*'Berekening trap 1'!T108*INVOER!$W$19*1000</f>
        <v>0.15559458877485793</v>
      </c>
      <c r="T108" s="380">
        <f t="shared" ref="T108:T139" si="26">100*S108/$S$187</f>
        <v>0.13157131904042288</v>
      </c>
      <c r="U108" s="44">
        <f t="shared" si="16"/>
        <v>99.093298228919153</v>
      </c>
      <c r="V108" s="380">
        <f t="shared" ref="V108:V139" si="27">L108</f>
        <v>1.1461715671137327</v>
      </c>
      <c r="W108" s="44">
        <f t="shared" si="21"/>
        <v>91.083972477353825</v>
      </c>
      <c r="X108" s="145">
        <f>IF(AND(INVOER!$T$36=1,INVOER!E51=1),1/100*N108*INVOER!$W$20*1000,1/100*O108*INVOER!$W$20*1000)</f>
        <v>3.9904859734165944E-2</v>
      </c>
      <c r="Y108" s="6">
        <f t="shared" ref="Y108:Y139" si="28">100*X108/$X$187</f>
        <v>2.6065319517318781</v>
      </c>
      <c r="Z108" s="44">
        <f t="shared" si="18"/>
        <v>72.9697206128413</v>
      </c>
      <c r="AA108" s="6"/>
      <c r="AB108" s="6"/>
      <c r="AC108" s="6"/>
      <c r="AD108" s="6"/>
      <c r="AE108" s="6"/>
      <c r="AF108" s="6"/>
    </row>
    <row r="109" spans="1:32" x14ac:dyDescent="0.2">
      <c r="A109" s="271">
        <f>'Berekening trap 1'!A109</f>
        <v>2.8352536708253844</v>
      </c>
      <c r="B109" s="6">
        <f t="shared" si="19"/>
        <v>2.7651210239805826</v>
      </c>
      <c r="C109" s="168">
        <f t="shared" si="15"/>
        <v>2.7057108780574795</v>
      </c>
      <c r="D109" s="200">
        <f t="shared" si="22"/>
        <v>0.33583746819703142</v>
      </c>
      <c r="E109" s="197">
        <f t="shared" si="12"/>
        <v>0.28257270088849451</v>
      </c>
      <c r="F109" s="43">
        <f t="shared" si="23"/>
        <v>0.33583746819703142</v>
      </c>
      <c r="G109" s="155">
        <f t="shared" si="23"/>
        <v>0.28257270088849451</v>
      </c>
      <c r="H109" s="170">
        <f t="shared" si="20"/>
        <v>0.33583746819703142</v>
      </c>
      <c r="I109" s="179">
        <f t="shared" si="9"/>
        <v>0.33583746819703142</v>
      </c>
      <c r="J109" s="314">
        <f>IF(INVOER!$T$36=1,100-H109*100,100-I109*100)</f>
        <v>66.416253180296849</v>
      </c>
      <c r="K109" s="408">
        <f>IF(AND('Berekening trap 1'!$B$64=1,INVOER!$C$20=1),'Berekening trap 1'!U109,'Berekening trap 1'!V109)</f>
        <v>0.10834181464872505</v>
      </c>
      <c r="L109" s="380">
        <f t="shared" si="24"/>
        <v>1.3013073595818028</v>
      </c>
      <c r="M109" s="380">
        <f t="shared" ref="M109:M140" si="29">M108-L109</f>
        <v>89.782665117772027</v>
      </c>
      <c r="N109" s="375">
        <f>'Berekening trap 2'!H109*$L109</f>
        <v>0.43702776898811663</v>
      </c>
      <c r="O109" s="376">
        <f>'Berekening trap 2'!I109*$L109</f>
        <v>0.43702776898811663</v>
      </c>
      <c r="Q109" s="396">
        <f t="shared" si="25"/>
        <v>76.294866741501664</v>
      </c>
      <c r="R109" s="6">
        <f t="shared" si="10"/>
        <v>2.7651210239805826</v>
      </c>
      <c r="S109" s="380">
        <f>1/100*'Berekening trap 1'!T109*INVOER!$W$19*1000</f>
        <v>0.18186417460957199</v>
      </c>
      <c r="T109" s="380">
        <f t="shared" si="26"/>
        <v>0.15378497110977707</v>
      </c>
      <c r="U109" s="44">
        <f t="shared" si="16"/>
        <v>98.939513257809381</v>
      </c>
      <c r="V109" s="380">
        <f t="shared" si="27"/>
        <v>1.3013073595818028</v>
      </c>
      <c r="W109" s="44">
        <f t="shared" si="21"/>
        <v>89.782665117772027</v>
      </c>
      <c r="X109" s="145">
        <f>IF(AND(INVOER!$T$36=1,INVOER!E52=1),1/100*N109*INVOER!$W$20*1000,1/100*O109*INVOER!$W$20*1000)</f>
        <v>4.3111144940667138E-2</v>
      </c>
      <c r="Y109" s="6">
        <f t="shared" si="28"/>
        <v>2.8159622039062824</v>
      </c>
      <c r="Z109" s="44">
        <f t="shared" si="18"/>
        <v>70.153758408935019</v>
      </c>
      <c r="AA109" s="6"/>
      <c r="AB109" s="6"/>
      <c r="AC109" s="6"/>
      <c r="AD109" s="6"/>
      <c r="AE109" s="6"/>
      <c r="AF109" s="6"/>
    </row>
    <row r="110" spans="1:32" x14ac:dyDescent="0.2">
      <c r="A110" s="271">
        <f>'Berekening trap 1'!A110</f>
        <v>2.9828193123683389</v>
      </c>
      <c r="B110" s="6">
        <f t="shared" si="19"/>
        <v>2.9090364915968614</v>
      </c>
      <c r="C110" s="168">
        <f t="shared" si="15"/>
        <v>2.8465342427033913</v>
      </c>
      <c r="D110" s="200">
        <f t="shared" si="22"/>
        <v>0.31901554957157985</v>
      </c>
      <c r="E110" s="197">
        <f t="shared" si="12"/>
        <v>0.27028068337578415</v>
      </c>
      <c r="F110" s="43">
        <f t="shared" si="23"/>
        <v>0.31901554957157985</v>
      </c>
      <c r="G110" s="155">
        <f t="shared" si="23"/>
        <v>0.27028068337578415</v>
      </c>
      <c r="H110" s="170">
        <f t="shared" si="20"/>
        <v>0.31901554957157985</v>
      </c>
      <c r="I110" s="179">
        <f t="shared" si="9"/>
        <v>0.31901554957157985</v>
      </c>
      <c r="J110" s="314">
        <f>IF(INVOER!$T$36=1,100-H110*100,100-I110*100)</f>
        <v>68.098445042842016</v>
      </c>
      <c r="K110" s="408">
        <f>IF(AND('Berekening trap 1'!$B$64=1,INVOER!$C$20=1),'Berekening trap 1'!U110,'Berekening trap 1'!V110)</f>
        <v>0.12275037697017657</v>
      </c>
      <c r="L110" s="380">
        <f t="shared" si="24"/>
        <v>1.4743704400802293</v>
      </c>
      <c r="M110" s="380">
        <f t="shared" si="29"/>
        <v>88.308294677691791</v>
      </c>
      <c r="N110" s="375">
        <f>'Berekening trap 2'!H110*$L110</f>
        <v>0.47034709621428639</v>
      </c>
      <c r="O110" s="376">
        <f>'Berekening trap 2'!I110*$L110</f>
        <v>0.47034709621428639</v>
      </c>
      <c r="Q110" s="396">
        <f t="shared" si="25"/>
        <v>78.16739310321843</v>
      </c>
      <c r="R110" s="6">
        <f t="shared" si="10"/>
        <v>2.9090364915968614</v>
      </c>
      <c r="S110" s="380">
        <f>1/100*'Berekening trap 1'!T110*INVOER!$W$19*1000</f>
        <v>0.21251686257738048</v>
      </c>
      <c r="T110" s="380">
        <f t="shared" si="26"/>
        <v>0.17970498940742333</v>
      </c>
      <c r="U110" s="44">
        <f t="shared" si="16"/>
        <v>98.759808268401954</v>
      </c>
      <c r="V110" s="380">
        <f t="shared" si="27"/>
        <v>1.4743704400802293</v>
      </c>
      <c r="W110" s="44">
        <f t="shared" si="21"/>
        <v>88.308294677691791</v>
      </c>
      <c r="X110" s="145">
        <f>IF(AND(INVOER!$T$36=1,INVOER!E53=1),1/100*N110*INVOER!$W$20*1000,1/100*O110*INVOER!$W$20*1000)</f>
        <v>4.6397971195892992E-2</v>
      </c>
      <c r="Y110" s="6">
        <f t="shared" si="28"/>
        <v>3.0306532894309433</v>
      </c>
      <c r="Z110" s="44">
        <f t="shared" si="18"/>
        <v>67.123105119504075</v>
      </c>
      <c r="AA110" s="6"/>
      <c r="AB110" s="6"/>
      <c r="AC110" s="6"/>
      <c r="AD110" s="6"/>
      <c r="AE110" s="6"/>
      <c r="AF110" s="6"/>
    </row>
    <row r="111" spans="1:32" x14ac:dyDescent="0.2">
      <c r="A111" s="271">
        <f>'Berekening trap 1'!A111</f>
        <v>3.1380652608933648</v>
      </c>
      <c r="B111" s="46">
        <f t="shared" si="19"/>
        <v>3.0604422866308516</v>
      </c>
      <c r="C111" s="182">
        <f t="shared" si="15"/>
        <v>2.9946870009630184</v>
      </c>
      <c r="D111" s="201">
        <f t="shared" si="22"/>
        <v>0.3024914970874274</v>
      </c>
      <c r="E111" s="167">
        <f t="shared" si="12"/>
        <v>0.25809702518936234</v>
      </c>
      <c r="F111" s="45">
        <f t="shared" si="23"/>
        <v>0.3024914970874274</v>
      </c>
      <c r="G111" s="183">
        <f t="shared" si="23"/>
        <v>0.25809702518936234</v>
      </c>
      <c r="H111" s="171">
        <f t="shared" si="20"/>
        <v>0.3024914970874274</v>
      </c>
      <c r="I111" s="235">
        <f t="shared" si="9"/>
        <v>0.3024914970874274</v>
      </c>
      <c r="J111" s="314">
        <f>IF(INVOER!$T$36=1,100-H111*100,100-I111*100)</f>
        <v>69.750850291257265</v>
      </c>
      <c r="K111" s="408">
        <f>IF(AND('Berekening trap 1'!$B$64=1,INVOER!$C$20=1),'Berekening trap 1'!U111,'Berekening trap 1'!V111)</f>
        <v>0.13876536742587608</v>
      </c>
      <c r="L111" s="377">
        <f t="shared" si="24"/>
        <v>1.6667285338707449</v>
      </c>
      <c r="M111" s="377">
        <f t="shared" si="29"/>
        <v>86.641566143821052</v>
      </c>
      <c r="N111" s="378">
        <f>'Berekening trap 2'!H111*$L111</f>
        <v>0.5041712094488946</v>
      </c>
      <c r="O111" s="379">
        <f>'Berekening trap 2'!I111*$L111</f>
        <v>0.5041712094488946</v>
      </c>
      <c r="Q111" s="396">
        <f t="shared" si="25"/>
        <v>79.96711474630645</v>
      </c>
      <c r="R111" s="6">
        <f t="shared" si="10"/>
        <v>3.0604422866308516</v>
      </c>
      <c r="S111" s="380">
        <f>1/100*'Berekening trap 1'!T111*INVOER!$W$19*1000</f>
        <v>0.24826475099111053</v>
      </c>
      <c r="T111" s="380">
        <f t="shared" si="26"/>
        <v>0.20993352671414181</v>
      </c>
      <c r="U111" s="44">
        <f t="shared" si="16"/>
        <v>98.549874741687816</v>
      </c>
      <c r="V111" s="380">
        <f t="shared" si="27"/>
        <v>1.6667285338707449</v>
      </c>
      <c r="W111" s="44">
        <f t="shared" si="21"/>
        <v>86.641566143821052</v>
      </c>
      <c r="X111" s="145">
        <f>IF(AND(INVOER!$T$36=1,INVOER!E54=1),1/100*N111*INVOER!$W$20*1000,1/100*O111*INVOER!$W$20*1000)</f>
        <v>4.9734592691417188E-2</v>
      </c>
      <c r="Y111" s="6">
        <f t="shared" si="28"/>
        <v>3.2485969333093099</v>
      </c>
      <c r="Z111" s="44">
        <f t="shared" si="18"/>
        <v>63.874508186194767</v>
      </c>
      <c r="AA111" s="6"/>
      <c r="AB111" s="6"/>
      <c r="AC111" s="6"/>
      <c r="AD111" s="6"/>
      <c r="AE111" s="6"/>
      <c r="AF111" s="6"/>
    </row>
    <row r="112" spans="1:32" x14ac:dyDescent="0.2">
      <c r="A112" s="270">
        <f>'Berekening trap 1'!A112</f>
        <v>3.3013912511539054</v>
      </c>
      <c r="B112" s="6">
        <f t="shared" si="19"/>
        <v>3.2197282560236351</v>
      </c>
      <c r="C112" s="168">
        <f t="shared" si="15"/>
        <v>3.1505506237015113</v>
      </c>
      <c r="D112" s="200">
        <f t="shared" si="22"/>
        <v>0.28628690049125399</v>
      </c>
      <c r="E112" s="197">
        <f t="shared" si="12"/>
        <v>0.24604134984116849</v>
      </c>
      <c r="F112" s="43">
        <f t="shared" si="23"/>
        <v>0.28628690049125399</v>
      </c>
      <c r="G112" s="155">
        <f t="shared" si="23"/>
        <v>0.24604134984116849</v>
      </c>
      <c r="H112" s="170">
        <f t="shared" si="20"/>
        <v>0.28628690049125399</v>
      </c>
      <c r="I112" s="179">
        <f t="shared" si="9"/>
        <v>0.28628690049125399</v>
      </c>
      <c r="J112" s="313">
        <f>IF(INVOER!$T$36=1,100-H112*100,100-I112*100)</f>
        <v>71.371309950874604</v>
      </c>
      <c r="K112" s="407">
        <f>IF(AND('Berekening trap 1'!$B$64=1,INVOER!$C$20=1),'Berekening trap 1'!U112,'Berekening trap 1'!V112)</f>
        <v>0.15649482171563381</v>
      </c>
      <c r="L112" s="380">
        <f t="shared" si="24"/>
        <v>1.8796792715285473</v>
      </c>
      <c r="M112" s="380">
        <f t="shared" si="29"/>
        <v>84.761886872292507</v>
      </c>
      <c r="N112" s="375">
        <f>'Berekening trap 2'!H112*$L112</f>
        <v>0.53812755256356604</v>
      </c>
      <c r="O112" s="376">
        <f>'Berekening trap 2'!I112*$L112</f>
        <v>0.53812755256356604</v>
      </c>
      <c r="Q112" s="396">
        <f t="shared" si="25"/>
        <v>81.690569426352994</v>
      </c>
      <c r="R112" s="6">
        <f t="shared" si="10"/>
        <v>3.2197282560236351</v>
      </c>
      <c r="S112" s="380">
        <f>1/100*'Berekening trap 1'!T112*INVOER!$W$19*1000</f>
        <v>0.28992850407621751</v>
      </c>
      <c r="T112" s="380">
        <f t="shared" si="26"/>
        <v>0.24516453951956782</v>
      </c>
      <c r="U112" s="44">
        <f t="shared" si="16"/>
        <v>98.304710202168252</v>
      </c>
      <c r="V112" s="380">
        <f t="shared" si="27"/>
        <v>1.8796792715285473</v>
      </c>
      <c r="W112" s="44">
        <f t="shared" si="21"/>
        <v>84.761886872292507</v>
      </c>
      <c r="X112" s="145">
        <f>IF(AND(INVOER!$T$36=1,INVOER!E55=1),1/100*N112*INVOER!$W$20*1000,1/100*O112*INVOER!$W$20*1000)</f>
        <v>5.3084258167048391E-2</v>
      </c>
      <c r="Y112" s="6">
        <f t="shared" si="28"/>
        <v>3.4673925924848898</v>
      </c>
      <c r="Z112" s="44">
        <f t="shared" si="18"/>
        <v>60.407115593709875</v>
      </c>
      <c r="AA112" s="6"/>
      <c r="AB112" s="6"/>
      <c r="AC112" s="6"/>
      <c r="AD112" s="6"/>
      <c r="AE112" s="6"/>
      <c r="AF112" s="6"/>
    </row>
    <row r="113" spans="1:32" x14ac:dyDescent="0.2">
      <c r="A113" s="271">
        <f>'Berekening trap 1'!A113</f>
        <v>3.4732178227844432</v>
      </c>
      <c r="B113" s="6">
        <f t="shared" si="19"/>
        <v>3.3873045369691743</v>
      </c>
      <c r="C113" s="168">
        <f t="shared" si="15"/>
        <v>3.3145264360896589</v>
      </c>
      <c r="D113" s="200">
        <f t="shared" si="22"/>
        <v>0.27042325672082096</v>
      </c>
      <c r="E113" s="197">
        <f t="shared" si="12"/>
        <v>0.23413335442809691</v>
      </c>
      <c r="F113" s="43">
        <f t="shared" si="23"/>
        <v>0.27042325672082096</v>
      </c>
      <c r="G113" s="155">
        <f t="shared" si="23"/>
        <v>0.23413335442809691</v>
      </c>
      <c r="H113" s="170">
        <f t="shared" si="20"/>
        <v>0.27042325672082096</v>
      </c>
      <c r="I113" s="179">
        <f t="shared" si="9"/>
        <v>0.27042325672082096</v>
      </c>
      <c r="J113" s="314">
        <f>IF(INVOER!$T$36=1,100-H113*100,100-I113*100)</f>
        <v>72.9576743279179</v>
      </c>
      <c r="K113" s="408">
        <f>IF(AND('Berekening trap 1'!$B$64=1,INVOER!$C$20=1),'Berekening trap 1'!U113,'Berekening trap 1'!V113)</f>
        <v>0.17603618097589754</v>
      </c>
      <c r="L113" s="380">
        <f t="shared" si="24"/>
        <v>2.1143930309764789</v>
      </c>
      <c r="M113" s="380">
        <f t="shared" si="29"/>
        <v>82.647493841316034</v>
      </c>
      <c r="N113" s="375">
        <f>'Berekening trap 2'!H113*$L113</f>
        <v>0.57178104942446706</v>
      </c>
      <c r="O113" s="376">
        <f>'Berekening trap 2'!I113*$L113</f>
        <v>0.57178104942446706</v>
      </c>
      <c r="Q113" s="396">
        <f t="shared" si="25"/>
        <v>83.334659578189871</v>
      </c>
      <c r="R113" s="6">
        <f t="shared" si="10"/>
        <v>3.3873045369691743</v>
      </c>
      <c r="S113" s="380">
        <f>1/100*'Berekening trap 1'!T113*INVOER!$W$19*1000</f>
        <v>0.33845122614773349</v>
      </c>
      <c r="T113" s="380">
        <f t="shared" si="26"/>
        <v>0.28619552007390436</v>
      </c>
      <c r="U113" s="44">
        <f t="shared" si="16"/>
        <v>98.018514682094349</v>
      </c>
      <c r="V113" s="380">
        <f t="shared" si="27"/>
        <v>2.1143930309764789</v>
      </c>
      <c r="W113" s="44">
        <f t="shared" si="21"/>
        <v>82.647493841316034</v>
      </c>
      <c r="X113" s="145">
        <f>IF(AND(INVOER!$T$36=1,INVOER!E56=1),1/100*N113*INVOER!$W$20*1000,1/100*O113*INVOER!$W$20*1000)</f>
        <v>5.6404048999310216E-2</v>
      </c>
      <c r="Y113" s="6">
        <f t="shared" si="28"/>
        <v>3.6842368799977789</v>
      </c>
      <c r="Z113" s="44">
        <f t="shared" si="18"/>
        <v>56.722878713712099</v>
      </c>
      <c r="AA113" s="6"/>
      <c r="AB113" s="6"/>
      <c r="AC113" s="6"/>
      <c r="AD113" s="6"/>
      <c r="AE113" s="6"/>
      <c r="AF113" s="6"/>
    </row>
    <row r="114" spans="1:32" x14ac:dyDescent="0.2">
      <c r="A114" s="271">
        <f>'Berekening trap 1'!A114</f>
        <v>3.6539874031262283</v>
      </c>
      <c r="B114" s="6">
        <f t="shared" si="19"/>
        <v>3.5636026129553358</v>
      </c>
      <c r="C114" s="168">
        <f t="shared" si="15"/>
        <v>3.4870366509552886</v>
      </c>
      <c r="D114" s="200">
        <f t="shared" si="22"/>
        <v>0.2549217996498524</v>
      </c>
      <c r="E114" s="197">
        <f t="shared" si="12"/>
        <v>0.22239270737102426</v>
      </c>
      <c r="F114" s="43">
        <f t="shared" si="23"/>
        <v>0.2549217996498524</v>
      </c>
      <c r="G114" s="155">
        <f t="shared" si="23"/>
        <v>0.22239270737102426</v>
      </c>
      <c r="H114" s="170">
        <f t="shared" si="20"/>
        <v>0.2549217996498524</v>
      </c>
      <c r="I114" s="179">
        <f t="shared" si="9"/>
        <v>0.2549217996498524</v>
      </c>
      <c r="J114" s="314">
        <f>IF(INVOER!$T$36=1,100-H114*100,100-I114*100)</f>
        <v>74.50782003501476</v>
      </c>
      <c r="K114" s="408">
        <f>IF(AND('Berekening trap 1'!$B$64=1,INVOER!$C$20=1),'Berekening trap 1'!U114,'Berekening trap 1'!V114)</f>
        <v>0.19747040483964984</v>
      </c>
      <c r="L114" s="380">
        <f t="shared" si="24"/>
        <v>2.3718422286963081</v>
      </c>
      <c r="M114" s="380">
        <f t="shared" si="29"/>
        <v>80.275651612619725</v>
      </c>
      <c r="N114" s="375">
        <f>'Berekening trap 2'!H114*$L114</f>
        <v>0.6046342894247797</v>
      </c>
      <c r="O114" s="376">
        <f>'Berekening trap 2'!I114*$L114</f>
        <v>0.6046342894247797</v>
      </c>
      <c r="Q114" s="396">
        <f t="shared" si="25"/>
        <v>84.896701572635749</v>
      </c>
      <c r="R114" s="6">
        <f t="shared" si="10"/>
        <v>3.5636026129553358</v>
      </c>
      <c r="S114" s="380">
        <f>1/100*'Berekening trap 1'!T114*INVOER!$W$19*1000</f>
        <v>0.3949130568423162</v>
      </c>
      <c r="T114" s="380">
        <f t="shared" si="26"/>
        <v>0.33393983816630629</v>
      </c>
      <c r="U114" s="44">
        <f t="shared" si="16"/>
        <v>97.684574843928047</v>
      </c>
      <c r="V114" s="380">
        <f t="shared" si="27"/>
        <v>2.3718422286963081</v>
      </c>
      <c r="W114" s="44">
        <f t="shared" si="21"/>
        <v>80.275651612619725</v>
      </c>
      <c r="X114" s="145">
        <f>IF(AND(INVOER!$T$36=1,INVOER!E57=1),1/100*N114*INVOER!$W$20*1000,1/100*O114*INVOER!$W$20*1000)</f>
        <v>5.9644897503521657E-2</v>
      </c>
      <c r="Y114" s="6">
        <f t="shared" si="28"/>
        <v>3.8959247604520253</v>
      </c>
      <c r="Z114" s="44">
        <f t="shared" si="18"/>
        <v>52.826953953260073</v>
      </c>
      <c r="AA114" s="6"/>
      <c r="AB114" s="6"/>
      <c r="AC114" s="6"/>
      <c r="AD114" s="6"/>
      <c r="AE114" s="6"/>
      <c r="AF114" s="6"/>
    </row>
    <row r="115" spans="1:32" x14ac:dyDescent="0.2">
      <c r="A115" s="271">
        <f>'Berekening trap 1'!A115</f>
        <v>3.844165446410527</v>
      </c>
      <c r="B115" s="6">
        <f t="shared" si="19"/>
        <v>3.7490764247683774</v>
      </c>
      <c r="C115" s="168">
        <f t="shared" si="15"/>
        <v>3.6685254559172145</v>
      </c>
      <c r="D115" s="200">
        <f t="shared" si="22"/>
        <v>0.23980332558865594</v>
      </c>
      <c r="E115" s="197">
        <f t="shared" si="12"/>
        <v>0.21083893991458674</v>
      </c>
      <c r="F115" s="43">
        <f t="shared" si="23"/>
        <v>0.23980332558865594</v>
      </c>
      <c r="G115" s="155">
        <f t="shared" si="23"/>
        <v>0.21083893991458674</v>
      </c>
      <c r="H115" s="170">
        <f t="shared" si="20"/>
        <v>0.23980332558865594</v>
      </c>
      <c r="I115" s="179">
        <f t="shared" si="9"/>
        <v>0.23980332558865594</v>
      </c>
      <c r="J115" s="314">
        <f>IF(INVOER!$T$36=1,100-H115*100,100-I115*100)</f>
        <v>76.019667441134402</v>
      </c>
      <c r="K115" s="408">
        <f>IF(AND('Berekening trap 1'!$B$64=1,INVOER!$C$20=1),'Berekening trap 1'!U115,'Berekening trap 1'!V115)</f>
        <v>0.2208548272315034</v>
      </c>
      <c r="L115" s="380">
        <f t="shared" si="24"/>
        <v>2.6527155097720621</v>
      </c>
      <c r="M115" s="380">
        <f t="shared" si="29"/>
        <v>77.62293610284766</v>
      </c>
      <c r="N115" s="375">
        <f>'Berekening trap 2'!H115*$L115</f>
        <v>0.63613000108394724</v>
      </c>
      <c r="O115" s="376">
        <f>'Berekening trap 2'!I115*$L115</f>
        <v>0.63613000108394724</v>
      </c>
      <c r="Q115" s="396">
        <f t="shared" si="25"/>
        <v>86.374471837087796</v>
      </c>
      <c r="R115" s="6">
        <f t="shared" si="10"/>
        <v>3.7490764247683774</v>
      </c>
      <c r="S115" s="380">
        <f>1/100*'Berekening trap 1'!T115*INVOER!$W$19*1000</f>
        <v>0.46054604412224742</v>
      </c>
      <c r="T115" s="380">
        <f t="shared" si="26"/>
        <v>0.38943931778817875</v>
      </c>
      <c r="U115" s="44">
        <f t="shared" si="16"/>
        <v>97.295135526139873</v>
      </c>
      <c r="V115" s="380">
        <f t="shared" si="27"/>
        <v>2.6527155097720621</v>
      </c>
      <c r="W115" s="44">
        <f t="shared" si="21"/>
        <v>77.62293610284766</v>
      </c>
      <c r="X115" s="145">
        <f>IF(AND(INVOER!$T$36=1,INVOER!E58=1),1/100*N115*INVOER!$W$20*1000,1/100*O115*INVOER!$W$20*1000)</f>
        <v>6.2751830945054876E-2</v>
      </c>
      <c r="Y115" s="6">
        <f t="shared" si="28"/>
        <v>4.0988654885039262</v>
      </c>
      <c r="Z115" s="44">
        <f t="shared" si="18"/>
        <v>48.728088464756148</v>
      </c>
      <c r="AA115" s="6"/>
      <c r="AB115" s="6"/>
      <c r="AC115" s="6"/>
      <c r="AD115" s="6"/>
      <c r="AE115" s="6"/>
      <c r="AF115" s="6"/>
    </row>
    <row r="116" spans="1:32" x14ac:dyDescent="0.2">
      <c r="A116" s="272">
        <f>'Berekening trap 1'!A116</f>
        <v>4.0442416322326187</v>
      </c>
      <c r="B116" s="46">
        <f t="shared" si="19"/>
        <v>3.9442035393215731</v>
      </c>
      <c r="C116" s="182">
        <f t="shared" si="15"/>
        <v>3.8594601571009326</v>
      </c>
      <c r="D116" s="201">
        <f t="shared" si="22"/>
        <v>0.22508801556923635</v>
      </c>
      <c r="E116" s="167">
        <f t="shared" si="12"/>
        <v>0.19949133201862201</v>
      </c>
      <c r="F116" s="45">
        <f t="shared" si="23"/>
        <v>0.22508801556923635</v>
      </c>
      <c r="G116" s="183">
        <f t="shared" si="23"/>
        <v>0.19949133201862201</v>
      </c>
      <c r="H116" s="171">
        <f t="shared" si="20"/>
        <v>0.22508801556923635</v>
      </c>
      <c r="I116" s="235">
        <f t="shared" si="9"/>
        <v>0.22508801556923635</v>
      </c>
      <c r="J116" s="315">
        <f>IF(INVOER!$T$36=1,100-H116*100,100-I116*100)</f>
        <v>77.491198443076371</v>
      </c>
      <c r="K116" s="409">
        <f>IF(AND('Berekening trap 1'!$B$64=1,INVOER!$C$20=1),'Berekening trap 1'!U116,'Berekening trap 1'!V116)</f>
        <v>0.24621464823795064</v>
      </c>
      <c r="L116" s="380">
        <f t="shared" si="24"/>
        <v>2.957315555657996</v>
      </c>
      <c r="M116" s="380">
        <f t="shared" si="29"/>
        <v>74.665620547189661</v>
      </c>
      <c r="N116" s="375">
        <f>'Berekening trap 2'!H116*$L116</f>
        <v>0.66565628983509184</v>
      </c>
      <c r="O116" s="376">
        <f>'Berekening trap 2'!I116*$L116</f>
        <v>0.66565628983509184</v>
      </c>
      <c r="Q116" s="396">
        <f t="shared" si="25"/>
        <v>87.766248618523178</v>
      </c>
      <c r="R116" s="6">
        <f t="shared" si="10"/>
        <v>3.9442035393215731</v>
      </c>
      <c r="S116" s="380">
        <f>1/100*'Berekening trap 1'!T116*INVOER!$W$19*1000</f>
        <v>0.53674859149727217</v>
      </c>
      <c r="T116" s="380">
        <f t="shared" si="26"/>
        <v>0.45387645375361924</v>
      </c>
      <c r="U116" s="44">
        <f t="shared" si="16"/>
        <v>96.841259072386251</v>
      </c>
      <c r="V116" s="380">
        <f t="shared" si="27"/>
        <v>2.957315555657996</v>
      </c>
      <c r="W116" s="44">
        <f t="shared" si="21"/>
        <v>74.665620547189661</v>
      </c>
      <c r="X116" s="145">
        <f>IF(AND(INVOER!$T$36=1,INVOER!E59=1),1/100*N116*INVOER!$W$20*1000,1/100*O116*INVOER!$W$20*1000)</f>
        <v>6.5664488227354934E-2</v>
      </c>
      <c r="Y116" s="6">
        <f t="shared" si="28"/>
        <v>4.2891163582309417</v>
      </c>
      <c r="Z116" s="44">
        <f t="shared" si="18"/>
        <v>44.438972106525206</v>
      </c>
      <c r="AA116" s="6"/>
      <c r="AB116" s="6"/>
      <c r="AC116" s="6"/>
      <c r="AD116" s="6"/>
      <c r="AE116" s="6"/>
      <c r="AF116" s="6"/>
    </row>
    <row r="117" spans="1:32" x14ac:dyDescent="0.2">
      <c r="A117" s="271">
        <f>'Berekening trap 1'!A117</f>
        <v>4.2547311264024286</v>
      </c>
      <c r="B117" s="6">
        <f t="shared" si="19"/>
        <v>4.1494863793175236</v>
      </c>
      <c r="C117" s="168">
        <f t="shared" si="15"/>
        <v>4.0603323823809632</v>
      </c>
      <c r="D117" s="200">
        <f t="shared" si="22"/>
        <v>0.21079525570183422</v>
      </c>
      <c r="E117" s="197">
        <f t="shared" si="12"/>
        <v>0.18836879341299098</v>
      </c>
      <c r="F117" s="43">
        <f t="shared" si="23"/>
        <v>0.21079525570183422</v>
      </c>
      <c r="G117" s="155">
        <f t="shared" si="23"/>
        <v>0.18836879341299098</v>
      </c>
      <c r="H117" s="170">
        <f t="shared" si="20"/>
        <v>0.21079525570183422</v>
      </c>
      <c r="I117" s="179">
        <f t="shared" si="9"/>
        <v>0.21079525570183422</v>
      </c>
      <c r="J117" s="314">
        <f>IF(INVOER!$T$36=1,100-H117*100,100-I117*100)</f>
        <v>78.920474429816579</v>
      </c>
      <c r="K117" s="408">
        <f>IF(AND('Berekening trap 1'!$B$64=1,INVOER!$C$20=1),'Berekening trap 1'!U117,'Berekening trap 1'!V117)</f>
        <v>0.2735329967012905</v>
      </c>
      <c r="L117" s="381">
        <f t="shared" si="24"/>
        <v>3.285439724726293</v>
      </c>
      <c r="M117" s="381">
        <f t="shared" si="29"/>
        <v>71.380180822463373</v>
      </c>
      <c r="N117" s="372">
        <f>'Berekening trap 2'!H117*$L117</f>
        <v>0.69255510686664279</v>
      </c>
      <c r="O117" s="373">
        <f>'Berekening trap 2'!I117*$L117</f>
        <v>0.69255510686664279</v>
      </c>
      <c r="Q117" s="396">
        <f t="shared" si="25"/>
        <v>89.070848137919782</v>
      </c>
      <c r="R117" s="6">
        <f t="shared" si="10"/>
        <v>4.1494863793175236</v>
      </c>
      <c r="S117" s="380">
        <f>1/100*'Berekening trap 1'!T117*INVOER!$W$19*1000</f>
        <v>0.62509841727367166</v>
      </c>
      <c r="T117" s="380">
        <f t="shared" si="26"/>
        <v>0.52858537008497408</v>
      </c>
      <c r="U117" s="44">
        <f t="shared" si="16"/>
        <v>96.312673702301282</v>
      </c>
      <c r="V117" s="380">
        <f t="shared" si="27"/>
        <v>3.285439724726293</v>
      </c>
      <c r="W117" s="44">
        <f t="shared" si="21"/>
        <v>71.380180822463373</v>
      </c>
      <c r="X117" s="145">
        <f>IF(AND(INVOER!$T$36=1,INVOER!E60=1),1/100*N117*INVOER!$W$20*1000,1/100*O117*INVOER!$W$20*1000)</f>
        <v>6.8317955311299444E-2</v>
      </c>
      <c r="Y117" s="6">
        <f t="shared" si="28"/>
        <v>4.4624372716045206</v>
      </c>
      <c r="Z117" s="44">
        <f t="shared" si="18"/>
        <v>39.976534834920685</v>
      </c>
      <c r="AA117" s="6"/>
      <c r="AB117" s="6"/>
      <c r="AC117" s="6"/>
      <c r="AD117" s="6"/>
      <c r="AE117" s="6"/>
      <c r="AF117" s="6"/>
    </row>
    <row r="118" spans="1:32" x14ac:dyDescent="0.2">
      <c r="A118" s="271">
        <f>'Berekening trap 1'!A118</f>
        <v>4.476175907418293</v>
      </c>
      <c r="B118" s="6">
        <f t="shared" si="19"/>
        <v>4.3654535169103603</v>
      </c>
      <c r="C118" s="168">
        <f t="shared" si="15"/>
        <v>4.2716593472480096</v>
      </c>
      <c r="D118" s="200">
        <f t="shared" si="22"/>
        <v>0.19694345713722841</v>
      </c>
      <c r="E118" s="197">
        <f t="shared" si="12"/>
        <v>0.17748974073203969</v>
      </c>
      <c r="F118" s="43">
        <f t="shared" si="23"/>
        <v>0.19694345713722841</v>
      </c>
      <c r="G118" s="155">
        <f t="shared" si="23"/>
        <v>0.17748974073203969</v>
      </c>
      <c r="H118" s="170">
        <f t="shared" si="20"/>
        <v>0.19694345713722841</v>
      </c>
      <c r="I118" s="179">
        <f t="shared" si="9"/>
        <v>0.19694345713722841</v>
      </c>
      <c r="J118" s="314">
        <f>IF(INVOER!$T$36=1,100-H118*100,100-I118*100)</f>
        <v>80.305654286277161</v>
      </c>
      <c r="K118" s="408">
        <f>IF(AND('Berekening trap 1'!$B$64=1,INVOER!$C$20=1),'Berekening trap 1'!U118,'Berekening trap 1'!V118)</f>
        <v>0.30273956494760429</v>
      </c>
      <c r="L118" s="380">
        <f t="shared" si="24"/>
        <v>3.6362435425346336</v>
      </c>
      <c r="M118" s="380">
        <f t="shared" si="29"/>
        <v>67.743937279928744</v>
      </c>
      <c r="N118" s="375">
        <f>'Berekening trap 2'!H118*$L118</f>
        <v>0.71613437425969317</v>
      </c>
      <c r="O118" s="376">
        <f>'Berekening trap 2'!I118*$L118</f>
        <v>0.71613437425969317</v>
      </c>
      <c r="Q118" s="396">
        <f t="shared" si="25"/>
        <v>90.287653893190694</v>
      </c>
      <c r="R118" s="6">
        <f t="shared" si="10"/>
        <v>4.3654535169103603</v>
      </c>
      <c r="S118" s="380">
        <f>1/100*'Berekening trap 1'!T118*INVOER!$W$19*1000</f>
        <v>0.72736247799947595</v>
      </c>
      <c r="T118" s="380">
        <f t="shared" si="26"/>
        <v>0.61506021131221689</v>
      </c>
      <c r="U118" s="44">
        <f t="shared" si="16"/>
        <v>95.69761349098907</v>
      </c>
      <c r="V118" s="380">
        <f t="shared" si="27"/>
        <v>3.6362435425346336</v>
      </c>
      <c r="W118" s="44">
        <f t="shared" si="21"/>
        <v>67.743937279928744</v>
      </c>
      <c r="X118" s="145">
        <f>IF(AND(INVOER!$T$36=1,INVOER!E61=1),1/100*N118*INVOER!$W$20*1000,1/100*O118*INVOER!$W$20*1000)</f>
        <v>7.0643961314373768E-2</v>
      </c>
      <c r="Y118" s="6">
        <f t="shared" si="28"/>
        <v>4.6143688660850417</v>
      </c>
      <c r="Z118" s="44">
        <f t="shared" si="18"/>
        <v>35.36216596883564</v>
      </c>
      <c r="AA118" s="6"/>
      <c r="AB118" s="6"/>
      <c r="AC118" s="6"/>
      <c r="AD118" s="6"/>
      <c r="AE118" s="6"/>
      <c r="AF118" s="6"/>
    </row>
    <row r="119" spans="1:32" x14ac:dyDescent="0.2">
      <c r="A119" s="271">
        <f>'Berekening trap 1'!A119</f>
        <v>4.7091461619793273</v>
      </c>
      <c r="B119" s="6">
        <f t="shared" si="19"/>
        <v>4.5926610346988106</v>
      </c>
      <c r="C119" s="168">
        <f t="shared" si="15"/>
        <v>4.4939851865603382</v>
      </c>
      <c r="D119" s="200">
        <f t="shared" si="22"/>
        <v>0.18354987740223042</v>
      </c>
      <c r="E119" s="197">
        <f t="shared" si="12"/>
        <v>0.16687197179073243</v>
      </c>
      <c r="F119" s="43">
        <f t="shared" si="23"/>
        <v>0.18354987740223042</v>
      </c>
      <c r="G119" s="155">
        <f t="shared" si="23"/>
        <v>0.16687197179073243</v>
      </c>
      <c r="H119" s="170">
        <f t="shared" si="20"/>
        <v>0.18354987740223042</v>
      </c>
      <c r="I119" s="179">
        <f t="shared" si="9"/>
        <v>0.18354987740223042</v>
      </c>
      <c r="J119" s="314">
        <f>IF(INVOER!$T$36=1,100-H119*100,100-I119*100)</f>
        <v>81.645012259776962</v>
      </c>
      <c r="K119" s="408">
        <f>IF(AND('Berekening trap 1'!$B$64=1,INVOER!$C$20=1),'Berekening trap 1'!U119,'Berekening trap 1'!V119)</f>
        <v>0.33369791704929153</v>
      </c>
      <c r="L119" s="380">
        <f t="shared" si="24"/>
        <v>4.0080882597481136</v>
      </c>
      <c r="M119" s="380">
        <f t="shared" si="29"/>
        <v>63.73584902018063</v>
      </c>
      <c r="N119" s="375">
        <f>'Berekening trap 2'!H119*$L119</f>
        <v>0.73568410869408529</v>
      </c>
      <c r="O119" s="376">
        <f>'Berekening trap 2'!I119*$L119</f>
        <v>0.73568410869408529</v>
      </c>
      <c r="Q119" s="396">
        <f t="shared" si="25"/>
        <v>91.41663792000432</v>
      </c>
      <c r="R119" s="6">
        <f t="shared" si="10"/>
        <v>4.5926610346988106</v>
      </c>
      <c r="S119" s="380">
        <f>1/100*'Berekening trap 1'!T119*INVOER!$W$19*1000</f>
        <v>0.84550166213705624</v>
      </c>
      <c r="T119" s="380">
        <f t="shared" si="26"/>
        <v>0.71495911145862423</v>
      </c>
      <c r="U119" s="44">
        <f t="shared" si="16"/>
        <v>94.982654379530445</v>
      </c>
      <c r="V119" s="380">
        <f t="shared" si="27"/>
        <v>4.0080882597481136</v>
      </c>
      <c r="W119" s="44">
        <f t="shared" si="21"/>
        <v>63.73584902018063</v>
      </c>
      <c r="X119" s="145">
        <f>IF(AND(INVOER!$T$36=1,INVOER!E62=1),1/100*N119*INVOER!$W$20*1000,1/100*O119*INVOER!$W$20*1000)</f>
        <v>7.2572469053605218E-2</v>
      </c>
      <c r="Y119" s="6">
        <f t="shared" si="28"/>
        <v>4.7403364067544098</v>
      </c>
      <c r="Z119" s="44">
        <f t="shared" si="18"/>
        <v>30.621829562081231</v>
      </c>
      <c r="AA119" s="6"/>
      <c r="AB119" s="6"/>
      <c r="AC119" s="6"/>
      <c r="AD119" s="6"/>
      <c r="AE119" s="6"/>
      <c r="AF119" s="6"/>
    </row>
    <row r="120" spans="1:32" x14ac:dyDescent="0.2">
      <c r="A120" s="271">
        <f>'Berekening trap 1'!A120</f>
        <v>4.954241753129633</v>
      </c>
      <c r="B120" s="6">
        <f t="shared" si="19"/>
        <v>4.8316939575544797</v>
      </c>
      <c r="C120" s="168">
        <f t="shared" si="15"/>
        <v>4.7278823556084442</v>
      </c>
      <c r="D120" s="200">
        <f t="shared" si="22"/>
        <v>0.17063044509003303</v>
      </c>
      <c r="E120" s="197">
        <f t="shared" si="12"/>
        <v>0.15653253820856236</v>
      </c>
      <c r="F120" s="43">
        <f t="shared" si="23"/>
        <v>0.17063044509003303</v>
      </c>
      <c r="G120" s="155">
        <f t="shared" si="23"/>
        <v>0.15653253820856236</v>
      </c>
      <c r="H120" s="170">
        <f t="shared" si="20"/>
        <v>0.17063044509003303</v>
      </c>
      <c r="I120" s="179">
        <f t="shared" si="9"/>
        <v>0.17063044509003303</v>
      </c>
      <c r="J120" s="314">
        <f>IF(INVOER!$T$36=1,100-H120*100,100-I120*100)</f>
        <v>82.936955490996695</v>
      </c>
      <c r="K120" s="408">
        <f>IF(AND('Berekening trap 1'!$B$64=1,INVOER!$C$20=1),'Berekening trap 1'!U120,'Berekening trap 1'!V120)</f>
        <v>0.36619171402144146</v>
      </c>
      <c r="L120" s="380">
        <f t="shared" si="24"/>
        <v>4.3983754012152714</v>
      </c>
      <c r="M120" s="380">
        <f t="shared" si="29"/>
        <v>59.337473618965362</v>
      </c>
      <c r="N120" s="375">
        <f>'Berekening trap 2'!H120*$L120</f>
        <v>0.75049675238241431</v>
      </c>
      <c r="O120" s="376">
        <f>'Berekening trap 2'!I120*$L120</f>
        <v>0.75049675238241431</v>
      </c>
      <c r="Q120" s="396">
        <f t="shared" si="25"/>
        <v>92.458372921857006</v>
      </c>
      <c r="R120" s="6">
        <f t="shared" si="10"/>
        <v>4.8316939575544797</v>
      </c>
      <c r="S120" s="380">
        <f>1/100*'Berekening trap 1'!T120*INVOER!$W$19*1000</f>
        <v>0.98166721648519506</v>
      </c>
      <c r="T120" s="380">
        <f t="shared" si="26"/>
        <v>0.83010117221099622</v>
      </c>
      <c r="U120" s="44">
        <f t="shared" si="16"/>
        <v>94.152553207319443</v>
      </c>
      <c r="V120" s="380">
        <f t="shared" si="27"/>
        <v>4.3983754012152714</v>
      </c>
      <c r="W120" s="44">
        <f t="shared" si="21"/>
        <v>59.337473618965362</v>
      </c>
      <c r="X120" s="145">
        <f>IF(AND(INVOER!$T$36=1,INVOER!E63=1),1/100*N120*INVOER!$W$20*1000,1/100*O120*INVOER!$W$20*1000)</f>
        <v>7.403368061570019E-2</v>
      </c>
      <c r="Y120" s="6">
        <f t="shared" si="28"/>
        <v>4.8357807874692638</v>
      </c>
      <c r="Z120" s="44">
        <f t="shared" si="18"/>
        <v>25.786048774611967</v>
      </c>
      <c r="AA120" s="6"/>
      <c r="AB120" s="6"/>
      <c r="AC120" s="6"/>
      <c r="AD120" s="6"/>
      <c r="AE120" s="6"/>
      <c r="AF120" s="6"/>
    </row>
    <row r="121" spans="1:32" x14ac:dyDescent="0.2">
      <c r="A121" s="271">
        <f>'Berekening trap 1'!A121</f>
        <v>5.2120937648145835</v>
      </c>
      <c r="B121" s="46">
        <f t="shared" si="19"/>
        <v>5.0831677589721078</v>
      </c>
      <c r="C121" s="182">
        <f t="shared" si="15"/>
        <v>4.9739531041005431</v>
      </c>
      <c r="D121" s="201">
        <f t="shared" si="22"/>
        <v>0.15819959007706091</v>
      </c>
      <c r="E121" s="167">
        <f t="shared" si="12"/>
        <v>0.1464876177263672</v>
      </c>
      <c r="F121" s="45">
        <f t="shared" si="23"/>
        <v>0.15819959007706091</v>
      </c>
      <c r="G121" s="183">
        <f t="shared" si="23"/>
        <v>0.1464876177263672</v>
      </c>
      <c r="H121" s="171">
        <f t="shared" si="20"/>
        <v>0.15819959007706091</v>
      </c>
      <c r="I121" s="235">
        <f t="shared" si="9"/>
        <v>0.15819959007706091</v>
      </c>
      <c r="J121" s="314">
        <f>IF(INVOER!$T$36=1,100-H121*100,100-I121*100)</f>
        <v>84.180040992293911</v>
      </c>
      <c r="K121" s="408">
        <f>IF(AND('Berekening trap 1'!$B$64=1,INVOER!$C$20=1),'Berekening trap 1'!U121,'Berekening trap 1'!V121)</f>
        <v>0.24294870444627656</v>
      </c>
      <c r="L121" s="377">
        <f t="shared" si="24"/>
        <v>2.918087888059242</v>
      </c>
      <c r="M121" s="377">
        <f t="shared" si="29"/>
        <v>56.419385730906122</v>
      </c>
      <c r="N121" s="378">
        <f>'Berekening trap 2'!H121*$L121</f>
        <v>0.46164030769980852</v>
      </c>
      <c r="O121" s="379">
        <f>'Berekening trap 2'!I121*$L121</f>
        <v>0.46164030769980852</v>
      </c>
      <c r="Q121" s="396">
        <f t="shared" si="25"/>
        <v>93.414034336423029</v>
      </c>
      <c r="R121" s="6">
        <f t="shared" si="10"/>
        <v>5.0831677589721078</v>
      </c>
      <c r="S121" s="380">
        <f>1/100*'Berekening trap 1'!T121*INVOER!$W$19*1000</f>
        <v>0.69145637249719705</v>
      </c>
      <c r="T121" s="380">
        <f t="shared" si="26"/>
        <v>0.58469788509163567</v>
      </c>
      <c r="U121" s="44">
        <f t="shared" si="16"/>
        <v>93.567855322227814</v>
      </c>
      <c r="V121" s="380">
        <f t="shared" si="27"/>
        <v>2.918087888059242</v>
      </c>
      <c r="W121" s="44">
        <f t="shared" si="21"/>
        <v>56.419385730906122</v>
      </c>
      <c r="X121" s="145">
        <f>IF(AND(INVOER!$T$36=1,INVOER!E64=1),1/100*N121*INVOER!$W$20*1000,1/100*O121*INVOER!$W$20*1000)</f>
        <v>4.5539079271280307E-2</v>
      </c>
      <c r="Y121" s="6">
        <f t="shared" si="28"/>
        <v>2.9745516201229649</v>
      </c>
      <c r="Z121" s="44">
        <f t="shared" si="18"/>
        <v>22.811497154489</v>
      </c>
      <c r="AA121" s="6"/>
      <c r="AB121" s="6"/>
      <c r="AC121" s="6"/>
      <c r="AD121" s="6"/>
      <c r="AE121" s="6"/>
      <c r="AF121" s="6"/>
    </row>
    <row r="122" spans="1:32" x14ac:dyDescent="0.2">
      <c r="A122" s="270">
        <f>'Berekening trap 1'!A122</f>
        <v>5.483366126826196</v>
      </c>
      <c r="B122" s="6">
        <f t="shared" si="19"/>
        <v>5.3477299458203902</v>
      </c>
      <c r="C122" s="168">
        <f t="shared" si="15"/>
        <v>5.2328310268641509</v>
      </c>
      <c r="D122" s="200">
        <f t="shared" si="22"/>
        <v>0.14627008159763749</v>
      </c>
      <c r="E122" s="197">
        <f t="shared" si="12"/>
        <v>0.13675238769140635</v>
      </c>
      <c r="F122" s="43">
        <f t="shared" si="23"/>
        <v>0.14627008159763749</v>
      </c>
      <c r="G122" s="155">
        <f t="shared" si="23"/>
        <v>0.13675238769140635</v>
      </c>
      <c r="H122" s="170">
        <f t="shared" si="20"/>
        <v>0.14627008159763749</v>
      </c>
      <c r="I122" s="179">
        <f t="shared" si="9"/>
        <v>0.14627008159763749</v>
      </c>
      <c r="J122" s="313">
        <f>IF(INVOER!$T$36=1,100-H122*100,100-I122*100)</f>
        <v>85.372991840236253</v>
      </c>
      <c r="K122" s="407">
        <f>IF(AND('Berekening trap 1'!$B$64=1,INVOER!$C$20=1),'Berekening trap 1'!U122,'Berekening trap 1'!V122)</f>
        <v>0.21539089709430195</v>
      </c>
      <c r="L122" s="380">
        <f t="shared" si="24"/>
        <v>2.5870875477258797</v>
      </c>
      <c r="M122" s="380">
        <f t="shared" si="29"/>
        <v>53.832298183180242</v>
      </c>
      <c r="N122" s="375">
        <f>'Berekening trap 2'!H122*$L122</f>
        <v>0.3784135067060963</v>
      </c>
      <c r="O122" s="376">
        <f>'Berekening trap 2'!I122*$L122</f>
        <v>0.3784135067060963</v>
      </c>
      <c r="Q122" s="396">
        <f t="shared" si="25"/>
        <v>94.285391616334891</v>
      </c>
      <c r="R122" s="6">
        <f t="shared" si="10"/>
        <v>5.3477299458203902</v>
      </c>
      <c r="S122" s="380">
        <f>1/100*'Berekening trap 1'!T122*INVOER!$W$19*1000</f>
        <v>0.65322181358805076</v>
      </c>
      <c r="T122" s="380">
        <f t="shared" si="26"/>
        <v>0.55236661066740589</v>
      </c>
      <c r="U122" s="44">
        <f t="shared" si="16"/>
        <v>93.015488711560408</v>
      </c>
      <c r="V122" s="380">
        <f t="shared" si="27"/>
        <v>2.5870875477258797</v>
      </c>
      <c r="W122" s="44">
        <f t="shared" si="21"/>
        <v>53.832298183180242</v>
      </c>
      <c r="X122" s="145">
        <f>IF(AND(INVOER!$T$36=1,INVOER!E65=1),1/100*N122*INVOER!$W$20*1000,1/100*O122*INVOER!$W$20*1000)</f>
        <v>3.7329068523232055E-2</v>
      </c>
      <c r="Y122" s="6">
        <f t="shared" si="28"/>
        <v>2.4382847222712267</v>
      </c>
      <c r="Z122" s="44">
        <f t="shared" si="18"/>
        <v>20.373212432217773</v>
      </c>
      <c r="AA122" s="6"/>
      <c r="AB122" s="6"/>
      <c r="AC122" s="6"/>
      <c r="AD122" s="6"/>
      <c r="AE122" s="6"/>
      <c r="AF122" s="6"/>
    </row>
    <row r="123" spans="1:32" x14ac:dyDescent="0.2">
      <c r="A123" s="271">
        <f>'Berekening trap 1'!A123</f>
        <v>5.7687573243215704</v>
      </c>
      <c r="B123" s="6">
        <f t="shared" si="19"/>
        <v>5.6260617255738836</v>
      </c>
      <c r="C123" s="168">
        <f t="shared" si="15"/>
        <v>5.5051826952565914</v>
      </c>
      <c r="D123" s="200">
        <f t="shared" si="22"/>
        <v>0.13485287663058157</v>
      </c>
      <c r="E123" s="197">
        <f t="shared" si="12"/>
        <v>0.12734090130339168</v>
      </c>
      <c r="F123" s="43">
        <f t="shared" si="23"/>
        <v>0.13485287663058157</v>
      </c>
      <c r="G123" s="155">
        <f t="shared" si="23"/>
        <v>0.12734090130339168</v>
      </c>
      <c r="H123" s="170">
        <f t="shared" si="20"/>
        <v>0.13485287663058157</v>
      </c>
      <c r="I123" s="179">
        <f t="shared" si="9"/>
        <v>0.13485287663058157</v>
      </c>
      <c r="J123" s="314">
        <f>IF(INVOER!$T$36=1,100-H123*100,100-I123*100)</f>
        <v>86.514712336941841</v>
      </c>
      <c r="K123" s="408">
        <f>IF(AND('Berekening trap 1'!$B$64=1,INVOER!$C$20=1),'Berekening trap 1'!U123,'Berekening trap 1'!V123)</f>
        <v>0.21793614059169183</v>
      </c>
      <c r="L123" s="380">
        <f t="shared" si="24"/>
        <v>2.6176587921324836</v>
      </c>
      <c r="M123" s="380">
        <f t="shared" si="29"/>
        <v>51.214639391047761</v>
      </c>
      <c r="N123" s="375">
        <f>'Berekening trap 2'!H123*$L123</f>
        <v>0.352998818156399</v>
      </c>
      <c r="O123" s="376">
        <f>'Berekening trap 2'!I123*$L123</f>
        <v>0.352998818156399</v>
      </c>
      <c r="Q123" s="396">
        <f t="shared" si="25"/>
        <v>95.074788268225902</v>
      </c>
      <c r="R123" s="6">
        <f t="shared" si="10"/>
        <v>5.6260617255738836</v>
      </c>
      <c r="S123" s="380">
        <f>1/100*'Berekening trap 1'!T123*INVOER!$W$19*1000</f>
        <v>0.70701539397426549</v>
      </c>
      <c r="T123" s="380">
        <f t="shared" si="26"/>
        <v>0.59785464712838177</v>
      </c>
      <c r="U123" s="44">
        <f t="shared" si="16"/>
        <v>92.417634064432022</v>
      </c>
      <c r="V123" s="380">
        <f t="shared" si="27"/>
        <v>2.6176587921324836</v>
      </c>
      <c r="W123" s="44">
        <f t="shared" si="21"/>
        <v>51.214639391047761</v>
      </c>
      <c r="X123" s="145">
        <f>IF(AND(INVOER!$T$36=1,INVOER!E66=1),1/100*N123*INVOER!$W$20*1000,1/100*O123*INVOER!$W$20*1000)</f>
        <v>3.4822005129469293E-2</v>
      </c>
      <c r="Y123" s="6">
        <f t="shared" si="28"/>
        <v>2.274526701709509</v>
      </c>
      <c r="Z123" s="44">
        <f t="shared" si="18"/>
        <v>18.098685730508265</v>
      </c>
      <c r="AA123" s="6"/>
      <c r="AB123" s="6"/>
      <c r="AC123" s="6"/>
      <c r="AD123" s="6"/>
      <c r="AE123" s="6"/>
      <c r="AF123" s="6"/>
    </row>
    <row r="124" spans="1:32" x14ac:dyDescent="0.2">
      <c r="A124" s="271">
        <f>'Berekening trap 1'!A124</f>
        <v>6.0690021963161502</v>
      </c>
      <c r="B124" s="6">
        <f t="shared" si="19"/>
        <v>5.9188797603188608</v>
      </c>
      <c r="C124" s="168">
        <f t="shared" si="15"/>
        <v>5.7917093734850749</v>
      </c>
      <c r="D124" s="200">
        <f t="shared" si="22"/>
        <v>0.12395698113097371</v>
      </c>
      <c r="E124" s="197">
        <f t="shared" si="12"/>
        <v>0.1182659683142445</v>
      </c>
      <c r="F124" s="43">
        <f t="shared" si="23"/>
        <v>0.12395698113097371</v>
      </c>
      <c r="G124" s="155">
        <f t="shared" si="23"/>
        <v>0.1182659683142445</v>
      </c>
      <c r="H124" s="170">
        <f t="shared" si="20"/>
        <v>0.12395698113097371</v>
      </c>
      <c r="I124" s="179">
        <f t="shared" si="9"/>
        <v>0.12395698113097371</v>
      </c>
      <c r="J124" s="314">
        <f>IF(INVOER!$T$36=1,100-H124*100,100-I124*100)</f>
        <v>87.604301886902633</v>
      </c>
      <c r="K124" s="408">
        <f>IF(AND('Berekening trap 1'!$B$64=1,INVOER!$C$20=1),'Berekening trap 1'!U124,'Berekening trap 1'!V124)</f>
        <v>0.2194872445519091</v>
      </c>
      <c r="L124" s="380">
        <f t="shared" si="24"/>
        <v>2.6362892997112208</v>
      </c>
      <c r="M124" s="380">
        <f t="shared" si="29"/>
        <v>48.578350091336539</v>
      </c>
      <c r="N124" s="375">
        <f>'Berekening trap 2'!H124*$L124</f>
        <v>0.32678646298009167</v>
      </c>
      <c r="O124" s="376">
        <f>'Berekening trap 2'!I124*$L124</f>
        <v>0.32678646298009167</v>
      </c>
      <c r="Q124" s="396">
        <f t="shared" si="25"/>
        <v>95.78511050994075</v>
      </c>
      <c r="R124" s="6">
        <f t="shared" si="10"/>
        <v>5.9188797603188608</v>
      </c>
      <c r="S124" s="380">
        <f>1/100*'Berekening trap 1'!T124*INVOER!$W$19*1000</f>
        <v>0.76481850830300813</v>
      </c>
      <c r="T124" s="380">
        <f t="shared" si="26"/>
        <v>0.64673315927176767</v>
      </c>
      <c r="U124" s="44">
        <f t="shared" si="16"/>
        <v>91.770900905160261</v>
      </c>
      <c r="V124" s="380">
        <f t="shared" si="27"/>
        <v>2.6362892997112208</v>
      </c>
      <c r="W124" s="44">
        <f t="shared" si="21"/>
        <v>48.578350091336539</v>
      </c>
      <c r="X124" s="145">
        <f>IF(AND(INVOER!$T$36=1,INVOER!E67=1),1/100*N124*INVOER!$W$20*1000,1/100*O124*INVOER!$W$20*1000)</f>
        <v>3.2236254924491448E-2</v>
      </c>
      <c r="Y124" s="6">
        <f t="shared" si="28"/>
        <v>2.1056289641063506</v>
      </c>
      <c r="Z124" s="44">
        <f t="shared" si="18"/>
        <v>15.993056766401914</v>
      </c>
      <c r="AA124" s="6"/>
      <c r="AB124" s="6"/>
      <c r="AC124" s="6"/>
      <c r="AD124" s="6"/>
      <c r="AE124" s="6"/>
      <c r="AF124" s="6"/>
    </row>
    <row r="125" spans="1:32" x14ac:dyDescent="0.2">
      <c r="A125" s="271">
        <f>'Berekening trap 1'!A125</f>
        <v>6.3848738277826493</v>
      </c>
      <c r="B125" s="6">
        <f t="shared" si="19"/>
        <v>6.2269380120494002</v>
      </c>
      <c r="C125" s="168">
        <f t="shared" si="15"/>
        <v>6.0931488242555822</v>
      </c>
      <c r="D125" s="200">
        <f t="shared" si="22"/>
        <v>0.11358932666901114</v>
      </c>
      <c r="E125" s="197">
        <f t="shared" si="12"/>
        <v>0.10953904195260979</v>
      </c>
      <c r="F125" s="43">
        <f t="shared" si="23"/>
        <v>0.11358932666901114</v>
      </c>
      <c r="G125" s="155">
        <f t="shared" si="23"/>
        <v>0.10953904195260979</v>
      </c>
      <c r="H125" s="170">
        <f t="shared" si="20"/>
        <v>0.11358932666901114</v>
      </c>
      <c r="I125" s="179">
        <f t="shared" si="9"/>
        <v>0.11358932666901114</v>
      </c>
      <c r="J125" s="314">
        <f>IF(INVOER!$T$36=1,100-H125*100,100-I125*100)</f>
        <v>88.641067333098889</v>
      </c>
      <c r="K125" s="408">
        <f>IF(AND('Berekening trap 1'!$B$64=1,INVOER!$C$20=1),'Berekening trap 1'!U125,'Berekening trap 1'!V125)</f>
        <v>0.21995819338217307</v>
      </c>
      <c r="L125" s="380">
        <f t="shared" si="24"/>
        <v>2.6419459262020726</v>
      </c>
      <c r="M125" s="380">
        <f t="shared" si="29"/>
        <v>45.936404165134469</v>
      </c>
      <c r="N125" s="375">
        <f>'Berekening trap 2'!H125*$L125</f>
        <v>0.30009685885323045</v>
      </c>
      <c r="O125" s="376">
        <f>'Berekening trap 2'!I125*$L125</f>
        <v>0.30009685885323045</v>
      </c>
      <c r="Q125" s="396">
        <f t="shared" si="25"/>
        <v>96.41974476446731</v>
      </c>
      <c r="R125" s="6">
        <f t="shared" si="10"/>
        <v>6.2269380120494002</v>
      </c>
      <c r="S125" s="380">
        <f>1/100*'Berekening trap 1'!T125*INVOER!$W$19*1000</f>
        <v>0.82685238785645421</v>
      </c>
      <c r="T125" s="380">
        <f t="shared" si="26"/>
        <v>0.69918922103013448</v>
      </c>
      <c r="U125" s="44">
        <f t="shared" si="16"/>
        <v>91.071711684130122</v>
      </c>
      <c r="V125" s="380">
        <f t="shared" si="27"/>
        <v>2.6419459262020726</v>
      </c>
      <c r="W125" s="44">
        <f t="shared" si="21"/>
        <v>45.936404165134469</v>
      </c>
      <c r="X125" s="145">
        <f>IF(AND(INVOER!$T$36=1,INVOER!E68=1),1/100*N125*INVOER!$W$20*1000,1/100*O125*INVOER!$W$20*1000)</f>
        <v>2.9603425906357755E-2</v>
      </c>
      <c r="Y125" s="6">
        <f t="shared" si="28"/>
        <v>1.9336561015294971</v>
      </c>
      <c r="Z125" s="44">
        <f t="shared" si="18"/>
        <v>14.059400664872417</v>
      </c>
      <c r="AA125" s="6"/>
      <c r="AB125" s="6"/>
      <c r="AC125" s="6"/>
      <c r="AD125" s="6"/>
      <c r="AE125" s="6"/>
      <c r="AF125" s="6"/>
    </row>
    <row r="126" spans="1:32" x14ac:dyDescent="0.2">
      <c r="A126" s="272">
        <f>'Berekening trap 1'!A126</f>
        <v>6.7171855402275122</v>
      </c>
      <c r="B126" s="46">
        <f t="shared" si="19"/>
        <v>6.5510296840050808</v>
      </c>
      <c r="C126" s="182">
        <f t="shared" si="15"/>
        <v>6.4102772083998554</v>
      </c>
      <c r="D126" s="201">
        <f t="shared" si="22"/>
        <v>0.10375466500959844</v>
      </c>
      <c r="E126" s="167">
        <f t="shared" si="12"/>
        <v>0.10117011389595107</v>
      </c>
      <c r="F126" s="45">
        <f t="shared" si="23"/>
        <v>0.10375466500959844</v>
      </c>
      <c r="G126" s="183">
        <f t="shared" si="23"/>
        <v>0.10117011389595107</v>
      </c>
      <c r="H126" s="171">
        <f t="shared" si="20"/>
        <v>0.10375466500959844</v>
      </c>
      <c r="I126" s="235">
        <f t="shared" si="9"/>
        <v>0.10375466500959844</v>
      </c>
      <c r="J126" s="315">
        <f>IF(INVOER!$T$36=1,100-H126*100,100-I126*100)</f>
        <v>89.624533499040155</v>
      </c>
      <c r="K126" s="409">
        <f>IF(AND('Berekening trap 1'!$B$64=1,INVOER!$C$20=1),'Berekening trap 1'!U126,'Berekening trap 1'!V126)</f>
        <v>0.21927358375390438</v>
      </c>
      <c r="L126" s="380">
        <f t="shared" si="24"/>
        <v>2.6337229926044112</v>
      </c>
      <c r="M126" s="380">
        <f t="shared" si="29"/>
        <v>43.302681172530058</v>
      </c>
      <c r="N126" s="375">
        <f>'Berekening trap 2'!H126*$L126</f>
        <v>0.27326104682574781</v>
      </c>
      <c r="O126" s="376">
        <f>'Berekening trap 2'!I126*$L126</f>
        <v>0.27326104682574781</v>
      </c>
      <c r="Q126" s="396">
        <f t="shared" si="25"/>
        <v>96.982524598670992</v>
      </c>
      <c r="R126" s="6">
        <f t="shared" si="10"/>
        <v>6.5510296840050808</v>
      </c>
      <c r="S126" s="380">
        <f>1/100*'Berekening trap 1'!T126*INVOER!$W$19*1000</f>
        <v>0.89333533645754526</v>
      </c>
      <c r="T126" s="380">
        <f t="shared" si="26"/>
        <v>0.75540743086646278</v>
      </c>
      <c r="U126" s="44">
        <f t="shared" si="16"/>
        <v>90.316304253263652</v>
      </c>
      <c r="V126" s="380">
        <f t="shared" si="27"/>
        <v>2.6337229926044112</v>
      </c>
      <c r="W126" s="44">
        <f t="shared" si="21"/>
        <v>43.302681172530058</v>
      </c>
      <c r="X126" s="145">
        <f>IF(AND(INVOER!$T$36=1,INVOER!E69=1),1/100*N126*INVOER!$W$20*1000,1/100*O126*INVOER!$W$20*1000)</f>
        <v>2.6956174028986181E-2</v>
      </c>
      <c r="Y126" s="6">
        <f t="shared" si="28"/>
        <v>1.7607411571187688</v>
      </c>
      <c r="Z126" s="44">
        <f t="shared" si="18"/>
        <v>12.298659507753648</v>
      </c>
      <c r="AA126" s="6"/>
      <c r="AB126" s="6"/>
      <c r="AC126" s="6"/>
      <c r="AD126" s="6"/>
      <c r="AE126" s="6"/>
      <c r="AF126" s="6"/>
    </row>
    <row r="127" spans="1:32" x14ac:dyDescent="0.2">
      <c r="A127" s="271">
        <f>'Berekening trap 1'!A127</f>
        <v>7.0667929858703467</v>
      </c>
      <c r="B127" s="6">
        <f t="shared" si="19"/>
        <v>6.891989263048929</v>
      </c>
      <c r="C127" s="168">
        <f t="shared" si="15"/>
        <v>6.7439110833717297</v>
      </c>
      <c r="D127" s="200">
        <f t="shared" si="22"/>
        <v>9.4455483075283508E-2</v>
      </c>
      <c r="E127" s="197">
        <f t="shared" si="12"/>
        <v>9.3167619133809762E-2</v>
      </c>
      <c r="F127" s="43">
        <f t="shared" si="23"/>
        <v>9.4455483075283508E-2</v>
      </c>
      <c r="G127" s="155">
        <f t="shared" si="23"/>
        <v>9.3167619133809762E-2</v>
      </c>
      <c r="H127" s="170">
        <f t="shared" si="20"/>
        <v>9.4455483075283508E-2</v>
      </c>
      <c r="I127" s="179">
        <f t="shared" si="9"/>
        <v>9.4455483075283508E-2</v>
      </c>
      <c r="J127" s="314">
        <f>IF(INVOER!$T$36=1,100-H127*100,100-I127*100)</f>
        <v>90.554451692471645</v>
      </c>
      <c r="K127" s="408">
        <f>IF(AND('Berekening trap 1'!$B$64=1,INVOER!$C$20=1),'Berekening trap 1'!U127,'Berekening trap 1'!V127)</f>
        <v>0.21737195950793717</v>
      </c>
      <c r="L127" s="381">
        <f t="shared" si="24"/>
        <v>2.6108823411490181</v>
      </c>
      <c r="M127" s="381">
        <f t="shared" si="29"/>
        <v>40.691798831381043</v>
      </c>
      <c r="N127" s="372">
        <f>'Berekening trap 2'!H127*$L127</f>
        <v>0.24661215278595766</v>
      </c>
      <c r="O127" s="373">
        <f>'Berekening trap 2'!I127*$L127</f>
        <v>0.24661215278595766</v>
      </c>
      <c r="Q127" s="396">
        <f t="shared" si="25"/>
        <v>97.477668119755137</v>
      </c>
      <c r="R127" s="6">
        <f t="shared" si="10"/>
        <v>6.891989263048929</v>
      </c>
      <c r="S127" s="380">
        <f>1/100*'Berekening trap 1'!T127*INVOER!$W$19*1000</f>
        <v>0.96447898463680548</v>
      </c>
      <c r="T127" s="380">
        <f t="shared" si="26"/>
        <v>0.81556674428472975</v>
      </c>
      <c r="U127" s="44">
        <f t="shared" si="16"/>
        <v>89.500737508978929</v>
      </c>
      <c r="V127" s="380">
        <f t="shared" si="27"/>
        <v>2.6108823411490181</v>
      </c>
      <c r="W127" s="44">
        <f t="shared" si="21"/>
        <v>40.691798831381043</v>
      </c>
      <c r="X127" s="145">
        <f>IF(AND(INVOER!$T$36=1,INVOER!E70=1),1/100*N127*INVOER!$W$20*1000,1/100*O127*INVOER!$W$20*1000)</f>
        <v>2.4327360907756092E-2</v>
      </c>
      <c r="Y127" s="6">
        <f t="shared" si="28"/>
        <v>1.5890306075449889</v>
      </c>
      <c r="Z127" s="44">
        <f t="shared" si="18"/>
        <v>10.709628900208658</v>
      </c>
      <c r="AA127" s="6"/>
      <c r="AB127" s="6"/>
      <c r="AC127" s="6"/>
      <c r="AD127" s="6"/>
      <c r="AE127" s="6"/>
      <c r="AF127" s="6"/>
    </row>
    <row r="128" spans="1:32" x14ac:dyDescent="0.2">
      <c r="A128" s="271">
        <f>'Berekening trap 1'!A128</f>
        <v>7.4345963508185102</v>
      </c>
      <c r="B128" s="6">
        <f t="shared" si="19"/>
        <v>7.250694668344428</v>
      </c>
      <c r="C128" s="168">
        <f t="shared" si="15"/>
        <v>7.0949095057586353</v>
      </c>
      <c r="D128" s="200">
        <f t="shared" si="22"/>
        <v>8.5691940576489239E-2</v>
      </c>
      <c r="E128" s="197">
        <f t="shared" si="12"/>
        <v>8.5538352551174396E-2</v>
      </c>
      <c r="F128" s="43">
        <f t="shared" si="23"/>
        <v>8.5691940576489239E-2</v>
      </c>
      <c r="G128" s="155">
        <f t="shared" si="23"/>
        <v>8.5538352551174396E-2</v>
      </c>
      <c r="H128" s="170">
        <f t="shared" si="20"/>
        <v>8.5691940576489239E-2</v>
      </c>
      <c r="I128" s="179">
        <f t="shared" si="9"/>
        <v>8.5691940576489239E-2</v>
      </c>
      <c r="J128" s="314">
        <f>IF(INVOER!$T$36=1,100-H128*100,100-I128*100)</f>
        <v>91.430805942351071</v>
      </c>
      <c r="K128" s="408">
        <f>IF(AND('Berekening trap 1'!$B$64=1,INVOER!$C$20=1),'Berekening trap 1'!U128,'Berekening trap 1'!V128)</f>
        <v>0.21420920902169505</v>
      </c>
      <c r="L128" s="380">
        <f t="shared" si="24"/>
        <v>2.5728941415087214</v>
      </c>
      <c r="M128" s="380">
        <f t="shared" si="29"/>
        <v>38.118904689872323</v>
      </c>
      <c r="N128" s="375">
        <f>'Berekening trap 2'!H128*$L128</f>
        <v>0.22047629188376267</v>
      </c>
      <c r="O128" s="376">
        <f>'Berekening trap 2'!I128*$L128</f>
        <v>0.22047629188376267</v>
      </c>
      <c r="Q128" s="396">
        <f t="shared" si="25"/>
        <v>97.909707243460772</v>
      </c>
      <c r="R128" s="6">
        <f t="shared" si="10"/>
        <v>7.250694668344428</v>
      </c>
      <c r="S128" s="380">
        <f>1/100*'Berekening trap 1'!T128*INVOER!$W$19*1000</f>
        <v>1.0404837555430162</v>
      </c>
      <c r="T128" s="380">
        <f t="shared" si="26"/>
        <v>0.87983663978839122</v>
      </c>
      <c r="U128" s="44">
        <f t="shared" si="16"/>
        <v>88.620900869190535</v>
      </c>
      <c r="V128" s="380">
        <f t="shared" si="27"/>
        <v>2.5728941415087214</v>
      </c>
      <c r="W128" s="44">
        <f t="shared" si="21"/>
        <v>38.118904689872323</v>
      </c>
      <c r="X128" s="145">
        <f>IF(AND(INVOER!$T$36=1,INVOER!E71=1),1/100*N128*INVOER!$W$20*1000,1/100*O128*INVOER!$W$20*1000)</f>
        <v>2.1749156575082938E-2</v>
      </c>
      <c r="Y128" s="6">
        <f t="shared" si="28"/>
        <v>1.4206257562067339</v>
      </c>
      <c r="Z128" s="44">
        <f t="shared" si="18"/>
        <v>9.2890031440019243</v>
      </c>
      <c r="AA128" s="6"/>
      <c r="AB128" s="6"/>
      <c r="AC128" s="6"/>
      <c r="AD128" s="6"/>
      <c r="AE128" s="6"/>
      <c r="AF128" s="6"/>
    </row>
    <row r="129" spans="1:32" x14ac:dyDescent="0.2">
      <c r="A129" s="271">
        <f>'Berekening trap 1'!A129</f>
        <v>7.8215426729097057</v>
      </c>
      <c r="B129" s="6">
        <f t="shared" si="19"/>
        <v>7.6280695118641084</v>
      </c>
      <c r="C129" s="168">
        <f t="shared" si="15"/>
        <v>7.4641762432219165</v>
      </c>
      <c r="D129" s="200">
        <f t="shared" si="22"/>
        <v>7.7461832363251798E-2</v>
      </c>
      <c r="E129" s="197">
        <f t="shared" si="12"/>
        <v>7.828739900693682E-2</v>
      </c>
      <c r="F129" s="43">
        <f t="shared" si="23"/>
        <v>7.7461832363251798E-2</v>
      </c>
      <c r="G129" s="155">
        <f t="shared" si="23"/>
        <v>7.828739900693682E-2</v>
      </c>
      <c r="H129" s="170">
        <f t="shared" si="20"/>
        <v>7.7461832363251798E-2</v>
      </c>
      <c r="I129" s="179">
        <f t="shared" si="9"/>
        <v>7.7461832363251798E-2</v>
      </c>
      <c r="J129" s="314">
        <f>IF(INVOER!$T$36=1,100-H129*100,100-I129*100)</f>
        <v>92.25381676367482</v>
      </c>
      <c r="K129" s="408">
        <f>IF(AND('Berekening trap 1'!$B$64=1,INVOER!$C$20=1),'Berekening trap 1'!U129,'Berekening trap 1'!V129)</f>
        <v>0.20976188464029105</v>
      </c>
      <c r="L129" s="380">
        <f t="shared" si="24"/>
        <v>2.5194767609088782</v>
      </c>
      <c r="M129" s="380">
        <f t="shared" si="29"/>
        <v>35.599427928963443</v>
      </c>
      <c r="N129" s="375">
        <f>'Berekening trap 2'!H129*$L129</f>
        <v>0.19516328649663214</v>
      </c>
      <c r="O129" s="376">
        <f>'Berekening trap 2'!I129*$L129</f>
        <v>0.19516328649663214</v>
      </c>
      <c r="Q129" s="396">
        <f t="shared" si="25"/>
        <v>98.283410623478588</v>
      </c>
      <c r="R129" s="6">
        <f t="shared" si="10"/>
        <v>7.6280695118641084</v>
      </c>
      <c r="S129" s="380">
        <f>1/100*'Berekening trap 1'!T129*INVOER!$W$19*1000</f>
        <v>1.121533437524951</v>
      </c>
      <c r="T129" s="380">
        <f t="shared" si="26"/>
        <v>0.94837252943684347</v>
      </c>
      <c r="U129" s="44">
        <f t="shared" si="16"/>
        <v>87.672528339753697</v>
      </c>
      <c r="V129" s="380">
        <f t="shared" si="27"/>
        <v>2.5194767609088782</v>
      </c>
      <c r="W129" s="44">
        <f t="shared" si="21"/>
        <v>35.599427928963443</v>
      </c>
      <c r="X129" s="145">
        <f>IF(AND(INVOER!$T$36=1,INVOER!E72=1),1/100*N129*INVOER!$W$20*1000,1/100*O129*INVOER!$W$20*1000)</f>
        <v>1.9252123842688894E-2</v>
      </c>
      <c r="Y129" s="6">
        <f t="shared" si="28"/>
        <v>1.2575229250011182</v>
      </c>
      <c r="Z129" s="44">
        <f t="shared" si="18"/>
        <v>8.0314802190008052</v>
      </c>
      <c r="AA129" s="6"/>
      <c r="AB129" s="6"/>
      <c r="AC129" s="6"/>
      <c r="AD129" s="6"/>
      <c r="AE129" s="6"/>
      <c r="AF129" s="6"/>
    </row>
    <row r="130" spans="1:32" x14ac:dyDescent="0.2">
      <c r="A130" s="271">
        <f>'Berekening trap 1'!A130</f>
        <v>8.2286282801906641</v>
      </c>
      <c r="B130" s="6">
        <f t="shared" si="19"/>
        <v>8.0250854765501849</v>
      </c>
      <c r="C130" s="168">
        <f t="shared" si="15"/>
        <v>7.8526621015613838</v>
      </c>
      <c r="D130" s="200">
        <f t="shared" si="22"/>
        <v>6.9760577250159481E-2</v>
      </c>
      <c r="E130" s="197">
        <f t="shared" si="12"/>
        <v>7.1418078585767292E-2</v>
      </c>
      <c r="F130" s="43">
        <f t="shared" si="23"/>
        <v>6.9760577250159481E-2</v>
      </c>
      <c r="G130" s="155">
        <f t="shared" si="23"/>
        <v>7.1418078585767292E-2</v>
      </c>
      <c r="H130" s="170">
        <f t="shared" si="20"/>
        <v>7.1418078585767292E-2</v>
      </c>
      <c r="I130" s="179">
        <f t="shared" si="9"/>
        <v>7.1418078585767292E-2</v>
      </c>
      <c r="J130" s="314">
        <f>IF(INVOER!$T$36=1,100-H130*100,100-I130*100)</f>
        <v>92.858192141423274</v>
      </c>
      <c r="K130" s="408">
        <f>IF(AND('Berekening trap 1'!$B$64=1,INVOER!$C$20=1),'Berekening trap 1'!U130,'Berekening trap 1'!V130)</f>
        <v>0.20403027567600945</v>
      </c>
      <c r="L130" s="380">
        <f t="shared" si="24"/>
        <v>2.4506336743162498</v>
      </c>
      <c r="M130" s="380">
        <f t="shared" si="29"/>
        <v>33.148794254647193</v>
      </c>
      <c r="N130" s="375">
        <f>'Berekening trap 2'!H130*$L130</f>
        <v>0.17501954833724556</v>
      </c>
      <c r="O130" s="376">
        <f>'Berekening trap 2'!I130*$L130</f>
        <v>0.17501954833724556</v>
      </c>
      <c r="Q130" s="396">
        <f t="shared" si="25"/>
        <v>98.570526525595866</v>
      </c>
      <c r="R130" s="6">
        <f t="shared" si="10"/>
        <v>8.0250854765501849</v>
      </c>
      <c r="S130" s="380">
        <f>1/100*'Berekening trap 1'!T130*INVOER!$W$19*1000</f>
        <v>1.2077887544104691</v>
      </c>
      <c r="T130" s="380">
        <f t="shared" si="26"/>
        <v>1.0213103218513253</v>
      </c>
      <c r="U130" s="44">
        <f t="shared" si="16"/>
        <v>86.651218017902366</v>
      </c>
      <c r="V130" s="380">
        <f t="shared" si="27"/>
        <v>2.4506336743162498</v>
      </c>
      <c r="W130" s="44">
        <f t="shared" si="21"/>
        <v>33.148794254647193</v>
      </c>
      <c r="X130" s="145">
        <f>IF(AND(INVOER!$T$36=1,INVOER!E73=1),1/100*N130*INVOER!$W$20*1000,1/100*O130*INVOER!$W$20*1000)</f>
        <v>1.7265019871133765E-2</v>
      </c>
      <c r="Y130" s="6">
        <f t="shared" si="28"/>
        <v>1.1277279569752769</v>
      </c>
      <c r="Z130" s="44">
        <f t="shared" si="18"/>
        <v>6.9037522620255283</v>
      </c>
      <c r="AA130" s="6"/>
      <c r="AB130" s="6"/>
      <c r="AC130" s="6"/>
      <c r="AD130" s="6"/>
      <c r="AE130" s="6"/>
      <c r="AF130" s="6"/>
    </row>
    <row r="131" spans="1:32" x14ac:dyDescent="0.2">
      <c r="A131" s="271">
        <f>'Berekening trap 1'!A131</f>
        <v>8.6569013563106374</v>
      </c>
      <c r="B131" s="46">
        <f t="shared" si="19"/>
        <v>8.4427648182506516</v>
      </c>
      <c r="C131" s="182">
        <f t="shared" si="15"/>
        <v>8.2613673728959292</v>
      </c>
      <c r="D131" s="201">
        <f t="shared" si="22"/>
        <v>6.2581234691313978E-2</v>
      </c>
      <c r="E131" s="167">
        <f t="shared" si="12"/>
        <v>6.4931908559923493E-2</v>
      </c>
      <c r="F131" s="45">
        <f t="shared" si="23"/>
        <v>6.2581234691313978E-2</v>
      </c>
      <c r="G131" s="183">
        <f t="shared" si="23"/>
        <v>6.4931908559923493E-2</v>
      </c>
      <c r="H131" s="171">
        <f t="shared" si="20"/>
        <v>6.4931908559923493E-2</v>
      </c>
      <c r="I131" s="235">
        <f t="shared" si="9"/>
        <v>6.4931908559923493E-2</v>
      </c>
      <c r="J131" s="314">
        <f>IF(INVOER!$T$36=1,100-H131*100,100-I131*100)</f>
        <v>93.506809144007647</v>
      </c>
      <c r="K131" s="408">
        <f>IF(AND('Berekening trap 1'!$B$64=1,INVOER!$C$20=1),'Berekening trap 1'!U131,'Berekening trap 1'!V131)</f>
        <v>0.19704104255126861</v>
      </c>
      <c r="L131" s="377">
        <f t="shared" si="24"/>
        <v>2.3666851034662302</v>
      </c>
      <c r="M131" s="377">
        <f t="shared" si="29"/>
        <v>30.782109151180961</v>
      </c>
      <c r="N131" s="378">
        <f>'Berekening trap 2'!H131*$L131</f>
        <v>0.15367338072840234</v>
      </c>
      <c r="O131" s="379">
        <f>'Berekening trap 2'!I131*$L131</f>
        <v>0.15367338072840234</v>
      </c>
      <c r="Q131" s="396">
        <f t="shared" si="25"/>
        <v>98.833343378047644</v>
      </c>
      <c r="R131" s="6">
        <f t="shared" si="10"/>
        <v>8.4427648182506516</v>
      </c>
      <c r="S131" s="380">
        <f>1/100*'Berekening trap 1'!T131*INVOER!$W$19*1000</f>
        <v>1.2993798238236667</v>
      </c>
      <c r="T131" s="380">
        <f t="shared" si="26"/>
        <v>1.0987600449419821</v>
      </c>
      <c r="U131" s="44">
        <f t="shared" si="16"/>
        <v>85.552457972960383</v>
      </c>
      <c r="V131" s="380">
        <f t="shared" si="27"/>
        <v>2.3666851034662302</v>
      </c>
      <c r="W131" s="44">
        <f t="shared" si="21"/>
        <v>30.782109151180961</v>
      </c>
      <c r="X131" s="145">
        <f>IF(AND(INVOER!$T$36=1,INVOER!E74=1),1/100*N131*INVOER!$W$20*1000,1/100*O131*INVOER!$W$20*1000)</f>
        <v>1.5159300758951591E-2</v>
      </c>
      <c r="Y131" s="6">
        <f t="shared" si="28"/>
        <v>0.9901852069483662</v>
      </c>
      <c r="Z131" s="44">
        <f t="shared" si="18"/>
        <v>5.913567055077162</v>
      </c>
      <c r="AA131" s="6"/>
      <c r="AB131" s="6"/>
      <c r="AC131" s="6"/>
      <c r="AD131" s="6"/>
      <c r="AE131" s="6"/>
      <c r="AF131" s="6"/>
    </row>
    <row r="132" spans="1:32" x14ac:dyDescent="0.2">
      <c r="A132" s="270">
        <f>'Berekening trap 1'!A132</f>
        <v>9.1074646394352001</v>
      </c>
      <c r="B132" s="6">
        <f t="shared" si="19"/>
        <v>8.8821829978729188</v>
      </c>
      <c r="C132" s="168">
        <f t="shared" si="15"/>
        <v>8.6913444112639002</v>
      </c>
      <c r="D132" s="200">
        <f t="shared" si="22"/>
        <v>5.5914550237813131E-2</v>
      </c>
      <c r="E132" s="197">
        <f t="shared" si="12"/>
        <v>5.8828583409040222E-2</v>
      </c>
      <c r="F132" s="43">
        <f t="shared" si="23"/>
        <v>5.5914550237813131E-2</v>
      </c>
      <c r="G132" s="155">
        <f t="shared" si="23"/>
        <v>5.8828583409040222E-2</v>
      </c>
      <c r="H132" s="170">
        <f t="shared" si="20"/>
        <v>5.8828583409040222E-2</v>
      </c>
      <c r="I132" s="179">
        <f t="shared" si="9"/>
        <v>5.8828583409040222E-2</v>
      </c>
      <c r="J132" s="313">
        <f>IF(INVOER!$T$36=1,100-H132*100,100-I132*100)</f>
        <v>94.117141659095978</v>
      </c>
      <c r="K132" s="407">
        <f>IF(AND('Berekening trap 1'!$B$64=1,INVOER!$C$20=1),'Berekening trap 1'!U132,'Berekening trap 1'!V132)</f>
        <v>0.18884920315022724</v>
      </c>
      <c r="L132" s="380">
        <f t="shared" si="24"/>
        <v>2.268291875185438</v>
      </c>
      <c r="M132" s="380">
        <f t="shared" si="29"/>
        <v>28.513817275995525</v>
      </c>
      <c r="N132" s="375">
        <f>'Berekening trap 2'!H132*$L132</f>
        <v>0.13344039777539479</v>
      </c>
      <c r="O132" s="376">
        <f>'Berekening trap 2'!I132*$L132</f>
        <v>0.13344039777539479</v>
      </c>
      <c r="Q132" s="396">
        <f t="shared" si="25"/>
        <v>99.057331878065654</v>
      </c>
      <c r="R132" s="6">
        <f t="shared" si="10"/>
        <v>8.8821829978729188</v>
      </c>
      <c r="S132" s="380">
        <f>1/100*'Berekening trap 1'!T132*INVOER!$W$19*1000</f>
        <v>1.3963973977723232</v>
      </c>
      <c r="T132" s="380">
        <f t="shared" si="26"/>
        <v>1.1807984389185024</v>
      </c>
      <c r="U132" s="44">
        <f t="shared" si="16"/>
        <v>84.371659534041882</v>
      </c>
      <c r="V132" s="380">
        <f t="shared" si="27"/>
        <v>2.268291875185438</v>
      </c>
      <c r="W132" s="44">
        <f t="shared" si="21"/>
        <v>28.513817275995525</v>
      </c>
      <c r="X132" s="145">
        <f>IF(AND(INVOER!$T$36=1,INVOER!E75=1),1/100*N132*INVOER!$W$20*1000,1/100*O132*INVOER!$W$20*1000)</f>
        <v>1.3163393124320542E-2</v>
      </c>
      <c r="Y132" s="6">
        <f t="shared" si="28"/>
        <v>0.85981519545031271</v>
      </c>
      <c r="Z132" s="44">
        <f t="shared" si="18"/>
        <v>5.0537518596268489</v>
      </c>
      <c r="AA132" s="6"/>
      <c r="AB132" s="6"/>
      <c r="AC132" s="6"/>
      <c r="AD132" s="6"/>
      <c r="AE132" s="6"/>
      <c r="AF132" s="6"/>
    </row>
    <row r="133" spans="1:32" x14ac:dyDescent="0.2">
      <c r="A133" s="271">
        <f>'Berekening trap 1'!A133</f>
        <v>9.581478261629643</v>
      </c>
      <c r="B133" s="6">
        <f t="shared" si="19"/>
        <v>9.3444714505324207</v>
      </c>
      <c r="C133" s="168">
        <f t="shared" si="15"/>
        <v>9.1437003422750269</v>
      </c>
      <c r="D133" s="200">
        <f t="shared" si="22"/>
        <v>4.9749030202146133E-2</v>
      </c>
      <c r="E133" s="197">
        <f t="shared" si="12"/>
        <v>5.3105974010639288E-2</v>
      </c>
      <c r="F133" s="43">
        <f t="shared" si="23"/>
        <v>4.9749030202146133E-2</v>
      </c>
      <c r="G133" s="155">
        <f t="shared" si="23"/>
        <v>5.3105974010639288E-2</v>
      </c>
      <c r="H133" s="170">
        <f t="shared" si="20"/>
        <v>5.3105974010639288E-2</v>
      </c>
      <c r="I133" s="179">
        <f t="shared" si="9"/>
        <v>5.3105974010639288E-2</v>
      </c>
      <c r="J133" s="314">
        <f>IF(INVOER!$T$36=1,100-H133*100,100-I133*100)</f>
        <v>94.68940259893607</v>
      </c>
      <c r="K133" s="408">
        <f>IF(AND('Berekening trap 1'!$B$64=1,INVOER!$C$20=1),'Berekening trap 1'!U133,'Berekening trap 1'!V133)</f>
        <v>0.17953925697293319</v>
      </c>
      <c r="L133" s="380">
        <f t="shared" si="24"/>
        <v>2.1564689237506309</v>
      </c>
      <c r="M133" s="380">
        <f t="shared" si="29"/>
        <v>26.357348352244895</v>
      </c>
      <c r="N133" s="375">
        <f>'Berekening trap 2'!H133*$L133</f>
        <v>0.11452138261945229</v>
      </c>
      <c r="O133" s="376">
        <f>'Berekening trap 2'!I133*$L133</f>
        <v>0.11452138261945229</v>
      </c>
      <c r="Q133" s="396">
        <f t="shared" si="25"/>
        <v>99.246298406737239</v>
      </c>
      <c r="R133" s="6">
        <f t="shared" si="10"/>
        <v>9.3444714505324207</v>
      </c>
      <c r="S133" s="380">
        <f>1/100*'Berekening trap 1'!T133*INVOER!$W$19*1000</f>
        <v>1.4988827898984569</v>
      </c>
      <c r="T133" s="380">
        <f t="shared" si="26"/>
        <v>1.2674604387385713</v>
      </c>
      <c r="U133" s="44">
        <f t="shared" si="16"/>
        <v>83.104199095303315</v>
      </c>
      <c r="V133" s="380">
        <f t="shared" si="27"/>
        <v>2.1564689237506309</v>
      </c>
      <c r="W133" s="44">
        <f t="shared" si="21"/>
        <v>26.357348352244895</v>
      </c>
      <c r="X133" s="145">
        <f>IF(AND(INVOER!$T$36=1,INVOER!E76=1),1/100*N133*INVOER!$W$20*1000,1/100*O133*INVOER!$W$20*1000)</f>
        <v>1.1297103468606027E-2</v>
      </c>
      <c r="Y133" s="6">
        <f t="shared" si="28"/>
        <v>0.73791165660284697</v>
      </c>
      <c r="Z133" s="44">
        <f t="shared" si="18"/>
        <v>4.3158402030240017</v>
      </c>
      <c r="AA133" s="6"/>
      <c r="AB133" s="6"/>
      <c r="AC133" s="6"/>
      <c r="AD133" s="6"/>
      <c r="AE133" s="6"/>
      <c r="AF133" s="6"/>
    </row>
    <row r="134" spans="1:32" x14ac:dyDescent="0.2">
      <c r="A134" s="271">
        <f>'Berekening trap 1'!A134</f>
        <v>10.080162736022951</v>
      </c>
      <c r="B134" s="6">
        <f t="shared" si="19"/>
        <v>9.8308204988262968</v>
      </c>
      <c r="C134" s="168">
        <f t="shared" si="15"/>
        <v>9.6195999137908093</v>
      </c>
      <c r="D134" s="200">
        <f t="shared" si="22"/>
        <v>4.407104539060825E-2</v>
      </c>
      <c r="E134" s="197">
        <f t="shared" si="12"/>
        <v>4.776014683319927E-2</v>
      </c>
      <c r="F134" s="43">
        <f t="shared" si="23"/>
        <v>4.407104539060825E-2</v>
      </c>
      <c r="G134" s="155">
        <f t="shared" si="23"/>
        <v>4.776014683319927E-2</v>
      </c>
      <c r="H134" s="170">
        <f t="shared" si="20"/>
        <v>4.776014683319927E-2</v>
      </c>
      <c r="I134" s="179">
        <f t="shared" si="9"/>
        <v>4.776014683319927E-2</v>
      </c>
      <c r="J134" s="314">
        <f>IF(INVOER!$T$36=1,100-H134*100,100-I134*100)</f>
        <v>95.223985316680071</v>
      </c>
      <c r="K134" s="408">
        <f>IF(AND('Berekening trap 1'!$B$64=1,INVOER!$C$20=1),'Berekening trap 1'!U134,'Berekening trap 1'!V134)</f>
        <v>0.17843883159578536</v>
      </c>
      <c r="L134" s="380">
        <f t="shared" si="24"/>
        <v>2.143251574137317</v>
      </c>
      <c r="M134" s="380">
        <f t="shared" si="29"/>
        <v>24.214096778107578</v>
      </c>
      <c r="N134" s="375">
        <f>'Berekening trap 2'!H134*$L134</f>
        <v>0.10236200988128373</v>
      </c>
      <c r="O134" s="376">
        <f>'Berekening trap 2'!I134*$L134</f>
        <v>0.10236200988128373</v>
      </c>
      <c r="Q134" s="396">
        <f t="shared" si="25"/>
        <v>99.404023902160631</v>
      </c>
      <c r="R134" s="6">
        <f t="shared" si="10"/>
        <v>9.8308204988262968</v>
      </c>
      <c r="S134" s="380">
        <f>1/100*'Berekening trap 1'!T134*INVOER!$W$19*1000</f>
        <v>1.6943006839520651</v>
      </c>
      <c r="T134" s="380">
        <f t="shared" si="26"/>
        <v>1.4327064815938191</v>
      </c>
      <c r="U134" s="44">
        <f t="shared" si="16"/>
        <v>81.671492613709489</v>
      </c>
      <c r="V134" s="380">
        <f t="shared" si="27"/>
        <v>2.143251574137317</v>
      </c>
      <c r="W134" s="44">
        <f t="shared" si="21"/>
        <v>24.214096778107578</v>
      </c>
      <c r="X134" s="145">
        <f>IF(AND(INVOER!$T$36=1,INVOER!E77=1),1/100*N134*INVOER!$W$20*1000,1/100*O134*INVOER!$W$20*1000)</f>
        <v>1.0097627101883354E-2</v>
      </c>
      <c r="Y134" s="6">
        <f t="shared" si="28"/>
        <v>0.65956346803540111</v>
      </c>
      <c r="Z134" s="44">
        <f t="shared" si="18"/>
        <v>3.6562767349886007</v>
      </c>
      <c r="AA134" s="6"/>
      <c r="AB134" s="6"/>
      <c r="AC134" s="6"/>
      <c r="AD134" s="6"/>
      <c r="AE134" s="6"/>
      <c r="AF134" s="6"/>
    </row>
    <row r="135" spans="1:32" x14ac:dyDescent="0.2">
      <c r="A135" s="271">
        <f>'Berekening trap 1'!A135</f>
        <v>10.604802099443855</v>
      </c>
      <c r="B135" s="6">
        <f t="shared" si="19"/>
        <v>10.342482417733404</v>
      </c>
      <c r="C135" s="168">
        <f t="shared" si="15"/>
        <v>10.120268494973477</v>
      </c>
      <c r="D135" s="200">
        <f t="shared" si="22"/>
        <v>3.8864963158076242E-2</v>
      </c>
      <c r="E135" s="197">
        <f t="shared" si="12"/>
        <v>4.2785403640031403E-2</v>
      </c>
      <c r="F135" s="43">
        <f t="shared" si="23"/>
        <v>3.8864963158076242E-2</v>
      </c>
      <c r="G135" s="155">
        <f t="shared" si="23"/>
        <v>4.2785403640031403E-2</v>
      </c>
      <c r="H135" s="170">
        <f t="shared" si="20"/>
        <v>4.2785403640031403E-2</v>
      </c>
      <c r="I135" s="179">
        <f t="shared" si="9"/>
        <v>4.2785403640031403E-2</v>
      </c>
      <c r="J135" s="314">
        <f>IF(INVOER!$T$36=1,100-H135*100,100-I135*100)</f>
        <v>95.721459635996865</v>
      </c>
      <c r="K135" s="408">
        <f>IF(AND('Berekening trap 1'!$B$64=1,INVOER!$C$20=1),'Berekening trap 1'!U135,'Berekening trap 1'!V135)</f>
        <v>0.21395606280375262</v>
      </c>
      <c r="L135" s="380">
        <f t="shared" si="24"/>
        <v>2.5698535699849119</v>
      </c>
      <c r="M135" s="380">
        <f t="shared" si="29"/>
        <v>21.644243208122667</v>
      </c>
      <c r="N135" s="375">
        <f>'Berekening trap 2'!H135*$L135</f>
        <v>0.10995222228758014</v>
      </c>
      <c r="O135" s="376">
        <f>'Berekening trap 2'!I135*$L135</f>
        <v>0.10995222228758014</v>
      </c>
      <c r="Q135" s="396">
        <f t="shared" si="25"/>
        <v>99.534201307885056</v>
      </c>
      <c r="R135" s="6">
        <f t="shared" si="10"/>
        <v>10.342482417733404</v>
      </c>
      <c r="S135" s="380">
        <f>1/100*'Berekening trap 1'!T135*INVOER!$W$19*1000</f>
        <v>2.3285537676555097</v>
      </c>
      <c r="T135" s="380">
        <f t="shared" si="26"/>
        <v>1.9690330690760329</v>
      </c>
      <c r="U135" s="44">
        <f t="shared" si="16"/>
        <v>79.702459544633456</v>
      </c>
      <c r="V135" s="380">
        <f t="shared" si="27"/>
        <v>2.5698535699849119</v>
      </c>
      <c r="W135" s="44">
        <f t="shared" si="21"/>
        <v>21.644243208122667</v>
      </c>
      <c r="X135" s="145">
        <f>IF(AND(INVOER!$T$36=1,INVOER!E78=1),1/100*N135*INVOER!$W$20*1000,1/100*O135*INVOER!$W$20*1000)</f>
        <v>1.0846372994932527E-2</v>
      </c>
      <c r="Y135" s="6">
        <f t="shared" si="28"/>
        <v>0.70847054619484984</v>
      </c>
      <c r="Z135" s="44">
        <f t="shared" si="18"/>
        <v>2.9478061887937508</v>
      </c>
      <c r="AA135" s="6"/>
      <c r="AB135" s="6"/>
      <c r="AC135" s="6"/>
      <c r="AD135" s="6"/>
      <c r="AE135" s="6"/>
      <c r="AF135" s="6"/>
    </row>
    <row r="136" spans="1:32" x14ac:dyDescent="0.2">
      <c r="A136" s="272">
        <f>'Berekening trap 1'!A136</f>
        <v>11.156747218620771</v>
      </c>
      <c r="B136" s="46">
        <f t="shared" si="19"/>
        <v>10.880774659032312</v>
      </c>
      <c r="C136" s="182">
        <f t="shared" si="15"/>
        <v>10.646995231425583</v>
      </c>
      <c r="D136" s="201">
        <f t="shared" si="22"/>
        <v>3.4113306403936124E-2</v>
      </c>
      <c r="E136" s="167">
        <f t="shared" si="12"/>
        <v>3.8174341850578636E-2</v>
      </c>
      <c r="F136" s="45">
        <f t="shared" si="23"/>
        <v>3.4113306403936124E-2</v>
      </c>
      <c r="G136" s="183">
        <f t="shared" si="23"/>
        <v>3.8174341850578636E-2</v>
      </c>
      <c r="H136" s="171">
        <f t="shared" si="20"/>
        <v>3.8174341850578636E-2</v>
      </c>
      <c r="I136" s="235">
        <f t="shared" si="9"/>
        <v>3.8174341850578636E-2</v>
      </c>
      <c r="J136" s="315">
        <f>IF(INVOER!$T$36=1,100-H136*100,100-I136*100)</f>
        <v>96.182565814942137</v>
      </c>
      <c r="K136" s="409">
        <f>IF(AND('Berekening trap 1'!$B$64=1,INVOER!$C$20=1),'Berekening trap 1'!U136,'Berekening trap 1'!V136)</f>
        <v>0.20216333800763833</v>
      </c>
      <c r="L136" s="380">
        <f t="shared" si="24"/>
        <v>2.4282096477701853</v>
      </c>
      <c r="M136" s="380">
        <f t="shared" si="29"/>
        <v>19.216033560352482</v>
      </c>
      <c r="N136" s="375">
        <f>'Berekening trap 2'!H136*$L136</f>
        <v>9.2695305178852189E-2</v>
      </c>
      <c r="O136" s="376">
        <f>'Berekening trap 2'!I136*$L136</f>
        <v>9.2695305178852189E-2</v>
      </c>
      <c r="Q136" s="396">
        <f t="shared" si="25"/>
        <v>99.640378646516112</v>
      </c>
      <c r="R136" s="6">
        <f t="shared" si="10"/>
        <v>10.880774659032312</v>
      </c>
      <c r="S136" s="380">
        <f>1/100*'Berekening trap 1'!T136*INVOER!$W$19*1000</f>
        <v>2.5426863473943491</v>
      </c>
      <c r="T136" s="380">
        <f t="shared" si="26"/>
        <v>2.1501043144683414</v>
      </c>
      <c r="U136" s="44">
        <f t="shared" si="16"/>
        <v>77.552355230165119</v>
      </c>
      <c r="V136" s="380">
        <f t="shared" si="27"/>
        <v>2.4282096477701853</v>
      </c>
      <c r="W136" s="44">
        <f t="shared" si="21"/>
        <v>19.216033560352482</v>
      </c>
      <c r="X136" s="145">
        <f>IF(AND(INVOER!$T$36=1,INVOER!E79=1),1/100*N136*INVOER!$W$20*1000,1/100*O136*INVOER!$W$20*1000)</f>
        <v>9.1440430573498203E-3</v>
      </c>
      <c r="Y136" s="6">
        <f t="shared" si="28"/>
        <v>0.59727663637388595</v>
      </c>
      <c r="Z136" s="44">
        <f t="shared" si="18"/>
        <v>2.3505295524198648</v>
      </c>
      <c r="AA136" s="6"/>
      <c r="AB136" s="6"/>
      <c r="AC136" s="6"/>
      <c r="AD136" s="6"/>
      <c r="AE136" s="6"/>
      <c r="AF136" s="6"/>
    </row>
    <row r="137" spans="1:32" x14ac:dyDescent="0.2">
      <c r="A137" s="271">
        <f>'Berekening trap 1'!A137</f>
        <v>11.737419268458579</v>
      </c>
      <c r="B137" s="6">
        <f t="shared" si="19"/>
        <v>11.447083243539675</v>
      </c>
      <c r="C137" s="168">
        <f t="shared" si="15"/>
        <v>11.20113636454427</v>
      </c>
      <c r="D137" s="200">
        <f t="shared" si="22"/>
        <v>2.9796937481160354E-2</v>
      </c>
      <c r="E137" s="197">
        <f t="shared" si="12"/>
        <v>3.3917935312588736E-2</v>
      </c>
      <c r="F137" s="43">
        <f t="shared" si="23"/>
        <v>2.9796937481160354E-2</v>
      </c>
      <c r="G137" s="155">
        <f t="shared" si="23"/>
        <v>3.3917935312588736E-2</v>
      </c>
      <c r="H137" s="170">
        <f t="shared" si="20"/>
        <v>3.3917935312588736E-2</v>
      </c>
      <c r="I137" s="179">
        <f t="shared" si="9"/>
        <v>3.3917935312588736E-2</v>
      </c>
      <c r="J137" s="314">
        <f>IF(INVOER!$T$36=1,100-H137*100,100-I137*100)</f>
        <v>96.60820646874113</v>
      </c>
      <c r="K137" s="408">
        <f>IF(AND('Berekening trap 1'!$B$64=1,INVOER!$C$20=1),'Berekening trap 1'!U137,'Berekening trap 1'!V137)</f>
        <v>0.18877712236607391</v>
      </c>
      <c r="L137" s="381">
        <f t="shared" si="24"/>
        <v>2.2674261036898495</v>
      </c>
      <c r="M137" s="381">
        <f t="shared" si="29"/>
        <v>16.948607456662632</v>
      </c>
      <c r="N137" s="372">
        <f>'Berekening trap 2'!H137*$L137</f>
        <v>7.6906411911027442E-2</v>
      </c>
      <c r="O137" s="373">
        <f>'Berekening trap 2'!I137*$L137</f>
        <v>7.6906411911027442E-2</v>
      </c>
      <c r="Q137" s="396">
        <f t="shared" si="25"/>
        <v>99.72590946643237</v>
      </c>
      <c r="R137" s="6">
        <f t="shared" si="10"/>
        <v>11.447083243539675</v>
      </c>
      <c r="S137" s="380">
        <f>1/100*'Berekening trap 1'!T137*INVOER!$W$19*1000</f>
        <v>2.7678913419483138</v>
      </c>
      <c r="T137" s="380">
        <f t="shared" si="26"/>
        <v>2.3405384318837688</v>
      </c>
      <c r="U137" s="44">
        <f t="shared" si="16"/>
        <v>75.211816798281347</v>
      </c>
      <c r="V137" s="380">
        <f t="shared" si="27"/>
        <v>2.2674261036898495</v>
      </c>
      <c r="W137" s="44">
        <f t="shared" si="21"/>
        <v>16.948607456662632</v>
      </c>
      <c r="X137" s="145">
        <f>IF(AND(INVOER!$T$36=1,INVOER!E80=1),1/100*N137*INVOER!$W$20*1000,1/100*O137*INVOER!$W$20*1000)</f>
        <v>7.5865281477184732E-3</v>
      </c>
      <c r="Y137" s="6">
        <f t="shared" si="28"/>
        <v>0.49554185007724277</v>
      </c>
      <c r="Z137" s="44">
        <f t="shared" si="18"/>
        <v>1.854987702342622</v>
      </c>
      <c r="AA137" s="6"/>
      <c r="AB137" s="6"/>
      <c r="AC137" s="6"/>
      <c r="AD137" s="6"/>
      <c r="AE137" s="6"/>
      <c r="AF137" s="6"/>
    </row>
    <row r="138" spans="1:32" x14ac:dyDescent="0.2">
      <c r="A138" s="271">
        <f>'Berekening trap 1'!A138</f>
        <v>12.348313391348297</v>
      </c>
      <c r="B138" s="6">
        <f t="shared" si="19"/>
        <v>12.042866329903438</v>
      </c>
      <c r="C138" s="168">
        <f t="shared" si="15"/>
        <v>11.784118723636995</v>
      </c>
      <c r="D138" s="200">
        <f t="shared" si="22"/>
        <v>2.58952643524957E-2</v>
      </c>
      <c r="E138" s="197">
        <f t="shared" si="12"/>
        <v>3.0005634822257512E-2</v>
      </c>
      <c r="F138" s="43">
        <f t="shared" si="23"/>
        <v>2.58952643524957E-2</v>
      </c>
      <c r="G138" s="155">
        <f t="shared" si="23"/>
        <v>3.0005634822257512E-2</v>
      </c>
      <c r="H138" s="170">
        <f t="shared" si="20"/>
        <v>3.0005634822257512E-2</v>
      </c>
      <c r="I138" s="179">
        <f t="shared" si="9"/>
        <v>3.0005634822257512E-2</v>
      </c>
      <c r="J138" s="314">
        <f>IF(INVOER!$T$36=1,100-H138*100,100-I138*100)</f>
        <v>96.999436517774242</v>
      </c>
      <c r="K138" s="408">
        <f>IF(AND('Berekening trap 1'!$B$64=1,INVOER!$C$20=1),'Berekening trap 1'!U138,'Berekening trap 1'!V138)</f>
        <v>0.17532411955559579</v>
      </c>
      <c r="L138" s="380">
        <f t="shared" si="24"/>
        <v>2.1058403704020061</v>
      </c>
      <c r="M138" s="380">
        <f t="shared" si="29"/>
        <v>14.842767086260626</v>
      </c>
      <c r="N138" s="375">
        <f>'Berekening trap 2'!H138*$L138</f>
        <v>6.3187077148250087E-2</v>
      </c>
      <c r="O138" s="376">
        <f>'Berekening trap 2'!I138*$L138</f>
        <v>6.3187077148250087E-2</v>
      </c>
      <c r="Q138" s="396">
        <f t="shared" si="25"/>
        <v>99.792405231564942</v>
      </c>
      <c r="R138" s="6">
        <f t="shared" si="10"/>
        <v>12.042866329903438</v>
      </c>
      <c r="S138" s="380">
        <f>1/100*'Berekening trap 1'!T138*INVOER!$W$19*1000</f>
        <v>3.00256477760017</v>
      </c>
      <c r="T138" s="380">
        <f t="shared" si="26"/>
        <v>2.5389790956342275</v>
      </c>
      <c r="U138" s="44">
        <f t="shared" si="16"/>
        <v>72.672837702647115</v>
      </c>
      <c r="V138" s="380">
        <f t="shared" si="27"/>
        <v>2.1058403704020061</v>
      </c>
      <c r="W138" s="44">
        <f t="shared" si="21"/>
        <v>14.842767086260626</v>
      </c>
      <c r="X138" s="145">
        <f>IF(AND(INVOER!$T$36=1,INVOER!E81=1),1/100*N138*INVOER!$W$20*1000,1/100*O138*INVOER!$W$20*1000)</f>
        <v>6.2331673971714983E-3</v>
      </c>
      <c r="Y138" s="6">
        <f t="shared" si="28"/>
        <v>0.40714213981588165</v>
      </c>
      <c r="Z138" s="44">
        <f t="shared" si="18"/>
        <v>1.4478455625267403</v>
      </c>
      <c r="AA138" s="6"/>
      <c r="AB138" s="6"/>
      <c r="AC138" s="6"/>
      <c r="AD138" s="6"/>
      <c r="AE138" s="6"/>
      <c r="AF138" s="6"/>
    </row>
    <row r="139" spans="1:32" x14ac:dyDescent="0.2">
      <c r="A139" s="271">
        <f>'Berekening trap 1'!A139</f>
        <v>12.991002546931792</v>
      </c>
      <c r="B139" s="6">
        <f t="shared" si="19"/>
        <v>12.669657969140044</v>
      </c>
      <c r="C139" s="168">
        <f t="shared" si="15"/>
        <v>12.397443399790436</v>
      </c>
      <c r="D139" s="200">
        <f t="shared" si="22"/>
        <v>2.2386465720357199E-2</v>
      </c>
      <c r="E139" s="197">
        <f t="shared" si="12"/>
        <v>2.6425487300012353E-2</v>
      </c>
      <c r="F139" s="43">
        <f t="shared" ref="F139:G175" si="30">D139^($B$54*$B$63)</f>
        <v>2.2386465720357199E-2</v>
      </c>
      <c r="G139" s="155">
        <f t="shared" si="30"/>
        <v>2.6425487300012353E-2</v>
      </c>
      <c r="H139" s="170">
        <f t="shared" si="20"/>
        <v>2.6425487300012353E-2</v>
      </c>
      <c r="I139" s="179">
        <f t="shared" si="9"/>
        <v>2.6425487300012353E-2</v>
      </c>
      <c r="J139" s="314">
        <f>IF(INVOER!$T$36=1,100-H139*100,100-I139*100)</f>
        <v>97.357451269998762</v>
      </c>
      <c r="K139" s="408">
        <f>IF(AND('Berekening trap 1'!$B$64=1,INVOER!$C$20=1),'Berekening trap 1'!U139,'Berekening trap 1'!V139)</f>
        <v>0.16288103993933839</v>
      </c>
      <c r="L139" s="380">
        <f t="shared" si="24"/>
        <v>1.9563849534607447</v>
      </c>
      <c r="M139" s="380">
        <f t="shared" si="29"/>
        <v>12.886382132799881</v>
      </c>
      <c r="N139" s="375">
        <f>'Berekening trap 2'!H139*$L139</f>
        <v>5.1698425741612167E-2</v>
      </c>
      <c r="O139" s="376">
        <f>'Berekening trap 2'!I139*$L139</f>
        <v>5.1698425741612167E-2</v>
      </c>
      <c r="Q139" s="396">
        <f t="shared" si="25"/>
        <v>99.842812791366683</v>
      </c>
      <c r="R139" s="6">
        <f t="shared" si="10"/>
        <v>12.669657969140044</v>
      </c>
      <c r="S139" s="380">
        <f>1/100*'Berekening trap 1'!T139*INVOER!$W$19*1000</f>
        <v>3.2444466762416067</v>
      </c>
      <c r="T139" s="380">
        <f t="shared" si="26"/>
        <v>2.7435152604638757</v>
      </c>
      <c r="U139" s="44">
        <f t="shared" si="16"/>
        <v>69.929322442183235</v>
      </c>
      <c r="V139" s="380">
        <f t="shared" si="27"/>
        <v>1.9563849534607447</v>
      </c>
      <c r="W139" s="44">
        <f t="shared" si="21"/>
        <v>12.886382132799881</v>
      </c>
      <c r="X139" s="145">
        <f>IF(AND(INVOER!$T$36=1,INVOER!E82=1),1/100*N139*INVOER!$W$20*1000,1/100*O139*INVOER!$W$20*1000)</f>
        <v>5.0998551659804537E-3</v>
      </c>
      <c r="Y139" s="6">
        <f t="shared" si="28"/>
        <v>0.33311570389888429</v>
      </c>
      <c r="Z139" s="44">
        <f t="shared" si="18"/>
        <v>1.114729858627856</v>
      </c>
      <c r="AA139" s="6"/>
      <c r="AB139" s="6"/>
      <c r="AC139" s="6"/>
      <c r="AD139" s="6"/>
      <c r="AE139" s="6"/>
      <c r="AF139" s="6"/>
    </row>
    <row r="140" spans="1:32" x14ac:dyDescent="0.2">
      <c r="A140" s="271">
        <f>'Berekening trap 1'!A140</f>
        <v>13.667141562234107</v>
      </c>
      <c r="B140" s="6">
        <f t="shared" si="19"/>
        <v>13.32907205458295</v>
      </c>
      <c r="C140" s="168">
        <f t="shared" si="15"/>
        <v>13.042689610952197</v>
      </c>
      <c r="D140" s="200">
        <f t="shared" si="22"/>
        <v>1.9247731303415203E-2</v>
      </c>
      <c r="E140" s="197">
        <f t="shared" si="12"/>
        <v>2.3164272098815736E-2</v>
      </c>
      <c r="F140" s="43">
        <f t="shared" si="30"/>
        <v>1.9247731303415203E-2</v>
      </c>
      <c r="G140" s="155">
        <f t="shared" si="30"/>
        <v>2.3164272098815736E-2</v>
      </c>
      <c r="H140" s="170">
        <f t="shared" si="20"/>
        <v>2.3164272098815736E-2</v>
      </c>
      <c r="I140" s="179">
        <f t="shared" si="9"/>
        <v>2.3164272098815736E-2</v>
      </c>
      <c r="J140" s="314">
        <f>IF(INVOER!$T$36=1,100-H140*100,100-I140*100)</f>
        <v>97.683572790118433</v>
      </c>
      <c r="K140" s="408">
        <f>IF(AND('Berekening trap 1'!$B$64=1,INVOER!$C$20=1),'Berekening trap 1'!U140,'Berekening trap 1'!V140)</f>
        <v>0.1503602152359278</v>
      </c>
      <c r="L140" s="380">
        <f t="shared" ref="L140:L171" si="31">100*K140/$K$187</f>
        <v>1.8059957303578291</v>
      </c>
      <c r="M140" s="380">
        <f t="shared" si="29"/>
        <v>11.080386402442052</v>
      </c>
      <c r="N140" s="375">
        <f>'Berekening trap 2'!H140*$L140</f>
        <v>4.1834576507308208E-2</v>
      </c>
      <c r="O140" s="376">
        <f>'Berekening trap 2'!I140*$L140</f>
        <v>4.1834576507308208E-2</v>
      </c>
      <c r="Q140" s="396">
        <f t="shared" ref="Q140:Q171" si="32">IF(S140=0,100,100*(S140-X140)/S140)</f>
        <v>99.881770400126797</v>
      </c>
      <c r="R140" s="6">
        <f t="shared" si="10"/>
        <v>13.32907205458295</v>
      </c>
      <c r="S140" s="380">
        <f>1/100*'Berekening trap 1'!T140*INVOER!$W$19*1000</f>
        <v>3.4905163847540974</v>
      </c>
      <c r="T140" s="380">
        <f t="shared" ref="T140:T171" si="33">100*S140/$S$187</f>
        <v>2.9515926517138231</v>
      </c>
      <c r="U140" s="44">
        <f t="shared" si="16"/>
        <v>66.977729790469411</v>
      </c>
      <c r="V140" s="380">
        <f t="shared" ref="V140:V171" si="34">L140</f>
        <v>1.8059957303578291</v>
      </c>
      <c r="W140" s="44">
        <f t="shared" si="21"/>
        <v>11.080386402442052</v>
      </c>
      <c r="X140" s="145">
        <f>IF(AND(INVOER!$T$36=1,INVOER!E83=1),1/100*N140*INVOER!$W$20*1000,1/100*O140*INVOER!$W$20*1000)</f>
        <v>4.1268235552030397E-3</v>
      </c>
      <c r="Y140" s="6">
        <f t="shared" ref="Y140:Y171" si="35">100*X140/$X$187</f>
        <v>0.26955858327668153</v>
      </c>
      <c r="Z140" s="44">
        <f t="shared" si="18"/>
        <v>0.84517127535117442</v>
      </c>
      <c r="AA140" s="6"/>
      <c r="AB140" s="6"/>
      <c r="AC140" s="6"/>
      <c r="AD140" s="6"/>
      <c r="AE140" s="6"/>
      <c r="AF140" s="6"/>
    </row>
    <row r="141" spans="1:32" x14ac:dyDescent="0.2">
      <c r="A141" s="271">
        <f>'Berekening trap 1'!A141</f>
        <v>14.378471392591873</v>
      </c>
      <c r="B141" s="46">
        <f t="shared" si="19"/>
        <v>14.02280647741299</v>
      </c>
      <c r="C141" s="182">
        <f t="shared" si="15"/>
        <v>13.721518768177305</v>
      </c>
      <c r="D141" s="201">
        <f t="shared" si="22"/>
        <v>1.6455512956348593E-2</v>
      </c>
      <c r="E141" s="167">
        <f t="shared" si="12"/>
        <v>2.020765250275227E-2</v>
      </c>
      <c r="F141" s="45">
        <f t="shared" si="30"/>
        <v>1.6455512956348593E-2</v>
      </c>
      <c r="G141" s="183">
        <f t="shared" si="30"/>
        <v>2.020765250275227E-2</v>
      </c>
      <c r="H141" s="171">
        <f t="shared" si="20"/>
        <v>2.020765250275227E-2</v>
      </c>
      <c r="I141" s="235">
        <f t="shared" ref="I141:I185" si="36">IF(C141&lt;$K$41,F141,G141)</f>
        <v>2.020765250275227E-2</v>
      </c>
      <c r="J141" s="314">
        <f>IF(INVOER!$T$36=1,100-H141*100,100-I141*100)</f>
        <v>97.979234749724768</v>
      </c>
      <c r="K141" s="408">
        <f>IF(AND('Berekening trap 1'!$B$64=1,INVOER!$C$20=1),'Berekening trap 1'!U141,'Berekening trap 1'!V141)</f>
        <v>0.13781349325872436</v>
      </c>
      <c r="L141" s="377">
        <f t="shared" si="31"/>
        <v>1.655295451795034</v>
      </c>
      <c r="M141" s="377">
        <f t="shared" ref="M141:M172" si="37">M140-L141</f>
        <v>9.425090950647018</v>
      </c>
      <c r="N141" s="378">
        <f>'Berekening trap 2'!H141*$L141</f>
        <v>3.344963527926037E-2</v>
      </c>
      <c r="O141" s="379">
        <f>'Berekening trap 2'!I141*$L141</f>
        <v>3.344963527926037E-2</v>
      </c>
      <c r="Q141" s="396">
        <f t="shared" si="32"/>
        <v>99.911699922318661</v>
      </c>
      <c r="R141" s="6">
        <f t="shared" ref="R141:R186" si="38">B141</f>
        <v>14.02280647741299</v>
      </c>
      <c r="S141" s="380">
        <f>1/100*'Berekening trap 1'!T141*INVOER!$W$19*1000</f>
        <v>3.7368943957684975</v>
      </c>
      <c r="T141" s="380">
        <f t="shared" si="33"/>
        <v>3.1599307446190084</v>
      </c>
      <c r="U141" s="44">
        <f t="shared" si="16"/>
        <v>63.8177990458504</v>
      </c>
      <c r="V141" s="380">
        <f t="shared" si="34"/>
        <v>1.655295451795034</v>
      </c>
      <c r="W141" s="44">
        <f t="shared" si="21"/>
        <v>9.425090950647018</v>
      </c>
      <c r="X141" s="145">
        <f>IF(AND(INVOER!$T$36=1,INVOER!E84=1),1/100*N141*INVOER!$W$20*1000,1/100*O141*INVOER!$W$20*1000)</f>
        <v>3.2996806543335645E-3</v>
      </c>
      <c r="Y141" s="6">
        <f t="shared" si="35"/>
        <v>0.21553071764510365</v>
      </c>
      <c r="Z141" s="44">
        <f t="shared" si="18"/>
        <v>0.62964055770607075</v>
      </c>
      <c r="AA141" s="6"/>
      <c r="AB141" s="6"/>
      <c r="AC141" s="6"/>
      <c r="AD141" s="6"/>
      <c r="AE141" s="6"/>
      <c r="AF141" s="6"/>
    </row>
    <row r="142" spans="1:32" x14ac:dyDescent="0.2">
      <c r="A142" s="270">
        <f>'Berekening trap 1'!A142</f>
        <v>15.126823604349052</v>
      </c>
      <c r="B142" s="6">
        <f t="shared" si="19"/>
        <v>14.752647498470463</v>
      </c>
      <c r="C142" s="168">
        <f t="shared" si="15"/>
        <v>14.435678753509523</v>
      </c>
      <c r="D142" s="200">
        <f t="shared" si="22"/>
        <v>1.3985781952349107E-2</v>
      </c>
      <c r="E142" s="197">
        <f t="shared" ref="E142:E185" si="39">IF(C142-$K$36&gt;0,EXP(-(((C142-$K$36)/$K$38)^$K$40)),1)</f>
        <v>1.7540340080189828E-2</v>
      </c>
      <c r="F142" s="43">
        <f t="shared" si="30"/>
        <v>1.3985781952349107E-2</v>
      </c>
      <c r="G142" s="155">
        <f t="shared" si="30"/>
        <v>1.7540340080189828E-2</v>
      </c>
      <c r="H142" s="170">
        <f t="shared" si="20"/>
        <v>1.7540340080189828E-2</v>
      </c>
      <c r="I142" s="179">
        <f t="shared" si="36"/>
        <v>1.7540340080189828E-2</v>
      </c>
      <c r="J142" s="313">
        <f>IF(INVOER!$T$36=1,100-H142*100,100-I142*100)</f>
        <v>98.245965991981024</v>
      </c>
      <c r="K142" s="407">
        <f>IF(AND('Berekening trap 1'!$B$64=1,INVOER!$C$20=1),'Berekening trap 1'!U142,'Berekening trap 1'!V142)</f>
        <v>0.12404125788576739</v>
      </c>
      <c r="L142" s="380">
        <f t="shared" si="31"/>
        <v>1.4898753754668899</v>
      </c>
      <c r="M142" s="380">
        <f t="shared" si="37"/>
        <v>7.9352155751801279</v>
      </c>
      <c r="N142" s="375">
        <f>'Berekening trap 2'!H142*$L142</f>
        <v>2.6132920762789759E-2</v>
      </c>
      <c r="O142" s="376">
        <f>'Berekening trap 2'!I142*$L142</f>
        <v>2.6132920762789759E-2</v>
      </c>
      <c r="Q142" s="396">
        <f t="shared" si="32"/>
        <v>99.93454483232037</v>
      </c>
      <c r="R142" s="6">
        <f t="shared" si="38"/>
        <v>14.752647498470463</v>
      </c>
      <c r="S142" s="380">
        <f>1/100*'Berekening trap 1'!T142*INVOER!$W$19*1000</f>
        <v>3.9384427393137105</v>
      </c>
      <c r="T142" s="380">
        <f t="shared" si="33"/>
        <v>3.330360716634468</v>
      </c>
      <c r="U142" s="44">
        <f t="shared" ref="U142:U186" si="40">U141-T142</f>
        <v>60.487438329215934</v>
      </c>
      <c r="V142" s="380">
        <f t="shared" si="34"/>
        <v>1.4898753754668899</v>
      </c>
      <c r="W142" s="44">
        <f t="shared" si="21"/>
        <v>7.9352155751801279</v>
      </c>
      <c r="X142" s="145">
        <f>IF(AND(INVOER!$T$36=1,INVOER!E85=1),1/100*N142*INVOER!$W$20*1000,1/100*O142*INVOER!$W$20*1000)</f>
        <v>2.5779142989841293E-3</v>
      </c>
      <c r="Y142" s="6">
        <f t="shared" si="35"/>
        <v>0.168385906726432</v>
      </c>
      <c r="Z142" s="44">
        <f t="shared" ref="Z142:Z186" si="41">Z141-Y142</f>
        <v>0.46125465097963875</v>
      </c>
      <c r="AA142" s="6"/>
      <c r="AB142" s="6"/>
      <c r="AC142" s="6"/>
      <c r="AD142" s="6"/>
      <c r="AE142" s="6"/>
      <c r="AF142" s="6"/>
    </row>
    <row r="143" spans="1:32" x14ac:dyDescent="0.2">
      <c r="A143" s="271">
        <f>'Berekening trap 1'!A143</f>
        <v>15.914125090862269</v>
      </c>
      <c r="B143" s="6">
        <f t="shared" si="19"/>
        <v>15.52047434760566</v>
      </c>
      <c r="C143" s="168">
        <f t="shared" ref="C143:C185" si="42">B143/$B$51</f>
        <v>15.187008420512297</v>
      </c>
      <c r="D143" s="200">
        <f t="shared" si="22"/>
        <v>1.1814287491234626E-2</v>
      </c>
      <c r="E143" s="197">
        <f t="shared" si="39"/>
        <v>1.5146269202413493E-2</v>
      </c>
      <c r="F143" s="43">
        <f t="shared" si="30"/>
        <v>1.1814287491234626E-2</v>
      </c>
      <c r="G143" s="155">
        <f t="shared" si="30"/>
        <v>1.5146269202413493E-2</v>
      </c>
      <c r="H143" s="170">
        <f t="shared" si="20"/>
        <v>1.5146269202413493E-2</v>
      </c>
      <c r="I143" s="179">
        <f t="shared" si="36"/>
        <v>1.5146269202413493E-2</v>
      </c>
      <c r="J143" s="314">
        <f>IF(INVOER!$T$36=1,100-H143*100,100-I143*100)</f>
        <v>98.485373079758645</v>
      </c>
      <c r="K143" s="408">
        <f>IF(AND('Berekening trap 1'!$B$64=1,INVOER!$C$20=1),'Berekening trap 1'!U143,'Berekening trap 1'!V143)</f>
        <v>0.10601708517369816</v>
      </c>
      <c r="L143" s="380">
        <f t="shared" si="31"/>
        <v>1.2733847372342102</v>
      </c>
      <c r="M143" s="380">
        <f t="shared" si="37"/>
        <v>6.6618308379459172</v>
      </c>
      <c r="N143" s="375">
        <f>'Berekening trap 2'!H143*$L143</f>
        <v>1.9287028028393917E-2</v>
      </c>
      <c r="O143" s="376">
        <f>'Berekening trap 2'!I143*$L143</f>
        <v>1.9287028028393917E-2</v>
      </c>
      <c r="Q143" s="396">
        <f t="shared" si="32"/>
        <v>99.951860707722801</v>
      </c>
      <c r="R143" s="6">
        <f t="shared" si="38"/>
        <v>15.52047434760566</v>
      </c>
      <c r="S143" s="380">
        <f>1/100*'Berekening trap 1'!T143*INVOER!$W$19*1000</f>
        <v>3.9522657081225572</v>
      </c>
      <c r="T143" s="380">
        <f t="shared" si="33"/>
        <v>3.3420494665682221</v>
      </c>
      <c r="U143" s="44">
        <f t="shared" si="40"/>
        <v>57.145388862647714</v>
      </c>
      <c r="V143" s="380">
        <f t="shared" si="34"/>
        <v>1.2733847372342102</v>
      </c>
      <c r="W143" s="44">
        <f t="shared" si="21"/>
        <v>6.6618308379459172</v>
      </c>
      <c r="X143" s="145">
        <f>IF(AND(INVOER!$T$36=1,INVOER!E86=1),1/100*N143*INVOER!$W$20*1000,1/100*O143*INVOER!$W$20*1000)</f>
        <v>1.9025927408045523E-3</v>
      </c>
      <c r="Y143" s="6">
        <f t="shared" si="35"/>
        <v>0.12427480770704795</v>
      </c>
      <c r="Z143" s="44">
        <f t="shared" si="41"/>
        <v>0.33697984327259078</v>
      </c>
      <c r="AA143" s="6"/>
      <c r="AB143" s="6"/>
      <c r="AC143" s="6"/>
      <c r="AD143" s="6"/>
      <c r="AE143" s="6"/>
      <c r="AF143" s="6"/>
    </row>
    <row r="144" spans="1:32" x14ac:dyDescent="0.2">
      <c r="A144" s="271">
        <f>'Berekening trap 1'!A144</f>
        <v>16.742403033958723</v>
      </c>
      <c r="B144" s="6">
        <f t="shared" ref="B144:B174" si="43">(A143+A144)/2</f>
        <v>16.328264062410497</v>
      </c>
      <c r="C144" s="168">
        <f t="shared" si="42"/>
        <v>15.977442329037578</v>
      </c>
      <c r="D144" s="200">
        <f t="shared" si="22"/>
        <v>9.9168113767852846E-3</v>
      </c>
      <c r="E144" s="197">
        <f t="shared" si="39"/>
        <v>1.3008778739638094E-2</v>
      </c>
      <c r="F144" s="43">
        <f t="shared" si="30"/>
        <v>9.9168113767852846E-3</v>
      </c>
      <c r="G144" s="155">
        <f t="shared" si="30"/>
        <v>1.3008778739638094E-2</v>
      </c>
      <c r="H144" s="170">
        <f t="shared" si="20"/>
        <v>1.3008778739638094E-2</v>
      </c>
      <c r="I144" s="179">
        <f t="shared" si="36"/>
        <v>1.3008778739638094E-2</v>
      </c>
      <c r="J144" s="314">
        <f>IF(INVOER!$T$36=1,100-H144*100,100-I144*100)</f>
        <v>98.699122126036187</v>
      </c>
      <c r="K144" s="408">
        <f>IF(AND('Berekening trap 1'!$B$64=1,INVOER!$C$20=1),'Berekening trap 1'!U144,'Berekening trap 1'!V144)</f>
        <v>9.438507955204628E-2</v>
      </c>
      <c r="L144" s="380">
        <f t="shared" si="31"/>
        <v>1.1336712335308583</v>
      </c>
      <c r="M144" s="380">
        <f t="shared" si="37"/>
        <v>5.5281596044150589</v>
      </c>
      <c r="N144" s="375">
        <f>'Berekening trap 2'!H144*$L144</f>
        <v>1.4747678240495523E-2</v>
      </c>
      <c r="O144" s="376">
        <f>'Berekening trap 2'!I144*$L144</f>
        <v>1.4747678240495523E-2</v>
      </c>
      <c r="Q144" s="396">
        <f t="shared" si="32"/>
        <v>99.964888071481852</v>
      </c>
      <c r="R144" s="6">
        <f t="shared" si="38"/>
        <v>16.328264062410497</v>
      </c>
      <c r="S144" s="380">
        <f>1/100*'Berekening trap 1'!T144*INVOER!$W$19*1000</f>
        <v>4.1433297073667061</v>
      </c>
      <c r="T144" s="380">
        <f t="shared" si="33"/>
        <v>3.5036138410084283</v>
      </c>
      <c r="U144" s="44">
        <f t="shared" si="40"/>
        <v>53.641775021639283</v>
      </c>
      <c r="V144" s="380">
        <f t="shared" si="34"/>
        <v>1.1336712335308583</v>
      </c>
      <c r="W144" s="44">
        <f t="shared" si="21"/>
        <v>5.5281596044150589</v>
      </c>
      <c r="X144" s="145">
        <f>IF(AND(INVOER!$T$36=1,INVOER!E87=1),1/100*N144*INVOER!$W$20*1000,1/100*O144*INVOER!$W$20*1000)</f>
        <v>1.4548029651214529E-3</v>
      </c>
      <c r="Y144" s="6">
        <f t="shared" si="35"/>
        <v>9.5025779750246772E-2</v>
      </c>
      <c r="Z144" s="44">
        <f t="shared" si="41"/>
        <v>0.241954063522344</v>
      </c>
      <c r="AA144" s="6"/>
      <c r="AB144" s="6"/>
      <c r="AC144" s="6"/>
      <c r="AD144" s="6"/>
      <c r="AE144" s="6"/>
      <c r="AF144" s="6"/>
    </row>
    <row r="145" spans="1:32" x14ac:dyDescent="0.2">
      <c r="A145" s="271">
        <f>'Berekening trap 1'!A145</f>
        <v>17.613790123621708</v>
      </c>
      <c r="B145" s="6">
        <f t="shared" si="43"/>
        <v>17.178096578790218</v>
      </c>
      <c r="C145" s="168">
        <f t="shared" si="42"/>
        <v>16.809015726423787</v>
      </c>
      <c r="D145" s="200">
        <f t="shared" si="22"/>
        <v>8.2694138380366659E-3</v>
      </c>
      <c r="E145" s="197">
        <f t="shared" si="39"/>
        <v>1.1110797715274042E-2</v>
      </c>
      <c r="F145" s="43">
        <f t="shared" si="30"/>
        <v>8.2694138380366659E-3</v>
      </c>
      <c r="G145" s="155">
        <f t="shared" si="30"/>
        <v>1.1110797715274042E-2</v>
      </c>
      <c r="H145" s="170">
        <f t="shared" ref="H145:H185" si="44">IF(C145&lt;$K$41,D145,E145)</f>
        <v>1.1110797715274042E-2</v>
      </c>
      <c r="I145" s="179">
        <f t="shared" si="36"/>
        <v>1.1110797715274042E-2</v>
      </c>
      <c r="J145" s="314">
        <f>IF(INVOER!$T$36=1,100-H145*100,100-I145*100)</f>
        <v>98.8889202284726</v>
      </c>
      <c r="K145" s="408">
        <f>IF(AND('Berekening trap 1'!$B$64=1,INVOER!$C$20=1),'Berekening trap 1'!U145,'Berekening trap 1'!V145)</f>
        <v>8.3204271065245791E-2</v>
      </c>
      <c r="L145" s="380">
        <f t="shared" si="31"/>
        <v>0.99937711618454739</v>
      </c>
      <c r="M145" s="380">
        <f t="shared" si="37"/>
        <v>4.5287824882305117</v>
      </c>
      <c r="N145" s="375">
        <f>'Berekening trap 2'!H145*$L145</f>
        <v>1.1103876979200429E-2</v>
      </c>
      <c r="O145" s="376">
        <f>'Berekening trap 2'!I145*$L145</f>
        <v>1.1103876979200429E-2</v>
      </c>
      <c r="Q145" s="396">
        <f t="shared" si="32"/>
        <v>99.974611591909593</v>
      </c>
      <c r="R145" s="6">
        <f t="shared" si="38"/>
        <v>17.178096578790218</v>
      </c>
      <c r="S145" s="380">
        <f>1/100*'Berekening trap 1'!T145*INVOER!$W$19*1000</f>
        <v>4.3143929224414483</v>
      </c>
      <c r="T145" s="380">
        <f t="shared" si="33"/>
        <v>3.6482654836130854</v>
      </c>
      <c r="U145" s="44">
        <f t="shared" si="40"/>
        <v>49.993509538026196</v>
      </c>
      <c r="V145" s="380">
        <f t="shared" si="34"/>
        <v>0.99937711618454739</v>
      </c>
      <c r="W145" s="44">
        <f t="shared" si="21"/>
        <v>4.5287824882305117</v>
      </c>
      <c r="X145" s="145">
        <f>IF(AND(INVOER!$T$36=1,INVOER!E88=1),1/100*N145*INVOER!$W$20*1000,1/100*O145*INVOER!$W$20*1000)</f>
        <v>1.0953556817728516E-3</v>
      </c>
      <c r="Y145" s="6">
        <f t="shared" si="35"/>
        <v>7.1547164983705391E-2</v>
      </c>
      <c r="Z145" s="44">
        <f t="shared" si="41"/>
        <v>0.17040689853863861</v>
      </c>
      <c r="AA145" s="6"/>
      <c r="AB145" s="6"/>
      <c r="AC145" s="6"/>
      <c r="AD145" s="6"/>
      <c r="AE145" s="6"/>
      <c r="AF145" s="6"/>
    </row>
    <row r="146" spans="1:32" x14ac:dyDescent="0.2">
      <c r="A146" s="272">
        <f>'Berekening trap 1'!A146</f>
        <v>18.530530049343604</v>
      </c>
      <c r="B146" s="46">
        <f t="shared" si="43"/>
        <v>18.072160086482654</v>
      </c>
      <c r="C146" s="182">
        <f t="shared" si="42"/>
        <v>17.683869787948815</v>
      </c>
      <c r="D146" s="201">
        <f t="shared" si="22"/>
        <v>6.8486656580821065E-3</v>
      </c>
      <c r="E146" s="167">
        <f t="shared" si="39"/>
        <v>9.4350315483551547E-3</v>
      </c>
      <c r="F146" s="45">
        <f t="shared" si="30"/>
        <v>6.8486656580821065E-3</v>
      </c>
      <c r="G146" s="183">
        <f t="shared" si="30"/>
        <v>9.4350315483551547E-3</v>
      </c>
      <c r="H146" s="171">
        <f t="shared" si="44"/>
        <v>9.4350315483551547E-3</v>
      </c>
      <c r="I146" s="235">
        <f t="shared" si="36"/>
        <v>9.4350315483551547E-3</v>
      </c>
      <c r="J146" s="315">
        <f>IF(INVOER!$T$36=1,100-H146*100,100-I146*100)</f>
        <v>99.056496845164489</v>
      </c>
      <c r="K146" s="409">
        <f>IF(AND('Berekening trap 1'!$B$64=1,INVOER!$C$20=1),'Berekening trap 1'!U146,'Berekening trap 1'!V146)</f>
        <v>7.2558136144826965E-2</v>
      </c>
      <c r="L146" s="380">
        <f t="shared" si="31"/>
        <v>0.87150503126553336</v>
      </c>
      <c r="M146" s="380">
        <f t="shared" si="37"/>
        <v>3.6572774569649784</v>
      </c>
      <c r="N146" s="375">
        <f>'Berekening trap 2'!H146*$L146</f>
        <v>8.222677464540553E-3</v>
      </c>
      <c r="O146" s="376">
        <f>'Berekening trap 2'!I146*$L146</f>
        <v>8.222677464540553E-3</v>
      </c>
      <c r="Q146" s="396">
        <f t="shared" si="32"/>
        <v>99.981808522145698</v>
      </c>
      <c r="R146" s="6">
        <f t="shared" si="38"/>
        <v>18.072160086482654</v>
      </c>
      <c r="S146" s="380">
        <f>1/100*'Berekening trap 1'!T146*INVOER!$W$19*1000</f>
        <v>4.4588801287637425</v>
      </c>
      <c r="T146" s="380">
        <f t="shared" si="33"/>
        <v>3.7704443618759895</v>
      </c>
      <c r="U146" s="44">
        <f t="shared" si="40"/>
        <v>46.223065176150207</v>
      </c>
      <c r="V146" s="380">
        <f t="shared" si="34"/>
        <v>0.87150503126553336</v>
      </c>
      <c r="W146" s="44">
        <f t="shared" si="21"/>
        <v>3.6572774569649784</v>
      </c>
      <c r="X146" s="145">
        <f>IF(AND(INVOER!$T$36=1,INVOER!E89=1),1/100*N146*INVOER!$W$20*1000,1/100*O146*INVOER!$W$20*1000)</f>
        <v>8.1113619117371028E-4</v>
      </c>
      <c r="Y146" s="6">
        <f t="shared" si="35"/>
        <v>5.2982328808693482E-2</v>
      </c>
      <c r="Z146" s="44">
        <f t="shared" si="41"/>
        <v>0.11742456972994512</v>
      </c>
      <c r="AA146" s="6"/>
      <c r="AB146" s="6"/>
      <c r="AC146" s="6"/>
      <c r="AD146" s="6"/>
      <c r="AE146" s="6"/>
      <c r="AF146" s="6"/>
    </row>
    <row r="147" spans="1:32" x14ac:dyDescent="0.2">
      <c r="A147" s="271">
        <f>'Berekening trap 1'!A147</f>
        <v>19.494983277285758</v>
      </c>
      <c r="B147" s="6">
        <f t="shared" si="43"/>
        <v>19.012756663314683</v>
      </c>
      <c r="C147" s="168">
        <f t="shared" si="42"/>
        <v>18.604257130031357</v>
      </c>
      <c r="D147" s="200">
        <f t="shared" si="22"/>
        <v>5.6318621213003904E-3</v>
      </c>
      <c r="E147" s="197">
        <f t="shared" si="39"/>
        <v>7.9641454530762941E-3</v>
      </c>
      <c r="F147" s="43">
        <f t="shared" si="30"/>
        <v>5.6318621213003904E-3</v>
      </c>
      <c r="G147" s="155">
        <f t="shared" si="30"/>
        <v>7.9641454530762941E-3</v>
      </c>
      <c r="H147" s="170">
        <f t="shared" si="44"/>
        <v>7.9641454530762941E-3</v>
      </c>
      <c r="I147" s="179">
        <f t="shared" si="36"/>
        <v>7.9641454530762941E-3</v>
      </c>
      <c r="J147" s="314">
        <f>IF(INVOER!$T$36=1,100-H147*100,100-I147*100)</f>
        <v>99.203585454692373</v>
      </c>
      <c r="K147" s="408">
        <f>IF(AND('Berekening trap 1'!$B$64=1,INVOER!$C$20=1),'Berekening trap 1'!U147,'Berekening trap 1'!V147)</f>
        <v>6.2527746332047607E-2</v>
      </c>
      <c r="L147" s="381">
        <f t="shared" si="31"/>
        <v>0.75102873940015868</v>
      </c>
      <c r="M147" s="381">
        <f t="shared" si="37"/>
        <v>2.9062487175648197</v>
      </c>
      <c r="N147" s="372">
        <f>'Berekening trap 2'!H147*$L147</f>
        <v>5.9813021200233948E-3</v>
      </c>
      <c r="O147" s="373">
        <f>'Berekening trap 2'!I147*$L147</f>
        <v>5.9813021200233948E-3</v>
      </c>
      <c r="Q147" s="396">
        <f t="shared" si="32"/>
        <v>99.987088500295187</v>
      </c>
      <c r="R147" s="6">
        <f t="shared" si="38"/>
        <v>19.012756663314683</v>
      </c>
      <c r="S147" s="380">
        <f>1/100*'Berekening trap 1'!T147*INVOER!$W$19*1000</f>
        <v>4.5698250465607169</v>
      </c>
      <c r="T147" s="380">
        <f t="shared" si="33"/>
        <v>3.8642597656783737</v>
      </c>
      <c r="U147" s="44">
        <f t="shared" si="40"/>
        <v>42.358805410471831</v>
      </c>
      <c r="V147" s="380">
        <f t="shared" si="34"/>
        <v>0.75102873940015868</v>
      </c>
      <c r="W147" s="44">
        <f t="shared" si="21"/>
        <v>2.9062487175648197</v>
      </c>
      <c r="X147" s="145">
        <f>IF(AND(INVOER!$T$36=1,INVOER!E90=1),1/100*N147*INVOER!$W$20*1000,1/100*O147*INVOER!$W$20*1000)</f>
        <v>5.9003294739666708E-4</v>
      </c>
      <c r="Y147" s="6">
        <f t="shared" si="35"/>
        <v>3.8540161278832565E-2</v>
      </c>
      <c r="Z147" s="44">
        <f t="shared" si="41"/>
        <v>7.8884408451112553E-2</v>
      </c>
      <c r="AA147" s="6"/>
      <c r="AB147" s="6"/>
      <c r="AC147" s="6"/>
      <c r="AD147" s="6"/>
      <c r="AE147" s="6"/>
      <c r="AF147" s="6"/>
    </row>
    <row r="148" spans="1:32" x14ac:dyDescent="0.2">
      <c r="A148" s="271">
        <f>'Berekening trap 1'!A148</f>
        <v>20.509633128120576</v>
      </c>
      <c r="B148" s="6">
        <f t="shared" si="43"/>
        <v>20.002308202703169</v>
      </c>
      <c r="C148" s="168">
        <f t="shared" si="42"/>
        <v>19.572547610376262</v>
      </c>
      <c r="D148" s="200">
        <f t="shared" si="22"/>
        <v>4.5972147895489892E-3</v>
      </c>
      <c r="E148" s="197">
        <f t="shared" si="39"/>
        <v>6.6809416005218572E-3</v>
      </c>
      <c r="F148" s="43">
        <f t="shared" si="30"/>
        <v>4.5972147895489892E-3</v>
      </c>
      <c r="G148" s="155">
        <f t="shared" si="30"/>
        <v>6.6809416005218572E-3</v>
      </c>
      <c r="H148" s="170">
        <f t="shared" si="44"/>
        <v>6.6809416005218572E-3</v>
      </c>
      <c r="I148" s="179">
        <f t="shared" si="36"/>
        <v>6.6809416005218572E-3</v>
      </c>
      <c r="J148" s="314">
        <f>IF(INVOER!$T$36=1,100-H148*100,100-I148*100)</f>
        <v>99.331905839947808</v>
      </c>
      <c r="K148" s="408">
        <f>IF(AND('Berekening trap 1'!$B$64=1,INVOER!$C$20=1),'Berekening trap 1'!U148,'Berekening trap 1'!V148)</f>
        <v>5.1581428311205879E-2</v>
      </c>
      <c r="L148" s="380">
        <f t="shared" si="31"/>
        <v>0.61955111696020748</v>
      </c>
      <c r="M148" s="380">
        <f t="shared" si="37"/>
        <v>2.2866976006046125</v>
      </c>
      <c r="N148" s="375">
        <f>'Berekening trap 2'!H148*$L148</f>
        <v>4.1391848309492328E-3</v>
      </c>
      <c r="O148" s="376">
        <f>'Berekening trap 2'!I148*$L148</f>
        <v>4.1391848309492328E-3</v>
      </c>
      <c r="Q148" s="396">
        <f t="shared" si="32"/>
        <v>99.990926309952727</v>
      </c>
      <c r="R148" s="6">
        <f t="shared" si="38"/>
        <v>20.002308202703169</v>
      </c>
      <c r="S148" s="380">
        <f>1/100*'Berekening trap 1'!T148*INVOER!$W$19*1000</f>
        <v>4.4999884976620352</v>
      </c>
      <c r="T148" s="380">
        <f t="shared" si="33"/>
        <v>3.8052057399042121</v>
      </c>
      <c r="U148" s="44">
        <f t="shared" si="40"/>
        <v>38.553599670567621</v>
      </c>
      <c r="V148" s="380">
        <f t="shared" si="34"/>
        <v>0.61955111696020748</v>
      </c>
      <c r="W148" s="44">
        <f t="shared" ref="W148:W186" si="45">W147-V148</f>
        <v>2.2866976006046125</v>
      </c>
      <c r="X148" s="145">
        <f>IF(AND(INVOER!$T$36=1,INVOER!E91=1),1/100*N148*INVOER!$W$20*1000,1/100*O148*INVOER!$W$20*1000)</f>
        <v>4.0831500844083741E-4</v>
      </c>
      <c r="Y148" s="6">
        <f t="shared" si="35"/>
        <v>2.6670589070170024E-2</v>
      </c>
      <c r="Z148" s="44">
        <f t="shared" si="41"/>
        <v>5.2213819380942529E-2</v>
      </c>
      <c r="AA148" s="6"/>
      <c r="AB148" s="6"/>
      <c r="AC148" s="6"/>
      <c r="AD148" s="6"/>
      <c r="AE148" s="6"/>
      <c r="AF148" s="6"/>
    </row>
    <row r="149" spans="1:32" x14ac:dyDescent="0.2">
      <c r="A149" s="271">
        <f>'Berekening trap 1'!A149</f>
        <v>21.577092171205312</v>
      </c>
      <c r="B149" s="6">
        <f t="shared" si="43"/>
        <v>21.043362649662946</v>
      </c>
      <c r="C149" s="168">
        <f t="shared" si="42"/>
        <v>20.591234429998433</v>
      </c>
      <c r="D149" s="200">
        <f t="shared" si="22"/>
        <v>3.7240177560286295E-3</v>
      </c>
      <c r="E149" s="197">
        <f t="shared" si="39"/>
        <v>5.5685267845183746E-3</v>
      </c>
      <c r="F149" s="43">
        <f t="shared" si="30"/>
        <v>3.7240177560286295E-3</v>
      </c>
      <c r="G149" s="155">
        <f t="shared" si="30"/>
        <v>5.5685267845183746E-3</v>
      </c>
      <c r="H149" s="170">
        <f t="shared" si="44"/>
        <v>5.5685267845183746E-3</v>
      </c>
      <c r="I149" s="179">
        <f t="shared" si="36"/>
        <v>5.5685267845183746E-3</v>
      </c>
      <c r="J149" s="314">
        <f>IF(INVOER!$T$36=1,100-H149*100,100-I149*100)</f>
        <v>99.443147321548167</v>
      </c>
      <c r="K149" s="408">
        <f>IF(AND('Berekening trap 1'!$B$64=1,INVOER!$C$20=1),'Berekening trap 1'!U149,'Berekening trap 1'!V149)</f>
        <v>4.1901513977466991E-2</v>
      </c>
      <c r="L149" s="380">
        <f t="shared" si="31"/>
        <v>0.50328443079238405</v>
      </c>
      <c r="M149" s="380">
        <f t="shared" si="37"/>
        <v>1.7834131698122284</v>
      </c>
      <c r="N149" s="375">
        <f>'Berekening trap 2'!H149*$L149</f>
        <v>2.802552833098475E-3</v>
      </c>
      <c r="O149" s="376">
        <f>'Berekening trap 2'!I149*$L149</f>
        <v>2.802552833098475E-3</v>
      </c>
      <c r="Q149" s="396">
        <f t="shared" si="32"/>
        <v>99.993688837465299</v>
      </c>
      <c r="R149" s="6">
        <f t="shared" si="38"/>
        <v>21.043362649662946</v>
      </c>
      <c r="S149" s="380">
        <f>1/100*'Berekening trap 1'!T149*INVOER!$W$19*1000</f>
        <v>4.3805129384394563</v>
      </c>
      <c r="T149" s="380">
        <f t="shared" si="33"/>
        <v>3.7041767963928618</v>
      </c>
      <c r="U149" s="44">
        <f t="shared" si="40"/>
        <v>34.849422874174756</v>
      </c>
      <c r="V149" s="380">
        <f t="shared" si="34"/>
        <v>0.50328443079238405</v>
      </c>
      <c r="W149" s="44">
        <f t="shared" si="45"/>
        <v>1.7834131698122284</v>
      </c>
      <c r="X149" s="145">
        <f>IF(AND(INVOER!$T$36=1,INVOER!E92=1),1/100*N149*INVOER!$W$20*1000,1/100*O149*INVOER!$W$20*1000)</f>
        <v>2.7646129139878741E-4</v>
      </c>
      <c r="Y149" s="6">
        <f t="shared" si="35"/>
        <v>1.8058081001874199E-2</v>
      </c>
      <c r="Z149" s="44">
        <f t="shared" si="41"/>
        <v>3.415573837906833E-2</v>
      </c>
      <c r="AA149" s="6"/>
      <c r="AB149" s="6"/>
      <c r="AC149" s="6"/>
      <c r="AD149" s="6"/>
      <c r="AE149" s="6"/>
      <c r="AF149" s="6"/>
    </row>
    <row r="150" spans="1:32" x14ac:dyDescent="0.2">
      <c r="A150" s="271">
        <f>'Berekening trap 1'!A150</f>
        <v>22.70010895155162</v>
      </c>
      <c r="B150" s="6">
        <f t="shared" si="43"/>
        <v>22.138600561378468</v>
      </c>
      <c r="C150" s="168">
        <f t="shared" si="42"/>
        <v>21.662940552837004</v>
      </c>
      <c r="D150" s="200">
        <f t="shared" si="22"/>
        <v>2.9927857812162093E-3</v>
      </c>
      <c r="E150" s="197">
        <f t="shared" si="39"/>
        <v>4.6104675707869421E-3</v>
      </c>
      <c r="F150" s="43">
        <f t="shared" si="30"/>
        <v>2.9927857812162093E-3</v>
      </c>
      <c r="G150" s="155">
        <f t="shared" si="30"/>
        <v>4.6104675707869421E-3</v>
      </c>
      <c r="H150" s="170">
        <f t="shared" si="44"/>
        <v>4.6104675707869421E-3</v>
      </c>
      <c r="I150" s="179">
        <f t="shared" si="36"/>
        <v>4.6104675707869421E-3</v>
      </c>
      <c r="J150" s="314">
        <f>IF(INVOER!$T$36=1,100-H150*100,100-I150*100)</f>
        <v>99.538953242921309</v>
      </c>
      <c r="K150" s="408">
        <f>IF(AND('Berekening trap 1'!$B$64=1,INVOER!$C$20=1),'Berekening trap 1'!U150,'Berekening trap 1'!V150)</f>
        <v>3.4644995491735178E-2</v>
      </c>
      <c r="L150" s="380">
        <f t="shared" si="31"/>
        <v>0.41612546136731987</v>
      </c>
      <c r="M150" s="380">
        <f t="shared" si="37"/>
        <v>1.3672877084449087</v>
      </c>
      <c r="N150" s="375">
        <f>'Berekening trap 2'!H150*$L150</f>
        <v>1.9185329450127828E-3</v>
      </c>
      <c r="O150" s="376">
        <f>'Berekening trap 2'!I150*$L150</f>
        <v>1.9185329450127828E-3</v>
      </c>
      <c r="Q150" s="396">
        <f t="shared" si="32"/>
        <v>99.995657204708891</v>
      </c>
      <c r="R150" s="6">
        <f t="shared" si="38"/>
        <v>22.138600561378468</v>
      </c>
      <c r="S150" s="380">
        <f>1/100*'Berekening trap 1'!T150*INVOER!$W$19*1000</f>
        <v>4.3579317740568397</v>
      </c>
      <c r="T150" s="380">
        <f t="shared" si="33"/>
        <v>3.6850820861803593</v>
      </c>
      <c r="U150" s="44">
        <f t="shared" si="40"/>
        <v>31.164340787994398</v>
      </c>
      <c r="V150" s="380">
        <f t="shared" si="34"/>
        <v>0.41612546136731987</v>
      </c>
      <c r="W150" s="44">
        <f t="shared" si="45"/>
        <v>1.3672877084449087</v>
      </c>
      <c r="X150" s="145">
        <f>IF(AND(INVOER!$T$36=1,INVOER!E93=1),1/100*N150*INVOER!$W$20*1000,1/100*O150*INVOER!$W$20*1000)</f>
        <v>1.8925605587351144E-4</v>
      </c>
      <c r="Y150" s="6">
        <f t="shared" si="35"/>
        <v>1.2361951902081326E-2</v>
      </c>
      <c r="Z150" s="44">
        <f t="shared" si="41"/>
        <v>2.1793786476987004E-2</v>
      </c>
      <c r="AA150" s="6"/>
      <c r="AB150" s="6"/>
      <c r="AC150" s="6"/>
      <c r="AD150" s="6"/>
      <c r="AE150" s="6"/>
      <c r="AF150" s="6"/>
    </row>
    <row r="151" spans="1:32" x14ac:dyDescent="0.2">
      <c r="A151" s="271">
        <f>'Berekening trap 1'!A151</f>
        <v>23.881575066911772</v>
      </c>
      <c r="B151" s="46">
        <f t="shared" si="43"/>
        <v>23.290842009231696</v>
      </c>
      <c r="C151" s="182">
        <f t="shared" si="42"/>
        <v>22.790425459489345</v>
      </c>
      <c r="D151" s="201">
        <f t="shared" si="22"/>
        <v>2.3853625607704295E-3</v>
      </c>
      <c r="E151" s="167">
        <f t="shared" si="39"/>
        <v>3.7909302415853755E-3</v>
      </c>
      <c r="F151" s="45">
        <f t="shared" si="30"/>
        <v>2.3853625607704295E-3</v>
      </c>
      <c r="G151" s="183">
        <f t="shared" si="30"/>
        <v>3.7909302415853755E-3</v>
      </c>
      <c r="H151" s="171">
        <f t="shared" si="44"/>
        <v>3.7909302415853755E-3</v>
      </c>
      <c r="I151" s="235">
        <f t="shared" si="36"/>
        <v>3.7909302415853755E-3</v>
      </c>
      <c r="J151" s="314">
        <f>IF(INVOER!$T$36=1,100-H151*100,100-I151*100)</f>
        <v>99.620906975841464</v>
      </c>
      <c r="K151" s="408">
        <f>IF(AND('Berekening trap 1'!$B$64=1,INVOER!$C$20=1),'Berekening trap 1'!U151,'Berekening trap 1'!V151)</f>
        <v>2.8206650706702936E-2</v>
      </c>
      <c r="L151" s="377">
        <f t="shared" si="31"/>
        <v>0.33879368065594545</v>
      </c>
      <c r="M151" s="377">
        <f t="shared" si="37"/>
        <v>1.0284940277889631</v>
      </c>
      <c r="N151" s="378">
        <f>'Berekening trap 2'!H151*$L151</f>
        <v>1.2843432096566419E-3</v>
      </c>
      <c r="O151" s="379">
        <f>'Berekening trap 2'!I151*$L151</f>
        <v>1.2843432096566419E-3</v>
      </c>
      <c r="Q151" s="396">
        <f t="shared" si="32"/>
        <v>99.997044869925006</v>
      </c>
      <c r="R151" s="6">
        <f t="shared" si="38"/>
        <v>23.290842009231696</v>
      </c>
      <c r="S151" s="380">
        <f>1/100*'Berekening trap 1'!T151*INVOER!$W$19*1000</f>
        <v>4.2873112731484095</v>
      </c>
      <c r="T151" s="380">
        <f t="shared" si="33"/>
        <v>3.6253651478923419</v>
      </c>
      <c r="U151" s="44">
        <f t="shared" si="40"/>
        <v>27.538975640102056</v>
      </c>
      <c r="V151" s="380">
        <f t="shared" si="34"/>
        <v>0.33879368065594545</v>
      </c>
      <c r="W151" s="44">
        <f t="shared" si="45"/>
        <v>1.0284940277889631</v>
      </c>
      <c r="X151" s="145">
        <f>IF(AND(INVOER!$T$36=1,INVOER!E94=1),1/100*N151*INVOER!$W$20*1000,1/100*O151*INVOER!$W$20*1000)</f>
        <v>1.2669562484157545E-4</v>
      </c>
      <c r="Y151" s="6">
        <f t="shared" si="35"/>
        <v>8.2755883993612476E-3</v>
      </c>
      <c r="Z151" s="44">
        <f t="shared" si="41"/>
        <v>1.3518198077625757E-2</v>
      </c>
      <c r="AA151" s="6"/>
      <c r="AB151" s="6"/>
      <c r="AC151" s="6"/>
      <c r="AD151" s="6"/>
      <c r="AE151" s="6"/>
      <c r="AF151" s="6"/>
    </row>
    <row r="152" spans="1:32" x14ac:dyDescent="0.2">
      <c r="A152" s="270">
        <f>'Berekening trap 1'!A152</f>
        <v>25.124532613203968</v>
      </c>
      <c r="B152" s="6">
        <f t="shared" si="43"/>
        <v>24.50305384005787</v>
      </c>
      <c r="C152" s="168">
        <f t="shared" si="42"/>
        <v>23.976592252454783</v>
      </c>
      <c r="D152" s="200">
        <f t="shared" si="22"/>
        <v>1.8849982773251901E-3</v>
      </c>
      <c r="E152" s="197">
        <f t="shared" si="39"/>
        <v>3.0948032677975265E-3</v>
      </c>
      <c r="F152" s="43">
        <f t="shared" si="30"/>
        <v>1.8849982773251901E-3</v>
      </c>
      <c r="G152" s="155">
        <f t="shared" si="30"/>
        <v>3.0948032677975265E-3</v>
      </c>
      <c r="H152" s="170">
        <f t="shared" si="44"/>
        <v>3.0948032677975265E-3</v>
      </c>
      <c r="I152" s="179">
        <f t="shared" si="36"/>
        <v>3.0948032677975265E-3</v>
      </c>
      <c r="J152" s="313">
        <f>IF(INVOER!$T$36=1,100-H152*100,100-I152*100)</f>
        <v>99.690519673220251</v>
      </c>
      <c r="K152" s="407">
        <f>IF(AND('Berekening trap 1'!$B$64=1,INVOER!$C$20=1),'Berekening trap 1'!U152,'Berekening trap 1'!V152)</f>
        <v>2.2467987389291847E-2</v>
      </c>
      <c r="L152" s="380">
        <f t="shared" si="31"/>
        <v>0.26986586332778095</v>
      </c>
      <c r="M152" s="380">
        <f t="shared" si="37"/>
        <v>0.7586281644611822</v>
      </c>
      <c r="N152" s="375">
        <f>'Berekening trap 2'!H152*$L152</f>
        <v>8.3518175569381715E-4</v>
      </c>
      <c r="O152" s="376">
        <f>'Berekening trap 2'!I152*$L152</f>
        <v>8.3518175569381715E-4</v>
      </c>
      <c r="Q152" s="396">
        <f t="shared" si="32"/>
        <v>99.998012351281986</v>
      </c>
      <c r="R152" s="6">
        <f t="shared" si="38"/>
        <v>24.50305384005787</v>
      </c>
      <c r="S152" s="380">
        <f>1/100*'Berekening trap 1'!T152*INVOER!$W$19*1000</f>
        <v>4.1449747527701479</v>
      </c>
      <c r="T152" s="380">
        <f t="shared" si="33"/>
        <v>3.5050048970555343</v>
      </c>
      <c r="U152" s="44">
        <f t="shared" si="40"/>
        <v>24.03397074304652</v>
      </c>
      <c r="V152" s="380">
        <f t="shared" si="34"/>
        <v>0.26986586332778095</v>
      </c>
      <c r="W152" s="44">
        <f t="shared" si="45"/>
        <v>0.7586281644611822</v>
      </c>
      <c r="X152" s="145">
        <f>IF(AND(INVOER!$T$36=1,INVOER!E95=1),1/100*N152*INVOER!$W$20*1000,1/100*O152*INVOER!$W$20*1000)</f>
        <v>8.2387537535391804E-5</v>
      </c>
      <c r="Y152" s="6">
        <f t="shared" si="35"/>
        <v>5.3814435244498825E-3</v>
      </c>
      <c r="Z152" s="44">
        <f t="shared" si="41"/>
        <v>8.1367545531758744E-3</v>
      </c>
      <c r="AA152" s="6"/>
      <c r="AB152" s="6"/>
      <c r="AC152" s="6"/>
      <c r="AD152" s="6"/>
      <c r="AE152" s="6"/>
      <c r="AF152" s="6"/>
    </row>
    <row r="153" spans="1:32" x14ac:dyDescent="0.2">
      <c r="A153" s="271">
        <f>'Berekening trap 1'!A153</f>
        <v>26.43218201744758</v>
      </c>
      <c r="B153" s="6">
        <f t="shared" si="43"/>
        <v>25.778357315325774</v>
      </c>
      <c r="C153" s="168">
        <f t="shared" si="42"/>
        <v>25.224495131182852</v>
      </c>
      <c r="D153" s="200">
        <f t="shared" si="22"/>
        <v>1.4763965092348284E-3</v>
      </c>
      <c r="E153" s="197">
        <f t="shared" si="39"/>
        <v>2.5078005336452119E-3</v>
      </c>
      <c r="F153" s="43">
        <f t="shared" si="30"/>
        <v>1.4763965092348284E-3</v>
      </c>
      <c r="G153" s="155">
        <f t="shared" si="30"/>
        <v>2.5078005336452119E-3</v>
      </c>
      <c r="H153" s="170">
        <f t="shared" si="44"/>
        <v>2.5078005336452119E-3</v>
      </c>
      <c r="I153" s="179">
        <f t="shared" si="36"/>
        <v>2.5078005336452119E-3</v>
      </c>
      <c r="J153" s="314">
        <f>IF(INVOER!$T$36=1,100-H153*100,100-I153*100)</f>
        <v>99.749219946635478</v>
      </c>
      <c r="K153" s="408">
        <f>IF(AND('Berekening trap 1'!$B$64=1,INVOER!$C$20=1),'Berekening trap 1'!U153,'Berekening trap 1'!V153)</f>
        <v>1.684371631447611E-2</v>
      </c>
      <c r="L153" s="380">
        <f t="shared" si="31"/>
        <v>0.2023120258212675</v>
      </c>
      <c r="M153" s="380">
        <f t="shared" si="37"/>
        <v>0.55631613863991469</v>
      </c>
      <c r="N153" s="375">
        <f>'Berekening trap 2'!H153*$L153</f>
        <v>5.0735820631741852E-4</v>
      </c>
      <c r="O153" s="376">
        <f>'Berekening trap 2'!I153*$L153</f>
        <v>5.0735820631741852E-4</v>
      </c>
      <c r="Q153" s="396">
        <f t="shared" si="32"/>
        <v>99.998679122807033</v>
      </c>
      <c r="R153" s="6">
        <f t="shared" si="38"/>
        <v>25.778357315325774</v>
      </c>
      <c r="S153" s="380">
        <f>1/100*'Berekening trap 1'!T153*INVOER!$W$19*1000</f>
        <v>3.7890712480159716</v>
      </c>
      <c r="T153" s="380">
        <f t="shared" si="33"/>
        <v>3.204051670209235</v>
      </c>
      <c r="U153" s="44">
        <f t="shared" si="40"/>
        <v>20.829919072837285</v>
      </c>
      <c r="V153" s="380">
        <f t="shared" si="34"/>
        <v>0.2023120258212675</v>
      </c>
      <c r="W153" s="44">
        <f t="shared" si="45"/>
        <v>0.55631613863991469</v>
      </c>
      <c r="X153" s="145">
        <f>IF(AND(INVOER!$T$36=1,INVOER!E96=1),1/100*N153*INVOER!$W$20*1000,1/100*O153*INVOER!$W$20*1000)</f>
        <v>5.0048977940305395E-5</v>
      </c>
      <c r="Y153" s="6">
        <f t="shared" si="35"/>
        <v>3.2691321563833725E-3</v>
      </c>
      <c r="Z153" s="44">
        <f t="shared" si="41"/>
        <v>4.8676223967925019E-3</v>
      </c>
      <c r="AA153" s="6"/>
      <c r="AB153" s="6"/>
      <c r="AC153" s="6"/>
      <c r="AD153" s="6"/>
      <c r="AE153" s="6"/>
      <c r="AF153" s="6"/>
    </row>
    <row r="154" spans="1:32" x14ac:dyDescent="0.2">
      <c r="A154" s="271">
        <f>'Berekening trap 1'!A154</f>
        <v>27.807890278376949</v>
      </c>
      <c r="B154" s="6">
        <f t="shared" si="43"/>
        <v>27.120036147912266</v>
      </c>
      <c r="C154" s="168">
        <f t="shared" si="42"/>
        <v>26.537347256173323</v>
      </c>
      <c r="D154" s="200">
        <f t="shared" ref="D154:D185" si="46">IF(C154-$K$35&gt;0,EXP(-(((C154-$K$35)/$K$37)^$K$39)),1)</f>
        <v>1.1457314701480211E-3</v>
      </c>
      <c r="E154" s="197">
        <f t="shared" si="39"/>
        <v>2.0165440886712295E-3</v>
      </c>
      <c r="F154" s="43">
        <f t="shared" si="30"/>
        <v>1.1457314701480211E-3</v>
      </c>
      <c r="G154" s="155">
        <f t="shared" si="30"/>
        <v>2.0165440886712295E-3</v>
      </c>
      <c r="H154" s="170">
        <f t="shared" si="44"/>
        <v>2.0165440886712295E-3</v>
      </c>
      <c r="I154" s="179">
        <f t="shared" si="36"/>
        <v>2.0165440886712295E-3</v>
      </c>
      <c r="J154" s="314">
        <f>IF(INVOER!$T$36=1,100-H154*100,100-I154*100)</f>
        <v>99.798345591132872</v>
      </c>
      <c r="K154" s="408">
        <f>IF(AND('Berekening trap 1'!$B$64=1,INVOER!$C$20=1),'Berekening trap 1'!U154,'Berekening trap 1'!V154)</f>
        <v>1.3030357162577036E-2</v>
      </c>
      <c r="L154" s="380">
        <f t="shared" si="31"/>
        <v>0.15650928248357979</v>
      </c>
      <c r="M154" s="380">
        <f t="shared" si="37"/>
        <v>0.39980685615633493</v>
      </c>
      <c r="N154" s="375">
        <f>'Berekening trap 2'!H154*$L154</f>
        <v>3.1560786841443843E-4</v>
      </c>
      <c r="O154" s="376">
        <f>'Berekening trap 2'!I154*$L154</f>
        <v>3.1560786841443843E-4</v>
      </c>
      <c r="Q154" s="396">
        <f t="shared" si="32"/>
        <v>99.999133149725154</v>
      </c>
      <c r="R154" s="6">
        <f t="shared" si="38"/>
        <v>27.120036147912266</v>
      </c>
      <c r="S154" s="380">
        <f>1/100*'Berekening trap 1'!T154*INVOER!$W$19*1000</f>
        <v>3.5915693329174339</v>
      </c>
      <c r="T154" s="380">
        <f t="shared" si="33"/>
        <v>3.0370433719956975</v>
      </c>
      <c r="U154" s="44">
        <f t="shared" si="40"/>
        <v>17.792875700841588</v>
      </c>
      <c r="V154" s="380">
        <f t="shared" si="34"/>
        <v>0.15650928248357979</v>
      </c>
      <c r="W154" s="44">
        <f t="shared" si="45"/>
        <v>0.39980685615633493</v>
      </c>
      <c r="X154" s="145">
        <f>IF(AND(INVOER!$T$36=1,INVOER!E97=1),1/100*N154*INVOER!$W$20*1000,1/100*O154*INVOER!$W$20*1000)</f>
        <v>3.1133528633966112E-5</v>
      </c>
      <c r="Y154" s="6">
        <f t="shared" si="35"/>
        <v>2.0336003608380591E-3</v>
      </c>
      <c r="Z154" s="44">
        <f t="shared" si="41"/>
        <v>2.8340220359544428E-3</v>
      </c>
      <c r="AA154" s="6"/>
      <c r="AB154" s="6"/>
      <c r="AC154" s="6"/>
      <c r="AD154" s="6"/>
      <c r="AE154" s="6"/>
      <c r="AF154" s="6"/>
    </row>
    <row r="155" spans="1:32" x14ac:dyDescent="0.2">
      <c r="A155" s="271">
        <f>'Berekening trap 1'!A155</f>
        <v>29.255199635952067</v>
      </c>
      <c r="B155" s="6">
        <f t="shared" si="43"/>
        <v>28.531544957164506</v>
      </c>
      <c r="C155" s="168">
        <f t="shared" si="42"/>
        <v>27.918529022376752</v>
      </c>
      <c r="D155" s="200">
        <f t="shared" si="46"/>
        <v>8.8063739441084825E-4</v>
      </c>
      <c r="E155" s="197">
        <f t="shared" si="39"/>
        <v>1.6086257869292321E-3</v>
      </c>
      <c r="F155" s="43">
        <f t="shared" si="30"/>
        <v>8.8063739441084825E-4</v>
      </c>
      <c r="G155" s="155">
        <f t="shared" si="30"/>
        <v>1.6086257869292321E-3</v>
      </c>
      <c r="H155" s="170">
        <f t="shared" si="44"/>
        <v>1.6086257869292321E-3</v>
      </c>
      <c r="I155" s="179">
        <f t="shared" si="36"/>
        <v>1.6086257869292321E-3</v>
      </c>
      <c r="J155" s="314">
        <f>IF(INVOER!$T$36=1,100-H155*100,100-I155*100)</f>
        <v>99.839137421307072</v>
      </c>
      <c r="K155" s="408">
        <f>IF(AND('Berekening trap 1'!$B$64=1,INVOER!$C$20=1),'Berekening trap 1'!U155,'Berekening trap 1'!V155)</f>
        <v>9.8820433303385326E-3</v>
      </c>
      <c r="L155" s="380">
        <f t="shared" si="31"/>
        <v>0.1186944833365603</v>
      </c>
      <c r="M155" s="380">
        <f t="shared" si="37"/>
        <v>0.28111237281977464</v>
      </c>
      <c r="N155" s="375">
        <f>'Berekening trap 2'!H155*$L155</f>
        <v>1.9093500666143292E-4</v>
      </c>
      <c r="O155" s="376">
        <f>'Berekening trap 2'!I155*$L155</f>
        <v>1.9093500666143292E-4</v>
      </c>
      <c r="Q155" s="396">
        <f t="shared" si="32"/>
        <v>99.999438463024035</v>
      </c>
      <c r="R155" s="6">
        <f t="shared" si="38"/>
        <v>28.531544957164506</v>
      </c>
      <c r="S155" s="380">
        <f>1/100*'Berekening trap 1'!T155*INVOER!$W$19*1000</f>
        <v>3.3541905080861047</v>
      </c>
      <c r="T155" s="380">
        <f t="shared" si="33"/>
        <v>2.8363150218567612</v>
      </c>
      <c r="U155" s="44">
        <f t="shared" si="40"/>
        <v>14.956560678984827</v>
      </c>
      <c r="V155" s="380">
        <f t="shared" si="34"/>
        <v>0.1186944833365603</v>
      </c>
      <c r="W155" s="44">
        <f t="shared" si="45"/>
        <v>0.28111237281977464</v>
      </c>
      <c r="X155" s="145">
        <f>IF(AND(INVOER!$T$36=1,INVOER!E98=1),1/100*N155*INVOER!$W$20*1000,1/100*O155*INVOER!$W$20*1000)</f>
        <v>1.8835019947329943E-5</v>
      </c>
      <c r="Y155" s="6">
        <f t="shared" si="35"/>
        <v>1.230278257617559E-3</v>
      </c>
      <c r="Z155" s="44">
        <f t="shared" si="41"/>
        <v>1.6037437783368838E-3</v>
      </c>
      <c r="AA155" s="6"/>
      <c r="AB155" s="6"/>
      <c r="AC155" s="6"/>
      <c r="AD155" s="6"/>
      <c r="AE155" s="6"/>
      <c r="AF155" s="6"/>
    </row>
    <row r="156" spans="1:32" x14ac:dyDescent="0.2">
      <c r="A156" s="272">
        <f>'Berekening trap 1'!A156</f>
        <v>30.777836692088819</v>
      </c>
      <c r="B156" s="46">
        <f t="shared" si="43"/>
        <v>30.016518164020443</v>
      </c>
      <c r="C156" s="182">
        <f t="shared" si="42"/>
        <v>29.37159676319844</v>
      </c>
      <c r="D156" s="201">
        <f t="shared" si="46"/>
        <v>6.7017262787045443E-4</v>
      </c>
      <c r="E156" s="167">
        <f t="shared" si="39"/>
        <v>1.2726477716369421E-3</v>
      </c>
      <c r="F156" s="45">
        <f t="shared" si="30"/>
        <v>6.7017262787045443E-4</v>
      </c>
      <c r="G156" s="183">
        <f t="shared" si="30"/>
        <v>1.2726477716369421E-3</v>
      </c>
      <c r="H156" s="171">
        <f t="shared" si="44"/>
        <v>1.2726477716369421E-3</v>
      </c>
      <c r="I156" s="235">
        <f t="shared" si="36"/>
        <v>1.2726477716369421E-3</v>
      </c>
      <c r="J156" s="315">
        <f>IF(INVOER!$T$36=1,100-H156*100,100-I156*100)</f>
        <v>99.872735222836312</v>
      </c>
      <c r="K156" s="409">
        <f>IF(AND('Berekening trap 1'!$B$64=1,INVOER!$C$20=1),'Berekening trap 1'!U156,'Berekening trap 1'!V156)</f>
        <v>7.3995944568748919E-3</v>
      </c>
      <c r="L156" s="380">
        <f t="shared" si="31"/>
        <v>8.8877473170192317E-2</v>
      </c>
      <c r="M156" s="380">
        <f t="shared" si="37"/>
        <v>0.19223489964958232</v>
      </c>
      <c r="N156" s="375">
        <f>'Berekening trap 2'!H156*$L156</f>
        <v>1.1310971817876736E-4</v>
      </c>
      <c r="O156" s="376">
        <f>'Berekening trap 2'!I156*$L156</f>
        <v>1.1310971817876736E-4</v>
      </c>
      <c r="Q156" s="396">
        <f t="shared" si="32"/>
        <v>99.999641116587014</v>
      </c>
      <c r="R156" s="6">
        <f t="shared" si="38"/>
        <v>30.016518164020443</v>
      </c>
      <c r="S156" s="380">
        <f>1/100*'Berekening trap 1'!T156*INVOER!$W$19*1000</f>
        <v>3.1090453554951405</v>
      </c>
      <c r="T156" s="380">
        <f t="shared" si="33"/>
        <v>2.6290194382717189</v>
      </c>
      <c r="U156" s="44">
        <f t="shared" si="40"/>
        <v>12.327541240713108</v>
      </c>
      <c r="V156" s="380">
        <f t="shared" si="34"/>
        <v>8.8877473170192317E-2</v>
      </c>
      <c r="W156" s="44">
        <f t="shared" si="45"/>
        <v>0.19223489964958232</v>
      </c>
      <c r="X156" s="145">
        <f>IF(AND(INVOER!$T$36=1,INVOER!E99=1),1/100*N156*INVOER!$W$20*1000,1/100*O156*INVOER!$W$20*1000)</f>
        <v>1.1157848083414224E-5</v>
      </c>
      <c r="Y156" s="6">
        <f t="shared" si="35"/>
        <v>7.2881568149176564E-4</v>
      </c>
      <c r="Z156" s="44">
        <f t="shared" si="41"/>
        <v>8.7492809684511816E-4</v>
      </c>
      <c r="AA156" s="6"/>
      <c r="AB156" s="6"/>
      <c r="AC156" s="6"/>
      <c r="AD156" s="6"/>
      <c r="AE156" s="6"/>
      <c r="AF156" s="6"/>
    </row>
    <row r="157" spans="1:32" x14ac:dyDescent="0.2">
      <c r="A157" s="271">
        <f>'Berekening trap 1'!A157</f>
        <v>32.37972200609326</v>
      </c>
      <c r="B157" s="6">
        <f t="shared" si="43"/>
        <v>31.57877934909104</v>
      </c>
      <c r="C157" s="168">
        <f t="shared" si="42"/>
        <v>30.900291907517072</v>
      </c>
      <c r="D157" s="200">
        <f t="shared" si="46"/>
        <v>5.0476159962967171E-4</v>
      </c>
      <c r="E157" s="197">
        <f t="shared" si="39"/>
        <v>9.9824235089539075E-4</v>
      </c>
      <c r="F157" s="43">
        <f t="shared" si="30"/>
        <v>5.0476159962967171E-4</v>
      </c>
      <c r="G157" s="155">
        <f t="shared" si="30"/>
        <v>9.9824235089539075E-4</v>
      </c>
      <c r="H157" s="170">
        <f t="shared" si="44"/>
        <v>9.9824235089539075E-4</v>
      </c>
      <c r="I157" s="179">
        <f t="shared" si="36"/>
        <v>9.9824235089539075E-4</v>
      </c>
      <c r="J157" s="314">
        <f>IF(INVOER!$T$36=1,100-H157*100,100-I157*100)</f>
        <v>99.900175764910458</v>
      </c>
      <c r="K157" s="408">
        <f>IF(AND('Berekening trap 1'!$B$64=1,INVOER!$C$20=1),'Berekening trap 1'!U157,'Berekening trap 1'!V157)</f>
        <v>5.4049045997319476E-3</v>
      </c>
      <c r="L157" s="381">
        <f t="shared" si="31"/>
        <v>6.4918998784293386E-2</v>
      </c>
      <c r="M157" s="381">
        <f t="shared" si="37"/>
        <v>0.12731590086528893</v>
      </c>
      <c r="N157" s="372">
        <f>'Berekening trap 2'!H157*$L157</f>
        <v>6.4804893964208037E-5</v>
      </c>
      <c r="O157" s="373">
        <f>'Berekening trap 2'!I157*$L157</f>
        <v>6.4804893964208037E-5</v>
      </c>
      <c r="Q157" s="396">
        <f t="shared" si="32"/>
        <v>99.99977382148758</v>
      </c>
      <c r="R157" s="6">
        <f t="shared" si="38"/>
        <v>31.57877934909104</v>
      </c>
      <c r="S157" s="380">
        <f>1/100*'Berekening trap 1'!T157*INVOER!$W$19*1000</f>
        <v>2.826421869302278</v>
      </c>
      <c r="T157" s="380">
        <f t="shared" si="33"/>
        <v>2.3900320469813714</v>
      </c>
      <c r="U157" s="44">
        <f t="shared" si="40"/>
        <v>9.9375091937317368</v>
      </c>
      <c r="V157" s="380">
        <f t="shared" si="34"/>
        <v>6.4918998784293386E-2</v>
      </c>
      <c r="W157" s="44">
        <f t="shared" si="45"/>
        <v>0.12731590086528893</v>
      </c>
      <c r="X157" s="145">
        <f>IF(AND(INVOER!$T$36=1,INVOER!E100=1),1/100*N157*INVOER!$W$20*1000,1/100*O157*INVOER!$W$20*1000)</f>
        <v>6.3927589384634837E-6</v>
      </c>
      <c r="Y157" s="6">
        <f t="shared" si="35"/>
        <v>4.1756644538605114E-4</v>
      </c>
      <c r="Z157" s="44">
        <f t="shared" si="41"/>
        <v>4.5736165145906702E-4</v>
      </c>
      <c r="AA157" s="6"/>
      <c r="AB157" s="6"/>
      <c r="AC157" s="6"/>
      <c r="AD157" s="6"/>
      <c r="AE157" s="6"/>
      <c r="AF157" s="6"/>
    </row>
    <row r="158" spans="1:32" x14ac:dyDescent="0.2">
      <c r="A158" s="271">
        <f>'Berekening trap 1'!A158</f>
        <v>34.06498018950677</v>
      </c>
      <c r="B158" s="6">
        <f t="shared" si="43"/>
        <v>33.222351097800015</v>
      </c>
      <c r="C158" s="168">
        <f t="shared" si="42"/>
        <v>32.508550613296258</v>
      </c>
      <c r="D158" s="200">
        <f t="shared" si="46"/>
        <v>3.7611831258731312E-4</v>
      </c>
      <c r="E158" s="197">
        <f t="shared" si="39"/>
        <v>7.7607236248055278E-4</v>
      </c>
      <c r="F158" s="43">
        <f t="shared" si="30"/>
        <v>3.7611831258731312E-4</v>
      </c>
      <c r="G158" s="155">
        <f t="shared" si="30"/>
        <v>7.7607236248055278E-4</v>
      </c>
      <c r="H158" s="170">
        <f t="shared" si="44"/>
        <v>7.7607236248055278E-4</v>
      </c>
      <c r="I158" s="179">
        <f t="shared" si="36"/>
        <v>7.7607236248055278E-4</v>
      </c>
      <c r="J158" s="314">
        <f>IF(INVOER!$T$36=1,100-H158*100,100-I158*100)</f>
        <v>99.922392763751944</v>
      </c>
      <c r="K158" s="408">
        <f>IF(AND('Berekening trap 1'!$B$64=1,INVOER!$C$20=1),'Berekening trap 1'!U158,'Berekening trap 1'!V158)</f>
        <v>3.8100294041428463E-3</v>
      </c>
      <c r="L158" s="380">
        <f t="shared" si="31"/>
        <v>4.5762749312529646E-2</v>
      </c>
      <c r="M158" s="380">
        <f t="shared" si="37"/>
        <v>8.1553151552759287E-2</v>
      </c>
      <c r="N158" s="375">
        <f>'Berekening trap 2'!H158*$L158</f>
        <v>3.5515204972580177E-5</v>
      </c>
      <c r="O158" s="376">
        <f>'Berekening trap 2'!I158*$L158</f>
        <v>3.5515204972580177E-5</v>
      </c>
      <c r="Q158" s="396">
        <f t="shared" si="32"/>
        <v>99.999859509132108</v>
      </c>
      <c r="R158" s="6">
        <f t="shared" si="38"/>
        <v>33.222351097800015</v>
      </c>
      <c r="S158" s="380">
        <f>1/100*'Berekening trap 1'!T158*INVOER!$W$19*1000</f>
        <v>2.4937146340483527</v>
      </c>
      <c r="T158" s="380">
        <f t="shared" si="33"/>
        <v>2.108693665349139</v>
      </c>
      <c r="U158" s="44">
        <f t="shared" si="40"/>
        <v>7.8288155283825978</v>
      </c>
      <c r="V158" s="380">
        <f t="shared" si="34"/>
        <v>4.5762749312529646E-2</v>
      </c>
      <c r="W158" s="44">
        <f t="shared" si="45"/>
        <v>8.1553151552759287E-2</v>
      </c>
      <c r="X158" s="145">
        <f>IF(AND(INVOER!$T$36=1,INVOER!E101=1),1/100*N158*INVOER!$W$20*1000,1/100*O158*INVOER!$W$20*1000)</f>
        <v>3.5034413321503113E-6</v>
      </c>
      <c r="Y158" s="6">
        <f t="shared" si="35"/>
        <v>2.2884009201138336E-4</v>
      </c>
      <c r="Z158" s="44">
        <f t="shared" si="41"/>
        <v>2.2852155944768366E-4</v>
      </c>
      <c r="AA158" s="6"/>
      <c r="AB158" s="6"/>
      <c r="AC158" s="6"/>
      <c r="AD158" s="6"/>
      <c r="AE158" s="6"/>
      <c r="AF158" s="6"/>
    </row>
    <row r="159" spans="1:32" x14ac:dyDescent="0.2">
      <c r="A159" s="271">
        <f>'Berekening trap 1'!A159</f>
        <v>35.837950526354696</v>
      </c>
      <c r="B159" s="6">
        <f t="shared" si="43"/>
        <v>34.951465357930729</v>
      </c>
      <c r="C159" s="168">
        <f t="shared" si="42"/>
        <v>34.200513902593805</v>
      </c>
      <c r="D159" s="200">
        <f t="shared" si="46"/>
        <v>2.7715528272406406E-4</v>
      </c>
      <c r="E159" s="197">
        <f t="shared" si="39"/>
        <v>5.9781362059087957E-4</v>
      </c>
      <c r="F159" s="43">
        <f t="shared" si="30"/>
        <v>2.7715528272406406E-4</v>
      </c>
      <c r="G159" s="155">
        <f t="shared" si="30"/>
        <v>5.9781362059087957E-4</v>
      </c>
      <c r="H159" s="170">
        <f t="shared" si="44"/>
        <v>5.9781362059087957E-4</v>
      </c>
      <c r="I159" s="179">
        <f t="shared" si="36"/>
        <v>5.9781362059087957E-4</v>
      </c>
      <c r="J159" s="314">
        <f>IF(INVOER!$T$36=1,100-H159*100,100-I159*100)</f>
        <v>99.940218637940916</v>
      </c>
      <c r="K159" s="408">
        <f>IF(AND('Berekening trap 1'!$B$64=1,INVOER!$C$20=1),'Berekening trap 1'!U159,'Berekening trap 1'!V159)</f>
        <v>2.5443850324247969E-3</v>
      </c>
      <c r="L159" s="380">
        <f t="shared" si="31"/>
        <v>3.0560933274372985E-2</v>
      </c>
      <c r="M159" s="380">
        <f t="shared" si="37"/>
        <v>5.0992218278386306E-2</v>
      </c>
      <c r="N159" s="375">
        <f>'Berekening trap 2'!H159*$L159</f>
        <v>1.8269742169389199E-5</v>
      </c>
      <c r="O159" s="376">
        <f>'Berekening trap 2'!I159*$L159</f>
        <v>1.8269742169389199E-5</v>
      </c>
      <c r="Q159" s="396">
        <f t="shared" si="32"/>
        <v>99.999914036739966</v>
      </c>
      <c r="R159" s="6">
        <f t="shared" si="38"/>
        <v>34.951465357930729</v>
      </c>
      <c r="S159" s="380">
        <f>1/100*'Berekening trap 1'!T159*INVOER!$W$19*1000</f>
        <v>2.0965250946412706</v>
      </c>
      <c r="T159" s="380">
        <f t="shared" si="33"/>
        <v>1.7728288257018869</v>
      </c>
      <c r="U159" s="44">
        <f t="shared" si="40"/>
        <v>6.0559867026807108</v>
      </c>
      <c r="V159" s="380">
        <f t="shared" si="34"/>
        <v>3.0560933274372985E-2</v>
      </c>
      <c r="W159" s="44">
        <f t="shared" si="45"/>
        <v>5.0992218278386306E-2</v>
      </c>
      <c r="X159" s="145">
        <f>IF(AND(INVOER!$T$36=1,INVOER!E102=1),1/100*N159*INVOER!$W$20*1000,1/100*O159*INVOER!$W$20*1000)</f>
        <v>1.8022413187079946E-6</v>
      </c>
      <c r="Y159" s="6">
        <f t="shared" si="35"/>
        <v>1.1771998732078661E-4</v>
      </c>
      <c r="Z159" s="44">
        <f t="shared" si="41"/>
        <v>1.1080157212689704E-4</v>
      </c>
      <c r="AA159" s="6"/>
      <c r="AB159" s="6"/>
      <c r="AC159" s="6"/>
      <c r="AD159" s="6"/>
      <c r="AE159" s="6"/>
      <c r="AF159" s="6"/>
    </row>
    <row r="160" spans="1:32" x14ac:dyDescent="0.2">
      <c r="A160" s="271">
        <f>'Berekening trap 1'!A160</f>
        <v>37.703198146144096</v>
      </c>
      <c r="B160" s="6">
        <f t="shared" si="43"/>
        <v>36.770574336249396</v>
      </c>
      <c r="C160" s="168">
        <f t="shared" si="42"/>
        <v>35.980538324064987</v>
      </c>
      <c r="D160" s="200">
        <f t="shared" si="46"/>
        <v>2.0188197236222145E-4</v>
      </c>
      <c r="E160" s="197">
        <f t="shared" si="39"/>
        <v>4.5612145490992351E-4</v>
      </c>
      <c r="F160" s="43">
        <f t="shared" si="30"/>
        <v>2.0188197236222145E-4</v>
      </c>
      <c r="G160" s="155">
        <f t="shared" si="30"/>
        <v>4.5612145490992351E-4</v>
      </c>
      <c r="H160" s="170">
        <f t="shared" si="44"/>
        <v>4.5612145490992351E-4</v>
      </c>
      <c r="I160" s="179">
        <f t="shared" si="36"/>
        <v>4.5612145490992351E-4</v>
      </c>
      <c r="J160" s="314">
        <f>IF(INVOER!$T$36=1,100-H160*100,100-I160*100)</f>
        <v>99.954387854509008</v>
      </c>
      <c r="K160" s="408">
        <f>IF(AND('Berekening trap 1'!$B$64=1,INVOER!$C$20=1),'Berekening trap 1'!U160,'Berekening trap 1'!V160)</f>
        <v>1.649284966737426E-3</v>
      </c>
      <c r="L160" s="380">
        <f t="shared" si="31"/>
        <v>1.9809772175422E-2</v>
      </c>
      <c r="M160" s="380">
        <f t="shared" si="37"/>
        <v>3.1182446102964306E-2</v>
      </c>
      <c r="N160" s="375">
        <f>'Berekening trap 2'!H160*$L160</f>
        <v>9.0356621060876037E-6</v>
      </c>
      <c r="O160" s="376">
        <f>'Berekening trap 2'!I160*$L160</f>
        <v>9.0356621060876037E-6</v>
      </c>
      <c r="Q160" s="396">
        <f t="shared" si="32"/>
        <v>99.999948214524693</v>
      </c>
      <c r="R160" s="6">
        <f t="shared" si="38"/>
        <v>36.770574336249396</v>
      </c>
      <c r="S160" s="380">
        <f>1/100*'Berekening trap 1'!T160*INVOER!$W$19*1000</f>
        <v>1.7212047624123381</v>
      </c>
      <c r="T160" s="380">
        <f t="shared" si="33"/>
        <v>1.4554566628080716</v>
      </c>
      <c r="U160" s="44">
        <f t="shared" si="40"/>
        <v>4.6005300398726394</v>
      </c>
      <c r="V160" s="380">
        <f t="shared" si="34"/>
        <v>1.9809772175422E-2</v>
      </c>
      <c r="W160" s="44">
        <f t="shared" si="45"/>
        <v>3.1182446102964306E-2</v>
      </c>
      <c r="X160" s="145">
        <f>IF(AND(INVOER!$T$36=1,INVOER!E103=1),1/100*N160*INVOER!$W$20*1000,1/100*O160*INVOER!$W$20*1000)</f>
        <v>8.9133406692293828E-7</v>
      </c>
      <c r="Y160" s="6">
        <f t="shared" si="35"/>
        <v>5.8220746560163748E-5</v>
      </c>
      <c r="Z160" s="44">
        <f t="shared" si="41"/>
        <v>5.2580825566733297E-5</v>
      </c>
      <c r="AA160" s="6"/>
      <c r="AB160" s="6"/>
      <c r="AC160" s="6"/>
      <c r="AD160" s="6"/>
      <c r="AE160" s="6"/>
      <c r="AF160" s="6"/>
    </row>
    <row r="161" spans="1:32" x14ac:dyDescent="0.2">
      <c r="A161" s="271">
        <f>'Berekening trap 1'!A161</f>
        <v>39.665525778379283</v>
      </c>
      <c r="B161" s="46">
        <f t="shared" si="43"/>
        <v>38.68436196226169</v>
      </c>
      <c r="C161" s="182">
        <f t="shared" si="42"/>
        <v>37.853207170414052</v>
      </c>
      <c r="D161" s="201">
        <f t="shared" si="46"/>
        <v>1.4529670453876825E-4</v>
      </c>
      <c r="E161" s="167">
        <f t="shared" si="39"/>
        <v>3.445836764634557E-4</v>
      </c>
      <c r="F161" s="45">
        <f t="shared" si="30"/>
        <v>1.4529670453876825E-4</v>
      </c>
      <c r="G161" s="183">
        <f t="shared" si="30"/>
        <v>3.445836764634557E-4</v>
      </c>
      <c r="H161" s="171">
        <f t="shared" si="44"/>
        <v>3.445836764634557E-4</v>
      </c>
      <c r="I161" s="235">
        <f t="shared" si="36"/>
        <v>3.445836764634557E-4</v>
      </c>
      <c r="J161" s="314">
        <f>IF(INVOER!$T$36=1,100-H161*100,100-I161*100)</f>
        <v>99.965541632353649</v>
      </c>
      <c r="K161" s="408">
        <f>IF(AND('Berekening trap 1'!$B$64=1,INVOER!$C$20=1),'Berekening trap 1'!U161,'Berekening trap 1'!V161)</f>
        <v>1.0744117104063717E-3</v>
      </c>
      <c r="L161" s="377">
        <f t="shared" si="31"/>
        <v>1.2904896142877528E-2</v>
      </c>
      <c r="M161" s="377">
        <f t="shared" si="37"/>
        <v>1.8277549960086778E-2</v>
      </c>
      <c r="N161" s="378">
        <f>'Berekening trap 2'!H161*$L161</f>
        <v>4.4468165572918073E-6</v>
      </c>
      <c r="O161" s="379">
        <f>'Berekening trap 2'!I161*$L161</f>
        <v>4.4468165572918073E-6</v>
      </c>
      <c r="Q161" s="396">
        <f t="shared" si="32"/>
        <v>99.999969303535352</v>
      </c>
      <c r="R161" s="6">
        <f t="shared" si="38"/>
        <v>38.68436196226169</v>
      </c>
      <c r="S161" s="380">
        <f>1/100*'Berekening trap 1'!T161*INVOER!$W$19*1000</f>
        <v>1.4290301045970855</v>
      </c>
      <c r="T161" s="380">
        <f t="shared" si="33"/>
        <v>1.2083927679668349</v>
      </c>
      <c r="U161" s="44">
        <f t="shared" si="40"/>
        <v>3.3921372719058045</v>
      </c>
      <c r="V161" s="380">
        <f t="shared" si="34"/>
        <v>1.2904896142877528E-2</v>
      </c>
      <c r="W161" s="44">
        <f t="shared" si="45"/>
        <v>1.8277549960086778E-2</v>
      </c>
      <c r="X161" s="145">
        <f>IF(AND(INVOER!$T$36=1,INVOER!E104=1),1/100*N161*INVOER!$W$20*1000,1/100*O161*INVOER!$W$20*1000)</f>
        <v>4.3866172067244154E-7</v>
      </c>
      <c r="Y161" s="6">
        <f t="shared" si="35"/>
        <v>2.8652795638207776E-5</v>
      </c>
      <c r="Z161" s="44">
        <f t="shared" si="41"/>
        <v>2.3928029928525521E-5</v>
      </c>
      <c r="AA161" s="6"/>
      <c r="AB161" s="6"/>
      <c r="AC161" s="6"/>
      <c r="AD161" s="6"/>
      <c r="AE161" s="6"/>
      <c r="AF161" s="6"/>
    </row>
    <row r="162" spans="1:32" x14ac:dyDescent="0.2">
      <c r="A162" s="270">
        <f>'Berekening trap 1'!A162</f>
        <v>41.729986118861326</v>
      </c>
      <c r="B162" s="6">
        <f t="shared" si="43"/>
        <v>40.697755948620305</v>
      </c>
      <c r="C162" s="168">
        <f t="shared" si="42"/>
        <v>39.82334227967727</v>
      </c>
      <c r="D162" s="200">
        <f t="shared" si="46"/>
        <v>1.032758275498102E-4</v>
      </c>
      <c r="E162" s="197">
        <f t="shared" si="39"/>
        <v>2.5766252447728297E-4</v>
      </c>
      <c r="F162" s="43">
        <f t="shared" si="30"/>
        <v>1.032758275498102E-4</v>
      </c>
      <c r="G162" s="155">
        <f t="shared" si="30"/>
        <v>2.5766252447728297E-4</v>
      </c>
      <c r="H162" s="170">
        <f t="shared" si="44"/>
        <v>2.5766252447728297E-4</v>
      </c>
      <c r="I162" s="179">
        <f t="shared" si="36"/>
        <v>2.5766252447728297E-4</v>
      </c>
      <c r="J162" s="313">
        <f>IF(INVOER!$T$36=1,100-H162*100,100-I162*100)</f>
        <v>99.974233747552276</v>
      </c>
      <c r="K162" s="407">
        <f>IF(AND('Berekening trap 1'!$B$64=1,INVOER!$C$20=1),'Berekening trap 1'!U162,'Berekening trap 1'!V162)</f>
        <v>6.8864872061797429E-4</v>
      </c>
      <c r="L162" s="380">
        <f t="shared" si="31"/>
        <v>8.2714476512352614E-3</v>
      </c>
      <c r="M162" s="380">
        <f t="shared" si="37"/>
        <v>1.0006102308851517E-2</v>
      </c>
      <c r="N162" s="375">
        <f>'Berekening trap 2'!H162*$L162</f>
        <v>2.1312420828989705E-6</v>
      </c>
      <c r="O162" s="376">
        <f>'Berekening trap 2'!I162*$L162</f>
        <v>2.1312420828989705E-6</v>
      </c>
      <c r="Q162" s="396">
        <f t="shared" si="32"/>
        <v>99.999982106246748</v>
      </c>
      <c r="R162" s="6">
        <f t="shared" si="38"/>
        <v>40.697755948620305</v>
      </c>
      <c r="S162" s="380">
        <f>1/100*'Berekening trap 1'!T162*INVOER!$W$19*1000</f>
        <v>1.1749296473243476</v>
      </c>
      <c r="T162" s="380">
        <f t="shared" si="33"/>
        <v>0.99352454796385903</v>
      </c>
      <c r="U162" s="44">
        <f t="shared" si="40"/>
        <v>2.3986127239419455</v>
      </c>
      <c r="V162" s="380">
        <f t="shared" si="34"/>
        <v>8.2714476512352614E-3</v>
      </c>
      <c r="W162" s="44">
        <f t="shared" si="45"/>
        <v>1.0006102308851517E-2</v>
      </c>
      <c r="X162" s="145">
        <f>IF(AND(INVOER!$T$36=1,INVOER!E105=1),1/100*N162*INVOER!$W$20*1000,1/100*O162*INVOER!$W$20*1000)</f>
        <v>2.1023901193337024E-7</v>
      </c>
      <c r="Y162" s="6">
        <f t="shared" si="35"/>
        <v>1.373253046760328E-5</v>
      </c>
      <c r="Z162" s="44">
        <f t="shared" si="41"/>
        <v>1.0195499460922241E-5</v>
      </c>
      <c r="AA162" s="6"/>
      <c r="AB162" s="6"/>
      <c r="AC162" s="6"/>
      <c r="AD162" s="6"/>
      <c r="AE162" s="6"/>
      <c r="AF162" s="6"/>
    </row>
    <row r="163" spans="1:32" x14ac:dyDescent="0.2">
      <c r="A163" s="271">
        <f>'Berekening trap 1'!A163</f>
        <v>43.901894839612829</v>
      </c>
      <c r="B163" s="6">
        <f t="shared" si="43"/>
        <v>42.815940479237078</v>
      </c>
      <c r="C163" s="168">
        <f t="shared" si="42"/>
        <v>41.896016450724019</v>
      </c>
      <c r="D163" s="200">
        <f t="shared" si="46"/>
        <v>7.2463542787302247E-5</v>
      </c>
      <c r="E163" s="197">
        <f t="shared" si="39"/>
        <v>1.9062825834726706E-4</v>
      </c>
      <c r="F163" s="43">
        <f t="shared" si="30"/>
        <v>7.2463542787302247E-5</v>
      </c>
      <c r="G163" s="155">
        <f t="shared" si="30"/>
        <v>1.9062825834726706E-4</v>
      </c>
      <c r="H163" s="170">
        <f t="shared" si="44"/>
        <v>1.9062825834726706E-4</v>
      </c>
      <c r="I163" s="179">
        <f t="shared" si="36"/>
        <v>1.9062825834726706E-4</v>
      </c>
      <c r="J163" s="314">
        <f>IF(INVOER!$T$36=1,100-H163*100,100-I163*100)</f>
        <v>99.980937174165277</v>
      </c>
      <c r="K163" s="408">
        <f>IF(AND('Berekening trap 1'!$B$64=1,INVOER!$C$20=1),'Berekening trap 1'!U163,'Berekening trap 1'!V163)</f>
        <v>4.1807258277153612E-4</v>
      </c>
      <c r="L163" s="380">
        <f t="shared" si="31"/>
        <v>5.0215231354939702E-3</v>
      </c>
      <c r="M163" s="380">
        <f t="shared" si="37"/>
        <v>4.9845791733575465E-3</v>
      </c>
      <c r="N163" s="375">
        <f>'Berekening trap 2'!H163*$L163</f>
        <v>9.5724420956972313E-7</v>
      </c>
      <c r="O163" s="376">
        <f>'Berekening trap 2'!I163*$L163</f>
        <v>9.5724420956972313E-7</v>
      </c>
      <c r="Q163" s="396">
        <f t="shared" si="32"/>
        <v>99.999989748517663</v>
      </c>
      <c r="R163" s="6">
        <f t="shared" si="38"/>
        <v>42.815940479237078</v>
      </c>
      <c r="S163" s="380">
        <f>1/100*'Berekening trap 1'!T163*INVOER!$W$19*1000</f>
        <v>0.92112083145731516</v>
      </c>
      <c r="T163" s="380">
        <f t="shared" si="33"/>
        <v>0.77890294093590762</v>
      </c>
      <c r="U163" s="44">
        <f t="shared" si="40"/>
        <v>1.6197097830060379</v>
      </c>
      <c r="V163" s="380">
        <f t="shared" si="34"/>
        <v>5.0215231354939702E-3</v>
      </c>
      <c r="W163" s="44">
        <f t="shared" si="45"/>
        <v>4.9845791733575465E-3</v>
      </c>
      <c r="X163" s="145">
        <f>IF(AND(INVOER!$T$36=1,INVOER!E106=1),1/100*N163*INVOER!$W$20*1000,1/100*O163*INVOER!$W$20*1000)</f>
        <v>9.4428539307525807E-8</v>
      </c>
      <c r="Y163" s="6">
        <f t="shared" si="35"/>
        <v>6.1679456211620747E-6</v>
      </c>
      <c r="Z163" s="44">
        <f t="shared" si="41"/>
        <v>4.0275538397601665E-6</v>
      </c>
      <c r="AA163" s="6"/>
      <c r="AB163" s="6"/>
      <c r="AC163" s="6"/>
      <c r="AD163" s="6"/>
      <c r="AE163" s="6"/>
      <c r="AF163" s="6"/>
    </row>
    <row r="164" spans="1:32" x14ac:dyDescent="0.2">
      <c r="A164" s="271">
        <f>'Berekening trap 1'!A164</f>
        <v>46.186844275926525</v>
      </c>
      <c r="B164" s="6">
        <f t="shared" si="43"/>
        <v>45.044369557769677</v>
      </c>
      <c r="C164" s="168">
        <f t="shared" si="42"/>
        <v>44.076566504943848</v>
      </c>
      <c r="D164" s="200">
        <f t="shared" si="46"/>
        <v>5.0165344333272417E-5</v>
      </c>
      <c r="E164" s="197">
        <f t="shared" si="39"/>
        <v>1.3948705942138159E-4</v>
      </c>
      <c r="F164" s="43">
        <f t="shared" si="30"/>
        <v>5.0165344333272417E-5</v>
      </c>
      <c r="G164" s="155">
        <f t="shared" si="30"/>
        <v>1.3948705942138159E-4</v>
      </c>
      <c r="H164" s="170">
        <f t="shared" si="44"/>
        <v>1.3948705942138159E-4</v>
      </c>
      <c r="I164" s="179">
        <f t="shared" si="36"/>
        <v>1.3948705942138159E-4</v>
      </c>
      <c r="J164" s="314">
        <f>IF(INVOER!$T$36=1,100-H164*100,100-I164*100)</f>
        <v>99.986051294057859</v>
      </c>
      <c r="K164" s="408">
        <f>IF(AND('Berekening trap 1'!$B$64=1,INVOER!$C$20=1),'Berekening trap 1'!U164,'Berekening trap 1'!V164)</f>
        <v>2.6362979007899911E-4</v>
      </c>
      <c r="L164" s="380">
        <f t="shared" si="31"/>
        <v>3.166491046389764E-3</v>
      </c>
      <c r="M164" s="380">
        <f t="shared" si="37"/>
        <v>1.8180881269677825E-3</v>
      </c>
      <c r="N164" s="375">
        <f>'Berekening trap 2'!H164*$L164</f>
        <v>4.4168452474504178E-7</v>
      </c>
      <c r="O164" s="376">
        <f>'Berekening trap 2'!I164*$L164</f>
        <v>4.4168452474504178E-7</v>
      </c>
      <c r="Q164" s="396">
        <f t="shared" si="32"/>
        <v>99.999994231336515</v>
      </c>
      <c r="R164" s="6">
        <f t="shared" si="38"/>
        <v>45.044369557769677</v>
      </c>
      <c r="S164" s="380">
        <f>1/100*'Berekening trap 1'!T164*INVOER!$W$19*1000</f>
        <v>0.75529655174253252</v>
      </c>
      <c r="T164" s="380">
        <f t="shared" si="33"/>
        <v>0.6386813600776442</v>
      </c>
      <c r="U164" s="44">
        <f t="shared" si="40"/>
        <v>0.98102842292839365</v>
      </c>
      <c r="V164" s="380">
        <f t="shared" si="34"/>
        <v>3.166491046389764E-3</v>
      </c>
      <c r="W164" s="44">
        <f t="shared" si="45"/>
        <v>1.8180881269677825E-3</v>
      </c>
      <c r="X164" s="145">
        <f>IF(AND(INVOER!$T$36=1,INVOER!E107=1),1/100*N164*INVOER!$W$20*1000,1/100*O164*INVOER!$W$20*1000)</f>
        <v>4.3570516373413652E-8</v>
      </c>
      <c r="Y164" s="6">
        <f t="shared" si="35"/>
        <v>2.8459677301791004E-6</v>
      </c>
      <c r="Z164" s="44">
        <f t="shared" si="41"/>
        <v>1.181586109581066E-6</v>
      </c>
      <c r="AA164" s="6"/>
      <c r="AB164" s="6"/>
      <c r="AC164" s="6"/>
      <c r="AD164" s="6"/>
      <c r="AE164" s="6"/>
      <c r="AF164" s="6"/>
    </row>
    <row r="165" spans="1:32" x14ac:dyDescent="0.2">
      <c r="A165" s="271">
        <f>'Berekening trap 1'!A165</f>
        <v>48.590717825779834</v>
      </c>
      <c r="B165" s="6">
        <f t="shared" si="43"/>
        <v>47.388781050853183</v>
      </c>
      <c r="C165" s="168">
        <f t="shared" si="42"/>
        <v>46.370607027751568</v>
      </c>
      <c r="D165" s="200">
        <f t="shared" si="46"/>
        <v>3.4247479235617023E-5</v>
      </c>
      <c r="E165" s="197">
        <f t="shared" si="39"/>
        <v>1.0090580491221439E-4</v>
      </c>
      <c r="F165" s="43">
        <f t="shared" si="30"/>
        <v>3.4247479235617023E-5</v>
      </c>
      <c r="G165" s="155">
        <f t="shared" si="30"/>
        <v>1.0090580491221439E-4</v>
      </c>
      <c r="H165" s="170">
        <f t="shared" si="44"/>
        <v>1.0090580491221439E-4</v>
      </c>
      <c r="I165" s="179">
        <f t="shared" si="36"/>
        <v>1.0090580491221439E-4</v>
      </c>
      <c r="J165" s="314">
        <f>IF(INVOER!$T$36=1,100-H165*100,100-I165*100)</f>
        <v>99.989909419508777</v>
      </c>
      <c r="K165" s="408">
        <f>IF(AND('Berekening trap 1'!$B$64=1,INVOER!$C$20=1),'Berekening trap 1'!U165,'Berekening trap 1'!V165)</f>
        <v>1.5130304024191349E-4</v>
      </c>
      <c r="L165" s="380">
        <f t="shared" si="31"/>
        <v>1.8173201218041504E-3</v>
      </c>
      <c r="M165" s="380">
        <f t="shared" si="37"/>
        <v>7.6800516363205798E-7</v>
      </c>
      <c r="N165" s="375">
        <f>'Berekening trap 2'!H165*$L165</f>
        <v>1.833781496738113E-7</v>
      </c>
      <c r="O165" s="376">
        <f>'Berekening trap 2'!I165*$L165</f>
        <v>1.833781496738113E-7</v>
      </c>
      <c r="Q165" s="396">
        <f t="shared" si="32"/>
        <v>99.999996813678322</v>
      </c>
      <c r="R165" s="6">
        <f t="shared" si="38"/>
        <v>47.388781050853183</v>
      </c>
      <c r="S165" s="380">
        <f>1/100*'Berekening trap 1'!T165*INVOER!$W$19*1000</f>
        <v>0.5677256176553519</v>
      </c>
      <c r="T165" s="380">
        <f t="shared" si="33"/>
        <v>0.48007073353969626</v>
      </c>
      <c r="U165" s="44">
        <f t="shared" si="40"/>
        <v>0.50095768938869734</v>
      </c>
      <c r="V165" s="380">
        <f t="shared" si="34"/>
        <v>1.8173201218041504E-3</v>
      </c>
      <c r="W165" s="44">
        <f t="shared" si="45"/>
        <v>7.6800516363205798E-7</v>
      </c>
      <c r="X165" s="145">
        <f>IF(AND(INVOER!$T$36=1,INVOER!E108=1),1/100*N165*INVOER!$W$20*1000,1/100*O165*INVOER!$W$20*1000)</f>
        <v>1.80895644408216E-8</v>
      </c>
      <c r="Y165" s="6">
        <f t="shared" si="35"/>
        <v>1.1815861030967188E-6</v>
      </c>
      <c r="Z165" s="44">
        <f t="shared" si="41"/>
        <v>6.4843472252903642E-15</v>
      </c>
      <c r="AA165" s="6"/>
      <c r="AB165" s="6"/>
      <c r="AC165" s="6"/>
      <c r="AD165" s="6"/>
      <c r="AE165" s="6"/>
      <c r="AF165" s="6"/>
    </row>
    <row r="166" spans="1:32" x14ac:dyDescent="0.2">
      <c r="A166" s="272">
        <f>'Berekening trap 1'!A166</f>
        <v>51.119705098691639</v>
      </c>
      <c r="B166" s="46">
        <f t="shared" si="43"/>
        <v>49.855211462235737</v>
      </c>
      <c r="C166" s="182">
        <f t="shared" si="42"/>
        <v>48.784044825292398</v>
      </c>
      <c r="D166" s="201">
        <f t="shared" si="46"/>
        <v>2.3044258865187493E-5</v>
      </c>
      <c r="E166" s="167">
        <f t="shared" si="39"/>
        <v>7.2136082592899061E-5</v>
      </c>
      <c r="F166" s="45">
        <f t="shared" si="30"/>
        <v>2.3044258865187493E-5</v>
      </c>
      <c r="G166" s="183">
        <f t="shared" si="30"/>
        <v>7.2136082592899061E-5</v>
      </c>
      <c r="H166" s="171">
        <f t="shared" si="44"/>
        <v>7.2136082592899061E-5</v>
      </c>
      <c r="I166" s="235">
        <f t="shared" si="36"/>
        <v>7.2136082592899061E-5</v>
      </c>
      <c r="J166" s="315">
        <f>IF(INVOER!$T$36=1,100-H166*100,100-I166*100)</f>
        <v>99.992786391740708</v>
      </c>
      <c r="K166" s="409">
        <f>IF(AND('Berekening trap 1'!$B$64=1,INVOER!$C$20=1),'Berekening trap 1'!U166,'Berekening trap 1'!V166)</f>
        <v>0</v>
      </c>
      <c r="L166" s="380">
        <f t="shared" si="31"/>
        <v>0</v>
      </c>
      <c r="M166" s="380">
        <f t="shared" si="37"/>
        <v>7.6800516363205798E-7</v>
      </c>
      <c r="N166" s="375">
        <f>'Berekening trap 2'!H166*$L166</f>
        <v>0</v>
      </c>
      <c r="O166" s="376">
        <f>'Berekening trap 2'!I166*$L166</f>
        <v>0</v>
      </c>
      <c r="Q166" s="396">
        <f t="shared" si="32"/>
        <v>100</v>
      </c>
      <c r="R166" s="6">
        <f t="shared" si="38"/>
        <v>49.855211462235737</v>
      </c>
      <c r="S166" s="380">
        <f>1/100*'Berekening trap 1'!T166*INVOER!$W$19*1000</f>
        <v>0</v>
      </c>
      <c r="T166" s="380">
        <f t="shared" si="33"/>
        <v>0</v>
      </c>
      <c r="U166" s="44">
        <f t="shared" si="40"/>
        <v>0.50095768938869734</v>
      </c>
      <c r="V166" s="380">
        <f t="shared" si="34"/>
        <v>0</v>
      </c>
      <c r="W166" s="44">
        <f t="shared" si="45"/>
        <v>7.6800516363205798E-7</v>
      </c>
      <c r="X166" s="145">
        <f>IF(AND(INVOER!$T$36=1,INVOER!E109=1),1/100*N166*INVOER!$W$20*1000,1/100*O166*INVOER!$W$20*1000)</f>
        <v>0</v>
      </c>
      <c r="Y166" s="6">
        <f t="shared" si="35"/>
        <v>0</v>
      </c>
      <c r="Z166" s="44">
        <f t="shared" si="41"/>
        <v>6.4843472252903642E-15</v>
      </c>
      <c r="AA166" s="6"/>
      <c r="AB166" s="6"/>
      <c r="AC166" s="6"/>
      <c r="AD166" s="6"/>
      <c r="AE166" s="6"/>
      <c r="AF166" s="6"/>
    </row>
    <row r="167" spans="1:32" x14ac:dyDescent="0.2">
      <c r="A167" s="271">
        <f>'Berekening trap 1'!A167</f>
        <v>53.78031785302732</v>
      </c>
      <c r="B167" s="6">
        <f t="shared" si="43"/>
        <v>52.450011475859483</v>
      </c>
      <c r="C167" s="168">
        <f t="shared" si="42"/>
        <v>51.323094133571345</v>
      </c>
      <c r="D167" s="200">
        <f t="shared" si="46"/>
        <v>1.5274469510986404E-5</v>
      </c>
      <c r="E167" s="197">
        <f t="shared" si="39"/>
        <v>5.0939546112261703E-5</v>
      </c>
      <c r="F167" s="43">
        <f t="shared" si="30"/>
        <v>1.5274469510986404E-5</v>
      </c>
      <c r="G167" s="155">
        <f t="shared" si="30"/>
        <v>5.0939546112261703E-5</v>
      </c>
      <c r="H167" s="170">
        <f t="shared" si="44"/>
        <v>5.0939546112261703E-5</v>
      </c>
      <c r="I167" s="179">
        <f t="shared" si="36"/>
        <v>5.0939546112261703E-5</v>
      </c>
      <c r="J167" s="314">
        <f>IF(INVOER!$T$36=1,100-H167*100,100-I167*100)</f>
        <v>99.994906045388774</v>
      </c>
      <c r="K167" s="408">
        <f>IF(AND('Berekening trap 1'!$B$64=1,INVOER!$C$20=1),'Berekening trap 1'!U167,'Berekening trap 1'!V167)</f>
        <v>0</v>
      </c>
      <c r="L167" s="381">
        <f t="shared" si="31"/>
        <v>0</v>
      </c>
      <c r="M167" s="381">
        <f t="shared" si="37"/>
        <v>7.6800516363205798E-7</v>
      </c>
      <c r="N167" s="372">
        <f>'Berekening trap 2'!H167*$L167</f>
        <v>0</v>
      </c>
      <c r="O167" s="373">
        <f>'Berekening trap 2'!I167*$L167</f>
        <v>0</v>
      </c>
      <c r="Q167" s="396">
        <f t="shared" si="32"/>
        <v>100</v>
      </c>
      <c r="R167" s="6">
        <f t="shared" si="38"/>
        <v>52.450011475859483</v>
      </c>
      <c r="S167" s="380">
        <f>1/100*'Berekening trap 1'!T167*INVOER!$W$19*1000</f>
        <v>0</v>
      </c>
      <c r="T167" s="380">
        <f t="shared" si="33"/>
        <v>0</v>
      </c>
      <c r="U167" s="44">
        <f t="shared" si="40"/>
        <v>0.50095768938869734</v>
      </c>
      <c r="V167" s="380">
        <f t="shared" si="34"/>
        <v>0</v>
      </c>
      <c r="W167" s="44">
        <f t="shared" si="45"/>
        <v>7.6800516363205798E-7</v>
      </c>
      <c r="X167" s="145">
        <f>IF(AND(INVOER!$T$36=1,INVOER!E110=1),1/100*N167*INVOER!$W$20*1000,1/100*O167*INVOER!$W$20*1000)</f>
        <v>0</v>
      </c>
      <c r="Y167" s="6">
        <f t="shared" si="35"/>
        <v>0</v>
      </c>
      <c r="Z167" s="44">
        <f t="shared" si="41"/>
        <v>6.4843472252903642E-15</v>
      </c>
      <c r="AA167" s="6"/>
      <c r="AB167" s="6"/>
      <c r="AC167" s="6"/>
      <c r="AD167" s="6"/>
      <c r="AE167" s="6"/>
      <c r="AF167" s="6"/>
    </row>
    <row r="168" spans="1:32" x14ac:dyDescent="0.2">
      <c r="A168" s="271">
        <f>'Berekening trap 1'!A168</f>
        <v>56.579406762788139</v>
      </c>
      <c r="B168" s="6">
        <f t="shared" si="43"/>
        <v>55.179862307907726</v>
      </c>
      <c r="C168" s="168">
        <f t="shared" si="42"/>
        <v>53.99429261916756</v>
      </c>
      <c r="D168" s="200">
        <f t="shared" si="46"/>
        <v>9.9675765054032621E-6</v>
      </c>
      <c r="E168" s="197">
        <f t="shared" si="39"/>
        <v>3.5516386169479156E-5</v>
      </c>
      <c r="F168" s="43">
        <f t="shared" si="30"/>
        <v>9.9675765054032621E-6</v>
      </c>
      <c r="G168" s="155">
        <f t="shared" si="30"/>
        <v>3.5516386169479156E-5</v>
      </c>
      <c r="H168" s="170">
        <f t="shared" si="44"/>
        <v>3.5516386169479156E-5</v>
      </c>
      <c r="I168" s="179">
        <f t="shared" si="36"/>
        <v>3.5516386169479156E-5</v>
      </c>
      <c r="J168" s="314">
        <f>IF(INVOER!$T$36=1,100-H168*100,100-I168*100)</f>
        <v>99.996448361383045</v>
      </c>
      <c r="K168" s="408">
        <f>IF(AND('Berekening trap 1'!$B$64=1,INVOER!$C$20=1),'Berekening trap 1'!U168,'Berekening trap 1'!V168)</f>
        <v>0</v>
      </c>
      <c r="L168" s="380">
        <f t="shared" si="31"/>
        <v>0</v>
      </c>
      <c r="M168" s="380">
        <f t="shared" si="37"/>
        <v>7.6800516363205798E-7</v>
      </c>
      <c r="N168" s="375">
        <f>'Berekening trap 2'!H168*$L168</f>
        <v>0</v>
      </c>
      <c r="O168" s="376">
        <f>'Berekening trap 2'!I168*$L168</f>
        <v>0</v>
      </c>
      <c r="Q168" s="396">
        <f t="shared" si="32"/>
        <v>100</v>
      </c>
      <c r="R168" s="6">
        <f t="shared" si="38"/>
        <v>55.179862307907726</v>
      </c>
      <c r="S168" s="380">
        <f>1/100*'Berekening trap 1'!T168*INVOER!$W$19*1000</f>
        <v>0</v>
      </c>
      <c r="T168" s="380">
        <f t="shared" si="33"/>
        <v>0</v>
      </c>
      <c r="U168" s="44">
        <f t="shared" si="40"/>
        <v>0.50095768938869734</v>
      </c>
      <c r="V168" s="380">
        <f t="shared" si="34"/>
        <v>0</v>
      </c>
      <c r="W168" s="44">
        <f t="shared" si="45"/>
        <v>7.6800516363205798E-7</v>
      </c>
      <c r="X168" s="145">
        <f>IF(AND(INVOER!$T$36=1,INVOER!E111=1),1/100*N168*INVOER!$W$20*1000,1/100*O168*INVOER!$W$20*1000)</f>
        <v>0</v>
      </c>
      <c r="Y168" s="6">
        <f t="shared" si="35"/>
        <v>0</v>
      </c>
      <c r="Z168" s="44">
        <f t="shared" si="41"/>
        <v>6.4843472252903642E-15</v>
      </c>
      <c r="AA168" s="6"/>
      <c r="AB168" s="6"/>
      <c r="AC168" s="6"/>
      <c r="AD168" s="6"/>
      <c r="AE168" s="6"/>
      <c r="AF168" s="6"/>
    </row>
    <row r="169" spans="1:32" x14ac:dyDescent="0.2">
      <c r="A169" s="271">
        <f>'Berekening trap 1'!A169</f>
        <v>59.524179057056976</v>
      </c>
      <c r="B169" s="6">
        <f t="shared" si="43"/>
        <v>58.051792909922554</v>
      </c>
      <c r="C169" s="168">
        <f t="shared" si="42"/>
        <v>56.804518212733569</v>
      </c>
      <c r="D169" s="200">
        <f t="shared" si="46"/>
        <v>6.3999174921626878E-6</v>
      </c>
      <c r="E169" s="197">
        <f t="shared" si="39"/>
        <v>2.443833360585794E-5</v>
      </c>
      <c r="F169" s="43">
        <f t="shared" si="30"/>
        <v>6.3999174921626878E-6</v>
      </c>
      <c r="G169" s="155">
        <f t="shared" si="30"/>
        <v>2.443833360585794E-5</v>
      </c>
      <c r="H169" s="170">
        <f t="shared" si="44"/>
        <v>2.443833360585794E-5</v>
      </c>
      <c r="I169" s="179">
        <f t="shared" si="36"/>
        <v>2.443833360585794E-5</v>
      </c>
      <c r="J169" s="314">
        <f>IF(INVOER!$T$36=1,100-H169*100,100-I169*100)</f>
        <v>99.997556166639413</v>
      </c>
      <c r="K169" s="408">
        <f>IF(AND('Berekening trap 1'!$B$64=1,INVOER!$C$20=1),'Berekening trap 1'!U169,'Berekening trap 1'!V169)</f>
        <v>0</v>
      </c>
      <c r="L169" s="380">
        <f t="shared" si="31"/>
        <v>0</v>
      </c>
      <c r="M169" s="380">
        <f t="shared" si="37"/>
        <v>7.6800516363205798E-7</v>
      </c>
      <c r="N169" s="375">
        <f>'Berekening trap 2'!H169*$L169</f>
        <v>0</v>
      </c>
      <c r="O169" s="376">
        <f>'Berekening trap 2'!I169*$L169</f>
        <v>0</v>
      </c>
      <c r="Q169" s="396">
        <f t="shared" si="32"/>
        <v>100</v>
      </c>
      <c r="R169" s="6">
        <f t="shared" si="38"/>
        <v>58.051792909922554</v>
      </c>
      <c r="S169" s="380">
        <f>1/100*'Berekening trap 1'!T169*INVOER!$W$19*1000</f>
        <v>0</v>
      </c>
      <c r="T169" s="380">
        <f t="shared" si="33"/>
        <v>0</v>
      </c>
      <c r="U169" s="44">
        <f t="shared" si="40"/>
        <v>0.50095768938869734</v>
      </c>
      <c r="V169" s="380">
        <f t="shared" si="34"/>
        <v>0</v>
      </c>
      <c r="W169" s="44">
        <f t="shared" si="45"/>
        <v>7.6800516363205798E-7</v>
      </c>
      <c r="X169" s="145">
        <f>IF(AND(INVOER!$T$36=1,INVOER!E112=1),1/100*N169*INVOER!$W$20*1000,1/100*O169*INVOER!$W$20*1000)</f>
        <v>0</v>
      </c>
      <c r="Y169" s="6">
        <f t="shared" si="35"/>
        <v>0</v>
      </c>
      <c r="Z169" s="44">
        <f t="shared" si="41"/>
        <v>6.4843472252903642E-15</v>
      </c>
      <c r="AA169" s="6"/>
      <c r="AB169" s="6"/>
      <c r="AC169" s="6"/>
      <c r="AD169" s="6"/>
      <c r="AE169" s="6"/>
      <c r="AF169" s="6"/>
    </row>
    <row r="170" spans="1:32" x14ac:dyDescent="0.2">
      <c r="A170" s="271">
        <f>'Berekening trap 1'!A170</f>
        <v>62.622217077519267</v>
      </c>
      <c r="B170" s="6">
        <f t="shared" si="43"/>
        <v>61.073198067288118</v>
      </c>
      <c r="C170" s="168">
        <f t="shared" si="42"/>
        <v>59.761006818622668</v>
      </c>
      <c r="D170" s="200">
        <f t="shared" si="46"/>
        <v>4.0406569516515923E-6</v>
      </c>
      <c r="E170" s="197">
        <f t="shared" si="39"/>
        <v>1.6587238195440462E-5</v>
      </c>
      <c r="F170" s="43">
        <f t="shared" si="30"/>
        <v>4.0406569516515923E-6</v>
      </c>
      <c r="G170" s="155">
        <f t="shared" si="30"/>
        <v>1.6587238195440462E-5</v>
      </c>
      <c r="H170" s="170">
        <f t="shared" si="44"/>
        <v>1.6587238195440462E-5</v>
      </c>
      <c r="I170" s="179">
        <f t="shared" si="36"/>
        <v>1.6587238195440462E-5</v>
      </c>
      <c r="J170" s="314">
        <f>IF(INVOER!$T$36=1,100-H170*100,100-I170*100)</f>
        <v>99.998341276180454</v>
      </c>
      <c r="K170" s="408">
        <f>IF(AND('Berekening trap 1'!$B$64=1,INVOER!$C$20=1),'Berekening trap 1'!U170,'Berekening trap 1'!V170)</f>
        <v>0</v>
      </c>
      <c r="L170" s="380">
        <f t="shared" si="31"/>
        <v>0</v>
      </c>
      <c r="M170" s="380">
        <f t="shared" si="37"/>
        <v>7.6800516363205798E-7</v>
      </c>
      <c r="N170" s="375">
        <f>'Berekening trap 2'!H170*$L170</f>
        <v>0</v>
      </c>
      <c r="O170" s="376">
        <f>'Berekening trap 2'!I170*$L170</f>
        <v>0</v>
      </c>
      <c r="Q170" s="396">
        <f t="shared" si="32"/>
        <v>100</v>
      </c>
      <c r="R170" s="6">
        <f t="shared" si="38"/>
        <v>61.073198067288118</v>
      </c>
      <c r="S170" s="380">
        <f>1/100*'Berekening trap 1'!T170*INVOER!$W$19*1000</f>
        <v>0</v>
      </c>
      <c r="T170" s="380">
        <f t="shared" si="33"/>
        <v>0</v>
      </c>
      <c r="U170" s="44">
        <f t="shared" si="40"/>
        <v>0.50095768938869734</v>
      </c>
      <c r="V170" s="380">
        <f t="shared" si="34"/>
        <v>0</v>
      </c>
      <c r="W170" s="44">
        <f t="shared" si="45"/>
        <v>7.6800516363205798E-7</v>
      </c>
      <c r="X170" s="145">
        <f>IF(AND(INVOER!$T$36=1,INVOER!E113=1),1/100*N170*INVOER!$W$20*1000,1/100*O170*INVOER!$W$20*1000)</f>
        <v>0</v>
      </c>
      <c r="Y170" s="6">
        <f t="shared" si="35"/>
        <v>0</v>
      </c>
      <c r="Z170" s="44">
        <f t="shared" si="41"/>
        <v>6.4843472252903642E-15</v>
      </c>
      <c r="AA170" s="6"/>
      <c r="AB170" s="6"/>
      <c r="AC170" s="6"/>
      <c r="AD170" s="6"/>
      <c r="AE170" s="6"/>
      <c r="AF170" s="6"/>
    </row>
    <row r="171" spans="1:32" x14ac:dyDescent="0.2">
      <c r="A171" s="271">
        <f>'Berekening trap 1'!A171</f>
        <v>65.881497801841945</v>
      </c>
      <c r="B171" s="46">
        <f t="shared" si="43"/>
        <v>64.251857439680606</v>
      </c>
      <c r="C171" s="182">
        <f t="shared" si="42"/>
        <v>62.87137094624434</v>
      </c>
      <c r="D171" s="201">
        <f t="shared" si="46"/>
        <v>2.5069381557098489E-6</v>
      </c>
      <c r="E171" s="167">
        <f t="shared" si="39"/>
        <v>1.1099901866864411E-5</v>
      </c>
      <c r="F171" s="45">
        <f t="shared" si="30"/>
        <v>2.5069381557098489E-6</v>
      </c>
      <c r="G171" s="183">
        <f t="shared" si="30"/>
        <v>1.1099901866864411E-5</v>
      </c>
      <c r="H171" s="171">
        <f t="shared" si="44"/>
        <v>1.1099901866864411E-5</v>
      </c>
      <c r="I171" s="235">
        <f t="shared" si="36"/>
        <v>1.1099901866864411E-5</v>
      </c>
      <c r="J171" s="314">
        <f>IF(INVOER!$T$36=1,100-H171*100,100-I171*100)</f>
        <v>99.998890009813309</v>
      </c>
      <c r="K171" s="408">
        <f>IF(AND('Berekening trap 1'!$B$64=1,INVOER!$C$20=1),'Berekening trap 1'!U171,'Berekening trap 1'!V171)</f>
        <v>0</v>
      </c>
      <c r="L171" s="377">
        <f t="shared" si="31"/>
        <v>0</v>
      </c>
      <c r="M171" s="377">
        <f t="shared" si="37"/>
        <v>7.6800516363205798E-7</v>
      </c>
      <c r="N171" s="378">
        <f>'Berekening trap 2'!H171*$L171</f>
        <v>0</v>
      </c>
      <c r="O171" s="379">
        <f>'Berekening trap 2'!I171*$L171</f>
        <v>0</v>
      </c>
      <c r="Q171" s="396">
        <f t="shared" si="32"/>
        <v>100</v>
      </c>
      <c r="R171" s="6">
        <f t="shared" si="38"/>
        <v>64.251857439680606</v>
      </c>
      <c r="S171" s="380">
        <f>1/100*'Berekening trap 1'!T171*INVOER!$W$19*1000</f>
        <v>0</v>
      </c>
      <c r="T171" s="380">
        <f t="shared" si="33"/>
        <v>0</v>
      </c>
      <c r="U171" s="44">
        <f t="shared" si="40"/>
        <v>0.50095768938869734</v>
      </c>
      <c r="V171" s="380">
        <f t="shared" si="34"/>
        <v>0</v>
      </c>
      <c r="W171" s="44">
        <f t="shared" si="45"/>
        <v>7.6800516363205798E-7</v>
      </c>
      <c r="X171" s="145">
        <f>IF(AND(INVOER!$T$36=1,INVOER!E114=1),1/100*N171*INVOER!$W$20*1000,1/100*O171*INVOER!$W$20*1000)</f>
        <v>0</v>
      </c>
      <c r="Y171" s="6">
        <f t="shared" si="35"/>
        <v>0</v>
      </c>
      <c r="Z171" s="44">
        <f t="shared" si="41"/>
        <v>6.4843472252903642E-15</v>
      </c>
      <c r="AA171" s="6"/>
      <c r="AB171" s="6"/>
      <c r="AC171" s="6"/>
      <c r="AD171" s="6"/>
      <c r="AE171" s="6"/>
      <c r="AF171" s="6"/>
    </row>
    <row r="172" spans="1:32" x14ac:dyDescent="0.2">
      <c r="A172" s="270">
        <f>'Berekening trap 1'!A172</f>
        <v>69.310413383180176</v>
      </c>
      <c r="B172" s="6">
        <f t="shared" si="43"/>
        <v>67.595955592511061</v>
      </c>
      <c r="C172" s="168">
        <f t="shared" si="42"/>
        <v>66.143619311120545</v>
      </c>
      <c r="D172" s="200">
        <f t="shared" si="46"/>
        <v>1.5274250273678162E-6</v>
      </c>
      <c r="E172" s="197">
        <f t="shared" si="39"/>
        <v>7.3195051044239746E-6</v>
      </c>
      <c r="F172" s="43">
        <f t="shared" si="30"/>
        <v>1.5274250273678162E-6</v>
      </c>
      <c r="G172" s="155">
        <f t="shared" si="30"/>
        <v>7.3195051044239746E-6</v>
      </c>
      <c r="H172" s="170">
        <f t="shared" si="44"/>
        <v>7.3195051044239746E-6</v>
      </c>
      <c r="I172" s="179">
        <f t="shared" si="36"/>
        <v>7.3195051044239746E-6</v>
      </c>
      <c r="J172" s="313">
        <f>IF(INVOER!$T$36=1,100-H172*100,100-I172*100)</f>
        <v>99.999268049489558</v>
      </c>
      <c r="K172" s="407">
        <f>IF(AND('Berekening trap 1'!$B$64=1,INVOER!$C$20=1),'Berekening trap 1'!U172,'Berekening trap 1'!V172)</f>
        <v>0</v>
      </c>
      <c r="L172" s="380">
        <f t="shared" ref="L172:L186" si="47">100*K172/$K$187</f>
        <v>0</v>
      </c>
      <c r="M172" s="380">
        <f t="shared" si="37"/>
        <v>7.6800516363205798E-7</v>
      </c>
      <c r="N172" s="375">
        <f>'Berekening trap 2'!H172*$L172</f>
        <v>0</v>
      </c>
      <c r="O172" s="376">
        <f>'Berekening trap 2'!I172*$L172</f>
        <v>0</v>
      </c>
      <c r="Q172" s="396">
        <f t="shared" ref="Q172:Q186" si="48">IF(S172=0,100,100*(S172-X172)/S172)</f>
        <v>100</v>
      </c>
      <c r="R172" s="6">
        <f t="shared" si="38"/>
        <v>67.595955592511061</v>
      </c>
      <c r="S172" s="380">
        <f>1/100*'Berekening trap 1'!T172*INVOER!$W$19*1000</f>
        <v>0</v>
      </c>
      <c r="T172" s="380">
        <f t="shared" ref="T172:T186" si="49">100*S172/$S$187</f>
        <v>0</v>
      </c>
      <c r="U172" s="44">
        <f t="shared" si="40"/>
        <v>0.50095768938869734</v>
      </c>
      <c r="V172" s="380">
        <f t="shared" ref="V172:V186" si="50">L172</f>
        <v>0</v>
      </c>
      <c r="W172" s="44">
        <f t="shared" si="45"/>
        <v>7.6800516363205798E-7</v>
      </c>
      <c r="X172" s="145">
        <f>IF(AND(INVOER!$T$36=1,INVOER!E115=1),1/100*N172*INVOER!$W$20*1000,1/100*O172*INVOER!$W$20*1000)</f>
        <v>0</v>
      </c>
      <c r="Y172" s="6">
        <f t="shared" ref="Y172:Y186" si="51">100*X172/$X$187</f>
        <v>0</v>
      </c>
      <c r="Z172" s="44">
        <f t="shared" si="41"/>
        <v>6.4843472252903642E-15</v>
      </c>
      <c r="AA172" s="6"/>
      <c r="AB172" s="6"/>
      <c r="AC172" s="6"/>
      <c r="AD172" s="6"/>
      <c r="AE172" s="6"/>
      <c r="AF172" s="6"/>
    </row>
    <row r="173" spans="1:32" x14ac:dyDescent="0.2">
      <c r="A173" s="271">
        <f>'Berekening trap 1'!A173</f>
        <v>72.917792758697885</v>
      </c>
      <c r="B173" s="6">
        <f t="shared" si="43"/>
        <v>71.114103070939024</v>
      </c>
      <c r="C173" s="168">
        <f t="shared" si="42"/>
        <v>69.586177456112566</v>
      </c>
      <c r="D173" s="200">
        <f t="shared" si="46"/>
        <v>9.1327256938634753E-7</v>
      </c>
      <c r="E173" s="197">
        <f t="shared" si="39"/>
        <v>4.7536646829610761E-6</v>
      </c>
      <c r="F173" s="43">
        <f t="shared" si="30"/>
        <v>9.1327256938634753E-7</v>
      </c>
      <c r="G173" s="155">
        <f t="shared" si="30"/>
        <v>4.7536646829610761E-6</v>
      </c>
      <c r="H173" s="170">
        <f t="shared" si="44"/>
        <v>4.7536646829610761E-6</v>
      </c>
      <c r="I173" s="179">
        <f t="shared" si="36"/>
        <v>4.7536646829610761E-6</v>
      </c>
      <c r="J173" s="314">
        <f>IF(INVOER!$T$36=1,100-H173*100,100-I173*100)</f>
        <v>99.999524633531706</v>
      </c>
      <c r="K173" s="408">
        <f>IF(AND('Berekening trap 1'!$B$64=1,INVOER!$C$20=1),'Berekening trap 1'!U173,'Berekening trap 1'!V173)</f>
        <v>0</v>
      </c>
      <c r="L173" s="380">
        <f t="shared" si="47"/>
        <v>0</v>
      </c>
      <c r="M173" s="380">
        <f t="shared" ref="M173:M186" si="52">M172-L173</f>
        <v>7.6800516363205798E-7</v>
      </c>
      <c r="N173" s="375">
        <f>'Berekening trap 2'!H173*$L173</f>
        <v>0</v>
      </c>
      <c r="O173" s="376">
        <f>'Berekening trap 2'!I173*$L173</f>
        <v>0</v>
      </c>
      <c r="Q173" s="396">
        <f t="shared" si="48"/>
        <v>100</v>
      </c>
      <c r="R173" s="6">
        <f t="shared" si="38"/>
        <v>71.114103070939024</v>
      </c>
      <c r="S173" s="380">
        <f>1/100*'Berekening trap 1'!T173*INVOER!$W$19*1000</f>
        <v>0</v>
      </c>
      <c r="T173" s="380">
        <f t="shared" si="49"/>
        <v>0</v>
      </c>
      <c r="U173" s="44">
        <f t="shared" si="40"/>
        <v>0.50095768938869734</v>
      </c>
      <c r="V173" s="380">
        <f t="shared" si="50"/>
        <v>0</v>
      </c>
      <c r="W173" s="44">
        <f t="shared" si="45"/>
        <v>7.6800516363205798E-7</v>
      </c>
      <c r="X173" s="145">
        <f>IF(AND(INVOER!$T$36=1,INVOER!E116=1),1/100*N173*INVOER!$W$20*1000,1/100*O173*INVOER!$W$20*1000)</f>
        <v>0</v>
      </c>
      <c r="Y173" s="6">
        <f t="shared" si="51"/>
        <v>0</v>
      </c>
      <c r="Z173" s="44">
        <f t="shared" si="41"/>
        <v>6.4843472252903642E-15</v>
      </c>
      <c r="AA173" s="6"/>
      <c r="AB173" s="6"/>
      <c r="AC173" s="6"/>
      <c r="AD173" s="6"/>
      <c r="AE173" s="6"/>
      <c r="AF173" s="6"/>
    </row>
    <row r="174" spans="1:32" x14ac:dyDescent="0.2">
      <c r="A174" s="271">
        <f>'Berekening trap 1'!A174</f>
        <v>76.712924382740908</v>
      </c>
      <c r="B174" s="6">
        <f t="shared" si="43"/>
        <v>74.815358570719397</v>
      </c>
      <c r="C174" s="168">
        <f t="shared" si="42"/>
        <v>73.207909445915035</v>
      </c>
      <c r="D174" s="200">
        <f t="shared" si="46"/>
        <v>5.3549238450156485E-7</v>
      </c>
      <c r="E174" s="197">
        <f t="shared" si="39"/>
        <v>3.0389098322173719E-6</v>
      </c>
      <c r="F174" s="43">
        <f t="shared" si="30"/>
        <v>5.3549238450156485E-7</v>
      </c>
      <c r="G174" s="155">
        <f t="shared" si="30"/>
        <v>3.0389098322173719E-6</v>
      </c>
      <c r="H174" s="170">
        <f t="shared" si="44"/>
        <v>3.0389098322173719E-6</v>
      </c>
      <c r="I174" s="179">
        <f t="shared" si="36"/>
        <v>3.0389098322173719E-6</v>
      </c>
      <c r="J174" s="314">
        <f>IF(INVOER!$T$36=1,100-H174*100,100-I174*100)</f>
        <v>99.999696109016782</v>
      </c>
      <c r="K174" s="408">
        <f>IF(AND('Berekening trap 1'!$B$64=1,INVOER!$C$20=1),'Berekening trap 1'!U174,'Berekening trap 1'!V174)</f>
        <v>0</v>
      </c>
      <c r="L174" s="380">
        <f t="shared" si="47"/>
        <v>0</v>
      </c>
      <c r="M174" s="380">
        <f t="shared" si="52"/>
        <v>7.6800516363205798E-7</v>
      </c>
      <c r="N174" s="375">
        <f>'Berekening trap 2'!H174*$L174</f>
        <v>0</v>
      </c>
      <c r="O174" s="376">
        <f>'Berekening trap 2'!I174*$L174</f>
        <v>0</v>
      </c>
      <c r="Q174" s="396">
        <f t="shared" si="48"/>
        <v>100</v>
      </c>
      <c r="R174" s="6">
        <f t="shared" si="38"/>
        <v>74.815358570719397</v>
      </c>
      <c r="S174" s="380">
        <f>1/100*'Berekening trap 1'!T174*INVOER!$W$19*1000</f>
        <v>0</v>
      </c>
      <c r="T174" s="380">
        <f t="shared" si="49"/>
        <v>0</v>
      </c>
      <c r="U174" s="44">
        <f t="shared" si="40"/>
        <v>0.50095768938869734</v>
      </c>
      <c r="V174" s="380">
        <f t="shared" si="50"/>
        <v>0</v>
      </c>
      <c r="W174" s="44">
        <f t="shared" si="45"/>
        <v>7.6800516363205798E-7</v>
      </c>
      <c r="X174" s="145">
        <f>IF(AND(INVOER!$T$36=1,INVOER!E117=1),1/100*N174*INVOER!$W$20*1000,1/100*O174*INVOER!$W$20*1000)</f>
        <v>0</v>
      </c>
      <c r="Y174" s="6">
        <f t="shared" si="51"/>
        <v>0</v>
      </c>
      <c r="Z174" s="44">
        <f t="shared" si="41"/>
        <v>6.4843472252903642E-15</v>
      </c>
      <c r="AA174" s="6"/>
      <c r="AB174" s="6"/>
      <c r="AC174" s="6"/>
      <c r="AD174" s="6"/>
      <c r="AE174" s="6"/>
      <c r="AF174" s="6"/>
    </row>
    <row r="175" spans="1:32" x14ac:dyDescent="0.2">
      <c r="A175" s="271">
        <f>'Berekening trap 1'!A175</f>
        <v>80.705580143197025</v>
      </c>
      <c r="B175" s="6">
        <f>(A174+A175)/2</f>
        <v>78.70925226296896</v>
      </c>
      <c r="C175" s="168">
        <f t="shared" si="42"/>
        <v>77.018140690677015</v>
      </c>
      <c r="D175" s="200">
        <f t="shared" si="46"/>
        <v>3.076768533382467E-7</v>
      </c>
      <c r="E175" s="197">
        <f t="shared" si="39"/>
        <v>1.911168088123806E-6</v>
      </c>
      <c r="F175" s="43">
        <f t="shared" si="30"/>
        <v>3.076768533382467E-7</v>
      </c>
      <c r="G175" s="155">
        <f t="shared" si="30"/>
        <v>1.911168088123806E-6</v>
      </c>
      <c r="H175" s="170">
        <f t="shared" si="44"/>
        <v>1.911168088123806E-6</v>
      </c>
      <c r="I175" s="179">
        <f t="shared" si="36"/>
        <v>1.911168088123806E-6</v>
      </c>
      <c r="J175" s="314">
        <f>IF(INVOER!$T$36=1,100-H175*100,100-I175*100)</f>
        <v>99.999808883191193</v>
      </c>
      <c r="K175" s="408">
        <f>IF(AND('Berekening trap 1'!$B$64=1,INVOER!$C$20=1),'Berekening trap 1'!U175,'Berekening trap 1'!V175)</f>
        <v>0</v>
      </c>
      <c r="L175" s="380">
        <f t="shared" si="47"/>
        <v>0</v>
      </c>
      <c r="M175" s="380">
        <f t="shared" si="52"/>
        <v>7.6800516363205798E-7</v>
      </c>
      <c r="N175" s="375">
        <f>'Berekening trap 2'!H175*$L175</f>
        <v>0</v>
      </c>
      <c r="O175" s="376">
        <f>'Berekening trap 2'!I175*$L175</f>
        <v>0</v>
      </c>
      <c r="Q175" s="396">
        <f t="shared" si="48"/>
        <v>100</v>
      </c>
      <c r="R175" s="6">
        <f t="shared" si="38"/>
        <v>78.70925226296896</v>
      </c>
      <c r="S175" s="380">
        <f>1/100*'Berekening trap 1'!T175*INVOER!$W$19*1000</f>
        <v>0</v>
      </c>
      <c r="T175" s="380">
        <f t="shared" si="49"/>
        <v>0</v>
      </c>
      <c r="U175" s="44">
        <f t="shared" si="40"/>
        <v>0.50095768938869734</v>
      </c>
      <c r="V175" s="380">
        <f t="shared" si="50"/>
        <v>0</v>
      </c>
      <c r="W175" s="44">
        <f t="shared" si="45"/>
        <v>7.6800516363205798E-7</v>
      </c>
      <c r="X175" s="145">
        <f>IF(AND(INVOER!$T$36=1,INVOER!E118=1),1/100*N175*INVOER!$W$20*1000,1/100*O175*INVOER!$W$20*1000)</f>
        <v>0</v>
      </c>
      <c r="Y175" s="6">
        <f t="shared" si="51"/>
        <v>0</v>
      </c>
      <c r="Z175" s="44">
        <f t="shared" si="41"/>
        <v>6.4843472252903642E-15</v>
      </c>
      <c r="AB175" s="6"/>
      <c r="AC175" s="6"/>
    </row>
    <row r="176" spans="1:32" x14ac:dyDescent="0.2">
      <c r="A176" s="272">
        <f>'Berekening trap 1'!A176</f>
        <v>84.906040522624096</v>
      </c>
      <c r="B176" s="46">
        <f t="shared" ref="B176:B185" si="53">(A175+A176)/2</f>
        <v>82.805810332910568</v>
      </c>
      <c r="C176" s="182">
        <f t="shared" si="42"/>
        <v>81.026681957517781</v>
      </c>
      <c r="D176" s="201">
        <f t="shared" si="46"/>
        <v>1.73096756130133E-7</v>
      </c>
      <c r="E176" s="167">
        <f t="shared" si="39"/>
        <v>1.1817128233836277E-6</v>
      </c>
      <c r="F176" s="45">
        <f t="shared" ref="F176:G185" si="54">D176^($B$54*$B$63)</f>
        <v>1.73096756130133E-7</v>
      </c>
      <c r="G176" s="183">
        <f t="shared" si="54"/>
        <v>1.1817128233836277E-6</v>
      </c>
      <c r="H176" s="171">
        <f t="shared" si="44"/>
        <v>1.1817128233836277E-6</v>
      </c>
      <c r="I176" s="235">
        <f t="shared" si="36"/>
        <v>1.1817128233836277E-6</v>
      </c>
      <c r="J176" s="315">
        <f>IF(INVOER!$T$36=1,100-H176*100,100-I176*100)</f>
        <v>99.999881828717662</v>
      </c>
      <c r="K176" s="409">
        <f>IF(AND('Berekening trap 1'!$B$64=1,INVOER!$C$20=1),'Berekening trap 1'!U176,'Berekening trap 1'!V176)</f>
        <v>0</v>
      </c>
      <c r="L176" s="380">
        <f t="shared" si="47"/>
        <v>0</v>
      </c>
      <c r="M176" s="380">
        <f t="shared" si="52"/>
        <v>7.6800516363205798E-7</v>
      </c>
      <c r="N176" s="375">
        <f>'Berekening trap 2'!H176*$L176</f>
        <v>0</v>
      </c>
      <c r="O176" s="376">
        <f>'Berekening trap 2'!I176*$L176</f>
        <v>0</v>
      </c>
      <c r="Q176" s="396">
        <f t="shared" si="48"/>
        <v>100</v>
      </c>
      <c r="R176" s="6">
        <f t="shared" si="38"/>
        <v>82.805810332910568</v>
      </c>
      <c r="S176" s="380">
        <f>1/100*'Berekening trap 1'!T176*INVOER!$W$19*1000</f>
        <v>0</v>
      </c>
      <c r="T176" s="380">
        <f t="shared" si="49"/>
        <v>0</v>
      </c>
      <c r="U176" s="44">
        <f t="shared" si="40"/>
        <v>0.50095768938869734</v>
      </c>
      <c r="V176" s="380">
        <f t="shared" si="50"/>
        <v>0</v>
      </c>
      <c r="W176" s="44">
        <f t="shared" si="45"/>
        <v>7.6800516363205798E-7</v>
      </c>
      <c r="X176" s="145">
        <f>IF(AND(INVOER!$T$36=1,INVOER!E119=1),1/100*N176*INVOER!$W$20*1000,1/100*O176*INVOER!$W$20*1000)</f>
        <v>0</v>
      </c>
      <c r="Y176" s="6">
        <f t="shared" si="51"/>
        <v>0</v>
      </c>
      <c r="Z176" s="44">
        <f t="shared" si="41"/>
        <v>6.4843472252903642E-15</v>
      </c>
      <c r="AB176" s="6"/>
      <c r="AC176" s="6"/>
    </row>
    <row r="177" spans="1:29" x14ac:dyDescent="0.2">
      <c r="A177" s="271">
        <f>'Berekening trap 1'!A177</f>
        <v>89.325121068932205</v>
      </c>
      <c r="B177" s="6">
        <f t="shared" si="53"/>
        <v>87.115580795778158</v>
      </c>
      <c r="C177" s="168">
        <f t="shared" si="42"/>
        <v>85.243854631762915</v>
      </c>
      <c r="D177" s="200">
        <f t="shared" si="46"/>
        <v>9.5276708709946673E-8</v>
      </c>
      <c r="E177" s="197">
        <f t="shared" si="39"/>
        <v>7.1793924876435693E-7</v>
      </c>
      <c r="F177" s="43">
        <f t="shared" si="54"/>
        <v>9.5276708709946673E-8</v>
      </c>
      <c r="G177" s="155">
        <f t="shared" si="54"/>
        <v>7.1793924876435693E-7</v>
      </c>
      <c r="H177" s="170">
        <f t="shared" si="44"/>
        <v>7.1793924876435693E-7</v>
      </c>
      <c r="I177" s="179">
        <f t="shared" si="36"/>
        <v>7.1793924876435693E-7</v>
      </c>
      <c r="J177" s="314">
        <f>IF(INVOER!$T$36=1,100-H177*100,100-I177*100)</f>
        <v>99.999928206075126</v>
      </c>
      <c r="K177" s="408">
        <f>IF(AND('Berekening trap 1'!$B$64=1,INVOER!$C$20=1),'Berekening trap 1'!U177,'Berekening trap 1'!V177)</f>
        <v>0</v>
      </c>
      <c r="L177" s="381">
        <f t="shared" si="47"/>
        <v>0</v>
      </c>
      <c r="M177" s="381">
        <f t="shared" si="52"/>
        <v>7.6800516363205798E-7</v>
      </c>
      <c r="N177" s="372">
        <f>'Berekening trap 2'!H177*$L177</f>
        <v>0</v>
      </c>
      <c r="O177" s="373">
        <f>'Berekening trap 2'!I177*$L177</f>
        <v>0</v>
      </c>
      <c r="Q177" s="396">
        <f t="shared" si="48"/>
        <v>100</v>
      </c>
      <c r="R177" s="6">
        <f t="shared" si="38"/>
        <v>87.115580795778158</v>
      </c>
      <c r="S177" s="380">
        <f>1/100*'Berekening trap 1'!T177*INVOER!$W$19*1000</f>
        <v>0</v>
      </c>
      <c r="T177" s="380">
        <f t="shared" si="49"/>
        <v>0</v>
      </c>
      <c r="U177" s="44">
        <f t="shared" si="40"/>
        <v>0.50095768938869734</v>
      </c>
      <c r="V177" s="380">
        <f t="shared" si="50"/>
        <v>0</v>
      </c>
      <c r="W177" s="44">
        <f t="shared" si="45"/>
        <v>7.6800516363205798E-7</v>
      </c>
      <c r="X177" s="145">
        <f>IF(AND(INVOER!$T$36=1,INVOER!E120=1),1/100*N177*INVOER!$W$20*1000,1/100*O177*INVOER!$W$20*1000)</f>
        <v>0</v>
      </c>
      <c r="Y177" s="6">
        <f t="shared" si="51"/>
        <v>0</v>
      </c>
      <c r="Z177" s="44">
        <f t="shared" si="41"/>
        <v>6.4843472252903642E-15</v>
      </c>
      <c r="AB177" s="6"/>
      <c r="AC177" s="6"/>
    </row>
    <row r="178" spans="1:29" x14ac:dyDescent="0.2">
      <c r="A178" s="271">
        <f>'Berekening trap 1'!A178</f>
        <v>93.974200243777886</v>
      </c>
      <c r="B178" s="6">
        <f t="shared" si="53"/>
        <v>91.649660656355053</v>
      </c>
      <c r="C178" s="168">
        <f t="shared" si="42"/>
        <v>89.680517292945012</v>
      </c>
      <c r="D178" s="200">
        <f t="shared" si="46"/>
        <v>5.1265609339890554E-8</v>
      </c>
      <c r="E178" s="197">
        <f t="shared" si="39"/>
        <v>4.2829891566279447E-7</v>
      </c>
      <c r="F178" s="43">
        <f t="shared" si="54"/>
        <v>5.1265609339890554E-8</v>
      </c>
      <c r="G178" s="155">
        <f t="shared" si="54"/>
        <v>4.2829891566279447E-7</v>
      </c>
      <c r="H178" s="170">
        <f t="shared" si="44"/>
        <v>4.2829891566279447E-7</v>
      </c>
      <c r="I178" s="179">
        <f t="shared" si="36"/>
        <v>4.2829891566279447E-7</v>
      </c>
      <c r="J178" s="314">
        <f>IF(INVOER!$T$36=1,100-H178*100,100-I178*100)</f>
        <v>99.999957170108431</v>
      </c>
      <c r="K178" s="408">
        <f>IF(AND('Berekening trap 1'!$B$64=1,INVOER!$C$20=1),'Berekening trap 1'!U178,'Berekening trap 1'!V178)</f>
        <v>0</v>
      </c>
      <c r="L178" s="380">
        <f t="shared" si="47"/>
        <v>0</v>
      </c>
      <c r="M178" s="380">
        <f t="shared" si="52"/>
        <v>7.6800516363205798E-7</v>
      </c>
      <c r="N178" s="375">
        <f>'Berekening trap 2'!H178*$L178</f>
        <v>0</v>
      </c>
      <c r="O178" s="376">
        <f>'Berekening trap 2'!I178*$L178</f>
        <v>0</v>
      </c>
      <c r="Q178" s="396">
        <f t="shared" si="48"/>
        <v>100</v>
      </c>
      <c r="R178" s="6">
        <f t="shared" si="38"/>
        <v>91.649660656355053</v>
      </c>
      <c r="S178" s="380">
        <f>1/100*'Berekening trap 1'!T178*INVOER!$W$19*1000</f>
        <v>0</v>
      </c>
      <c r="T178" s="380">
        <f t="shared" si="49"/>
        <v>0</v>
      </c>
      <c r="U178" s="44">
        <f t="shared" si="40"/>
        <v>0.50095768938869734</v>
      </c>
      <c r="V178" s="380">
        <f t="shared" si="50"/>
        <v>0</v>
      </c>
      <c r="W178" s="44">
        <f t="shared" si="45"/>
        <v>7.6800516363205798E-7</v>
      </c>
      <c r="X178" s="145">
        <f>IF(AND(INVOER!$T$36=1,INVOER!E121=1),1/100*N178*INVOER!$W$20*1000,1/100*O178*INVOER!$W$20*1000)</f>
        <v>0</v>
      </c>
      <c r="Y178" s="6">
        <f t="shared" si="51"/>
        <v>0</v>
      </c>
      <c r="Z178" s="44">
        <f t="shared" si="41"/>
        <v>6.4843472252903642E-15</v>
      </c>
      <c r="AB178" s="6"/>
      <c r="AC178" s="6"/>
    </row>
    <row r="179" spans="1:29" x14ac:dyDescent="0.2">
      <c r="A179" s="271">
        <f>'Berekening trap 1'!A179</f>
        <v>98.865248720375803</v>
      </c>
      <c r="B179" s="6">
        <f t="shared" si="53"/>
        <v>96.419724482076845</v>
      </c>
      <c r="C179" s="168">
        <f t="shared" si="42"/>
        <v>94.348093673997681</v>
      </c>
      <c r="D179" s="200">
        <f t="shared" si="46"/>
        <v>2.6942079547101151E-8</v>
      </c>
      <c r="E179" s="197">
        <f t="shared" si="39"/>
        <v>2.5072660692384157E-7</v>
      </c>
      <c r="F179" s="43">
        <f t="shared" si="54"/>
        <v>2.6942079547101151E-8</v>
      </c>
      <c r="G179" s="155">
        <f t="shared" si="54"/>
        <v>2.5072660692384157E-7</v>
      </c>
      <c r="H179" s="170">
        <f t="shared" si="44"/>
        <v>2.5072660692384157E-7</v>
      </c>
      <c r="I179" s="179">
        <f t="shared" si="36"/>
        <v>2.5072660692384157E-7</v>
      </c>
      <c r="J179" s="314">
        <f>IF(INVOER!$T$36=1,100-H179*100,100-I179*100)</f>
        <v>99.999974927339309</v>
      </c>
      <c r="K179" s="408">
        <f>IF(AND('Berekening trap 1'!$B$64=1,INVOER!$C$20=1),'Berekening trap 1'!U179,'Berekening trap 1'!V179)</f>
        <v>0</v>
      </c>
      <c r="L179" s="380">
        <f t="shared" si="47"/>
        <v>0</v>
      </c>
      <c r="M179" s="380">
        <f t="shared" si="52"/>
        <v>7.6800516363205798E-7</v>
      </c>
      <c r="N179" s="375">
        <f>'Berekening trap 2'!H179*$L179</f>
        <v>0</v>
      </c>
      <c r="O179" s="376">
        <f>'Berekening trap 2'!I179*$L179</f>
        <v>0</v>
      </c>
      <c r="Q179" s="396">
        <f t="shared" si="48"/>
        <v>100</v>
      </c>
      <c r="R179" s="6">
        <f t="shared" si="38"/>
        <v>96.419724482076845</v>
      </c>
      <c r="S179" s="380">
        <f>1/100*'Berekening trap 1'!T179*INVOER!$W$19*1000</f>
        <v>0</v>
      </c>
      <c r="T179" s="380">
        <f t="shared" si="49"/>
        <v>0</v>
      </c>
      <c r="U179" s="44">
        <f t="shared" si="40"/>
        <v>0.50095768938869734</v>
      </c>
      <c r="V179" s="380">
        <f t="shared" si="50"/>
        <v>0</v>
      </c>
      <c r="W179" s="44">
        <f t="shared" si="45"/>
        <v>7.6800516363205798E-7</v>
      </c>
      <c r="X179" s="145">
        <f>IF(AND(INVOER!$T$36=1,INVOER!E122=1),1/100*N179*INVOER!$W$20*1000,1/100*O179*INVOER!$W$20*1000)</f>
        <v>0</v>
      </c>
      <c r="Y179" s="6">
        <f t="shared" si="51"/>
        <v>0</v>
      </c>
      <c r="Z179" s="44">
        <f t="shared" si="41"/>
        <v>6.4843472252903642E-15</v>
      </c>
      <c r="AB179" s="6"/>
      <c r="AC179" s="6"/>
    </row>
    <row r="180" spans="1:29" x14ac:dyDescent="0.2">
      <c r="A180" s="271">
        <f>'Berekening trap 1'!A180</f>
        <v>104.01086020616533</v>
      </c>
      <c r="B180" s="6">
        <f t="shared" si="53"/>
        <v>101.43805446327056</v>
      </c>
      <c r="C180" s="168">
        <f t="shared" si="42"/>
        <v>99.258602075633974</v>
      </c>
      <c r="D180" s="200">
        <f t="shared" si="46"/>
        <v>1.3816926550500976E-8</v>
      </c>
      <c r="E180" s="197">
        <f t="shared" si="39"/>
        <v>1.4392893154765916E-7</v>
      </c>
      <c r="F180" s="43">
        <f t="shared" si="54"/>
        <v>1.3816926550500976E-8</v>
      </c>
      <c r="G180" s="155">
        <f t="shared" si="54"/>
        <v>1.4392893154765916E-7</v>
      </c>
      <c r="H180" s="170">
        <f t="shared" si="44"/>
        <v>1.4392893154765916E-7</v>
      </c>
      <c r="I180" s="179">
        <f t="shared" si="36"/>
        <v>1.4392893154765916E-7</v>
      </c>
      <c r="J180" s="314">
        <f>IF(INVOER!$T$36=1,100-H180*100,100-I180*100)</f>
        <v>99.999985607106851</v>
      </c>
      <c r="K180" s="408">
        <f>IF(AND('Berekening trap 1'!$B$64=1,INVOER!$C$20=1),'Berekening trap 1'!U180,'Berekening trap 1'!V180)</f>
        <v>0</v>
      </c>
      <c r="L180" s="380">
        <f t="shared" si="47"/>
        <v>0</v>
      </c>
      <c r="M180" s="380">
        <f t="shared" si="52"/>
        <v>7.6800516363205798E-7</v>
      </c>
      <c r="N180" s="375">
        <f>'Berekening trap 2'!H180*$L180</f>
        <v>0</v>
      </c>
      <c r="O180" s="376">
        <f>'Berekening trap 2'!I180*$L180</f>
        <v>0</v>
      </c>
      <c r="Q180" s="396">
        <f t="shared" si="48"/>
        <v>100</v>
      </c>
      <c r="R180" s="6">
        <f t="shared" si="38"/>
        <v>101.43805446327056</v>
      </c>
      <c r="S180" s="380">
        <f>1/100*'Berekening trap 1'!T180*INVOER!$W$19*1000</f>
        <v>0</v>
      </c>
      <c r="T180" s="380">
        <f t="shared" si="49"/>
        <v>0</v>
      </c>
      <c r="U180" s="44">
        <f t="shared" si="40"/>
        <v>0.50095768938869734</v>
      </c>
      <c r="V180" s="380">
        <f t="shared" si="50"/>
        <v>0</v>
      </c>
      <c r="W180" s="44">
        <f t="shared" si="45"/>
        <v>7.6800516363205798E-7</v>
      </c>
      <c r="X180" s="145">
        <f>IF(AND(INVOER!$T$36=1,INVOER!E123=1),1/100*N180*INVOER!$W$20*1000,1/100*O180*INVOER!$W$20*1000)</f>
        <v>0</v>
      </c>
      <c r="Y180" s="6">
        <f t="shared" si="51"/>
        <v>0</v>
      </c>
      <c r="Z180" s="44">
        <f t="shared" si="41"/>
        <v>6.4843472252903642E-15</v>
      </c>
      <c r="AB180" s="6"/>
      <c r="AC180" s="6"/>
    </row>
    <row r="181" spans="1:29" x14ac:dyDescent="0.2">
      <c r="A181" s="271">
        <f>'Berekening trap 1'!A181</f>
        <v>109.42428386969566</v>
      </c>
      <c r="B181" s="46">
        <f t="shared" si="53"/>
        <v>106.71757203793049</v>
      </c>
      <c r="C181" s="182">
        <f t="shared" si="42"/>
        <v>104.42468631164655</v>
      </c>
      <c r="D181" s="201">
        <f t="shared" si="46"/>
        <v>6.9081537313117077E-9</v>
      </c>
      <c r="E181" s="167">
        <f t="shared" si="39"/>
        <v>8.0961603669508735E-8</v>
      </c>
      <c r="F181" s="45">
        <f t="shared" si="54"/>
        <v>6.9081537313117077E-9</v>
      </c>
      <c r="G181" s="183">
        <f t="shared" si="54"/>
        <v>8.0961603669508735E-8</v>
      </c>
      <c r="H181" s="171">
        <f t="shared" si="44"/>
        <v>8.0961603669508735E-8</v>
      </c>
      <c r="I181" s="235">
        <f t="shared" si="36"/>
        <v>8.0961603669508735E-8</v>
      </c>
      <c r="J181" s="314">
        <f>IF(INVOER!$T$36=1,100-H181*100,100-I181*100)</f>
        <v>99.999991903839629</v>
      </c>
      <c r="K181" s="408">
        <f>IF(AND('Berekening trap 1'!$B$64=1,INVOER!$C$20=1),'Berekening trap 1'!U181,'Berekening trap 1'!V181)</f>
        <v>0</v>
      </c>
      <c r="L181" s="377">
        <f t="shared" si="47"/>
        <v>0</v>
      </c>
      <c r="M181" s="377">
        <f t="shared" si="52"/>
        <v>7.6800516363205798E-7</v>
      </c>
      <c r="N181" s="378">
        <f>'Berekening trap 2'!H181*$L181</f>
        <v>0</v>
      </c>
      <c r="O181" s="379">
        <f>'Berekening trap 2'!I181*$L181</f>
        <v>0</v>
      </c>
      <c r="Q181" s="396">
        <f t="shared" si="48"/>
        <v>100</v>
      </c>
      <c r="R181" s="6">
        <f t="shared" si="38"/>
        <v>106.71757203793049</v>
      </c>
      <c r="S181" s="380">
        <f>1/100*'Berekening trap 1'!T181*INVOER!$W$19*1000</f>
        <v>0</v>
      </c>
      <c r="T181" s="380">
        <f t="shared" si="49"/>
        <v>0</v>
      </c>
      <c r="U181" s="44">
        <f t="shared" si="40"/>
        <v>0.50095768938869734</v>
      </c>
      <c r="V181" s="380">
        <f t="shared" si="50"/>
        <v>0</v>
      </c>
      <c r="W181" s="44">
        <f t="shared" si="45"/>
        <v>7.6800516363205798E-7</v>
      </c>
      <c r="X181" s="145">
        <f>IF(AND(INVOER!$T$36=1,INVOER!E124=1),1/100*N181*INVOER!$W$20*1000,1/100*O181*INVOER!$W$20*1000)</f>
        <v>0</v>
      </c>
      <c r="Y181" s="6">
        <f t="shared" si="51"/>
        <v>0</v>
      </c>
      <c r="Z181" s="44">
        <f t="shared" si="41"/>
        <v>6.4843472252903642E-15</v>
      </c>
      <c r="AB181" s="6"/>
      <c r="AC181" s="6"/>
    </row>
    <row r="182" spans="1:29" x14ac:dyDescent="0.2">
      <c r="A182" s="270">
        <f>'Berekening trap 1'!A182</f>
        <v>115.11945845522376</v>
      </c>
      <c r="B182" s="6">
        <f t="shared" si="53"/>
        <v>112.27187116245972</v>
      </c>
      <c r="C182" s="168">
        <f t="shared" si="42"/>
        <v>109.85964826480892</v>
      </c>
      <c r="D182" s="200">
        <f t="shared" si="46"/>
        <v>3.3640479732571523E-9</v>
      </c>
      <c r="E182" s="197">
        <f t="shared" si="39"/>
        <v>4.4593457970546681E-8</v>
      </c>
      <c r="F182" s="43">
        <f t="shared" si="54"/>
        <v>3.3640479732571523E-9</v>
      </c>
      <c r="G182" s="155">
        <f t="shared" si="54"/>
        <v>4.4593457970546681E-8</v>
      </c>
      <c r="H182" s="170">
        <f t="shared" si="44"/>
        <v>4.4593457970546681E-8</v>
      </c>
      <c r="I182" s="179">
        <f t="shared" si="36"/>
        <v>4.4593457970546681E-8</v>
      </c>
      <c r="J182" s="313">
        <f>IF(INVOER!$T$36=1,100-H182*100,100-I182*100)</f>
        <v>99.999995540654197</v>
      </c>
      <c r="K182" s="407">
        <f>IF(AND('Berekening trap 1'!$B$64=1,INVOER!$C$20=1),'Berekening trap 1'!U182,'Berekening trap 1'!V182)</f>
        <v>0</v>
      </c>
      <c r="L182" s="380">
        <f t="shared" si="47"/>
        <v>0</v>
      </c>
      <c r="M182" s="380">
        <f t="shared" si="52"/>
        <v>7.6800516363205798E-7</v>
      </c>
      <c r="N182" s="375">
        <f>'Berekening trap 2'!H182*$L182</f>
        <v>0</v>
      </c>
      <c r="O182" s="376">
        <f>'Berekening trap 2'!I182*$L182</f>
        <v>0</v>
      </c>
      <c r="Q182" s="396">
        <f t="shared" si="48"/>
        <v>100</v>
      </c>
      <c r="R182" s="6">
        <f t="shared" si="38"/>
        <v>112.27187116245972</v>
      </c>
      <c r="S182" s="380">
        <f>1/100*'Berekening trap 1'!T182*INVOER!$W$19*1000</f>
        <v>0</v>
      </c>
      <c r="T182" s="380">
        <f t="shared" si="49"/>
        <v>0</v>
      </c>
      <c r="U182" s="44">
        <f t="shared" si="40"/>
        <v>0.50095768938869734</v>
      </c>
      <c r="V182" s="380">
        <f t="shared" si="50"/>
        <v>0</v>
      </c>
      <c r="W182" s="44">
        <f t="shared" si="45"/>
        <v>7.6800516363205798E-7</v>
      </c>
      <c r="X182" s="145">
        <f>IF(AND(INVOER!$T$36=1,INVOER!E125=1),1/100*N182*INVOER!$W$20*1000,1/100*O182*INVOER!$W$20*1000)</f>
        <v>0</v>
      </c>
      <c r="Y182" s="6">
        <f t="shared" si="51"/>
        <v>0</v>
      </c>
      <c r="Z182" s="44">
        <f t="shared" si="41"/>
        <v>6.4843472252903642E-15</v>
      </c>
      <c r="AB182" s="6"/>
      <c r="AC182" s="6"/>
    </row>
    <row r="183" spans="1:29" x14ac:dyDescent="0.2">
      <c r="A183" s="271">
        <f>'Berekening trap 1'!A183</f>
        <v>121.11104817286524</v>
      </c>
      <c r="B183" s="6">
        <f t="shared" si="53"/>
        <v>118.11525331404451</v>
      </c>
      <c r="C183" s="168">
        <f t="shared" si="42"/>
        <v>115.57748213720471</v>
      </c>
      <c r="D183" s="200">
        <f t="shared" si="46"/>
        <v>1.5939526666928576E-9</v>
      </c>
      <c r="E183" s="197">
        <f t="shared" si="39"/>
        <v>2.4032015217868055E-8</v>
      </c>
      <c r="F183" s="43">
        <f t="shared" si="54"/>
        <v>1.5939526666928576E-9</v>
      </c>
      <c r="G183" s="155">
        <f t="shared" si="54"/>
        <v>2.4032015217868055E-8</v>
      </c>
      <c r="H183" s="170">
        <f t="shared" si="44"/>
        <v>2.4032015217868055E-8</v>
      </c>
      <c r="I183" s="179">
        <f t="shared" si="36"/>
        <v>2.4032015217868055E-8</v>
      </c>
      <c r="J183" s="314">
        <f>IF(INVOER!$T$36=1,100-H183*100,100-I183*100)</f>
        <v>99.99999759679848</v>
      </c>
      <c r="K183" s="408">
        <f>IF(AND('Berekening trap 1'!$B$64=1,INVOER!$C$20=1),'Berekening trap 1'!U183,'Berekening trap 1'!V183)</f>
        <v>0</v>
      </c>
      <c r="L183" s="380">
        <f t="shared" si="47"/>
        <v>0</v>
      </c>
      <c r="M183" s="380">
        <f t="shared" si="52"/>
        <v>7.6800516363205798E-7</v>
      </c>
      <c r="N183" s="375">
        <f>'Berekening trap 2'!H183*$L183</f>
        <v>0</v>
      </c>
      <c r="O183" s="376">
        <f>'Berekening trap 2'!I183*$L183</f>
        <v>0</v>
      </c>
      <c r="Q183" s="396">
        <f t="shared" si="48"/>
        <v>100</v>
      </c>
      <c r="R183" s="6">
        <f t="shared" si="38"/>
        <v>118.11525331404451</v>
      </c>
      <c r="S183" s="380">
        <f>1/100*'Berekening trap 1'!T183*INVOER!$W$19*1000</f>
        <v>0</v>
      </c>
      <c r="T183" s="380">
        <f t="shared" si="49"/>
        <v>0</v>
      </c>
      <c r="U183" s="44">
        <f t="shared" si="40"/>
        <v>0.50095768938869734</v>
      </c>
      <c r="V183" s="380">
        <f t="shared" si="50"/>
        <v>0</v>
      </c>
      <c r="W183" s="44">
        <f t="shared" si="45"/>
        <v>7.6800516363205798E-7</v>
      </c>
      <c r="X183" s="145">
        <f>IF(AND(INVOER!$T$36=1,INVOER!E126=1),1/100*N183*INVOER!$W$20*1000,1/100*O183*INVOER!$W$20*1000)</f>
        <v>0</v>
      </c>
      <c r="Y183" s="6">
        <f t="shared" si="51"/>
        <v>0</v>
      </c>
      <c r="Z183" s="44">
        <f t="shared" si="41"/>
        <v>6.4843472252903642E-15</v>
      </c>
      <c r="AB183" s="6"/>
      <c r="AC183" s="6"/>
    </row>
    <row r="184" spans="1:29" x14ac:dyDescent="0.2">
      <c r="A184" s="271">
        <f>'Berekening trap 1'!A184</f>
        <v>127.41448045670946</v>
      </c>
      <c r="B184" s="6">
        <f t="shared" si="53"/>
        <v>124.26276431478735</v>
      </c>
      <c r="C184" s="168">
        <f t="shared" si="42"/>
        <v>121.59291048317381</v>
      </c>
      <c r="D184" s="200">
        <f t="shared" si="46"/>
        <v>7.3408862349541799E-10</v>
      </c>
      <c r="E184" s="197">
        <f t="shared" si="39"/>
        <v>1.2661639659785513E-8</v>
      </c>
      <c r="F184" s="43">
        <f t="shared" si="54"/>
        <v>7.3408862349541799E-10</v>
      </c>
      <c r="G184" s="155">
        <f t="shared" si="54"/>
        <v>1.2661639659785513E-8</v>
      </c>
      <c r="H184" s="170">
        <f t="shared" si="44"/>
        <v>1.2661639659785513E-8</v>
      </c>
      <c r="I184" s="179">
        <f t="shared" si="36"/>
        <v>1.2661639659785513E-8</v>
      </c>
      <c r="J184" s="314">
        <f>IF(INVOER!$T$36=1,100-H184*100,100-I184*100)</f>
        <v>99.999998733836037</v>
      </c>
      <c r="K184" s="408">
        <f>IF(AND('Berekening trap 1'!$B$64=1,INVOER!$C$20=1),'Berekening trap 1'!U184,'Berekening trap 1'!V184)</f>
        <v>0</v>
      </c>
      <c r="L184" s="380">
        <f t="shared" si="47"/>
        <v>0</v>
      </c>
      <c r="M184" s="380">
        <f t="shared" si="52"/>
        <v>7.6800516363205798E-7</v>
      </c>
      <c r="N184" s="375">
        <f>'Berekening trap 2'!H184*$L184</f>
        <v>0</v>
      </c>
      <c r="O184" s="376">
        <f>'Berekening trap 2'!I184*$L184</f>
        <v>0</v>
      </c>
      <c r="Q184" s="396">
        <f t="shared" si="48"/>
        <v>100</v>
      </c>
      <c r="R184" s="6">
        <f t="shared" si="38"/>
        <v>124.26276431478735</v>
      </c>
      <c r="S184" s="380">
        <f>1/100*'Berekening trap 1'!T184*INVOER!$W$19*1000</f>
        <v>0</v>
      </c>
      <c r="T184" s="380">
        <f t="shared" si="49"/>
        <v>0</v>
      </c>
      <c r="U184" s="44">
        <f t="shared" si="40"/>
        <v>0.50095768938869734</v>
      </c>
      <c r="V184" s="380">
        <f t="shared" si="50"/>
        <v>0</v>
      </c>
      <c r="W184" s="44">
        <f t="shared" si="45"/>
        <v>7.6800516363205798E-7</v>
      </c>
      <c r="X184" s="145">
        <f>IF(AND(INVOER!$T$36=1,INVOER!E127=1),1/100*N184*INVOER!$W$20*1000,1/100*O184*INVOER!$W$20*1000)</f>
        <v>0</v>
      </c>
      <c r="Y184" s="6">
        <f t="shared" si="51"/>
        <v>0</v>
      </c>
      <c r="Z184" s="44">
        <f t="shared" si="41"/>
        <v>6.4843472252903642E-15</v>
      </c>
      <c r="AB184" s="6"/>
      <c r="AC184" s="6"/>
    </row>
    <row r="185" spans="1:29" x14ac:dyDescent="0.2">
      <c r="A185" s="271">
        <f>'Berekening trap 1'!A185</f>
        <v>134.04598568812074</v>
      </c>
      <c r="B185" s="6">
        <f t="shared" si="53"/>
        <v>130.7302330724151</v>
      </c>
      <c r="C185" s="168">
        <f t="shared" si="42"/>
        <v>127.92142211765524</v>
      </c>
      <c r="D185" s="200">
        <f t="shared" si="46"/>
        <v>3.2825467011562387E-10</v>
      </c>
      <c r="E185" s="197">
        <f t="shared" si="39"/>
        <v>6.5164564536860932E-9</v>
      </c>
      <c r="F185" s="43">
        <f t="shared" si="54"/>
        <v>3.2825467011562387E-10</v>
      </c>
      <c r="G185" s="155">
        <f t="shared" si="54"/>
        <v>6.5164564536860932E-9</v>
      </c>
      <c r="H185" s="170">
        <f t="shared" si="44"/>
        <v>6.5164564536860932E-9</v>
      </c>
      <c r="I185" s="179">
        <f t="shared" si="36"/>
        <v>6.5164564536860932E-9</v>
      </c>
      <c r="J185" s="314">
        <f>IF(INVOER!$T$36=1,100-H185*100,100-I185*100)</f>
        <v>99.999999348354351</v>
      </c>
      <c r="K185" s="408">
        <f>IF(AND('Berekening trap 1'!$B$64=1,INVOER!$C$20=1),'Berekening trap 1'!U185,'Berekening trap 1'!V185)</f>
        <v>0</v>
      </c>
      <c r="L185" s="380">
        <f t="shared" si="47"/>
        <v>0</v>
      </c>
      <c r="M185" s="380">
        <f t="shared" si="52"/>
        <v>7.6800516363205798E-7</v>
      </c>
      <c r="N185" s="375">
        <f>'Berekening trap 2'!H185*$L185</f>
        <v>0</v>
      </c>
      <c r="O185" s="376">
        <f>'Berekening trap 2'!I185*$L185</f>
        <v>0</v>
      </c>
      <c r="Q185" s="396">
        <f t="shared" si="48"/>
        <v>100</v>
      </c>
      <c r="R185" s="6">
        <f t="shared" si="38"/>
        <v>130.7302330724151</v>
      </c>
      <c r="S185" s="380">
        <f>1/100*'Berekening trap 1'!T185*INVOER!$W$19*1000</f>
        <v>0</v>
      </c>
      <c r="T185" s="380">
        <f t="shared" si="49"/>
        <v>0</v>
      </c>
      <c r="U185" s="44">
        <f t="shared" si="40"/>
        <v>0.50095768938869734</v>
      </c>
      <c r="V185" s="380">
        <f t="shared" si="50"/>
        <v>0</v>
      </c>
      <c r="W185" s="44">
        <f t="shared" si="45"/>
        <v>7.6800516363205798E-7</v>
      </c>
      <c r="X185" s="145">
        <f>IF(AND(INVOER!$T$36=1,INVOER!E128=1),1/100*N185*INVOER!$W$20*1000,1/100*O185*INVOER!$W$20*1000)</f>
        <v>0</v>
      </c>
      <c r="Y185" s="6">
        <f t="shared" si="51"/>
        <v>0</v>
      </c>
      <c r="Z185" s="44">
        <f t="shared" si="41"/>
        <v>6.4843472252903642E-15</v>
      </c>
      <c r="AB185" s="6"/>
      <c r="AC185" s="6"/>
    </row>
    <row r="186" spans="1:29" x14ac:dyDescent="0.2">
      <c r="A186" s="272">
        <f>'Berekening trap 1'!A186</f>
        <v>141.02263898650821</v>
      </c>
      <c r="B186" s="46">
        <f>(A185+A186)/2</f>
        <v>137.53431233731447</v>
      </c>
      <c r="C186" s="182">
        <f>B186/$B$51</f>
        <v>134.57931199753517</v>
      </c>
      <c r="D186" s="201">
        <f>IF(C186-$K$35&gt;0,EXP(-(((C186-$K$35)/$K$37)^$K$39)),1)</f>
        <v>1.4235550649599656E-10</v>
      </c>
      <c r="E186" s="167">
        <f>IF(C186-$K$36&gt;0,EXP(-(((C186-$K$36)/$K$38)^$K$40)),1)</f>
        <v>3.2732771521241874E-9</v>
      </c>
      <c r="F186" s="45">
        <f>D186^($B$54*$B$63)</f>
        <v>1.4235550649599656E-10</v>
      </c>
      <c r="G186" s="183">
        <f>E186^($B$54*$B$63)</f>
        <v>3.2732771521241874E-9</v>
      </c>
      <c r="H186" s="171">
        <f>IF(C186&lt;$K$41,D186,E186)</f>
        <v>3.2732771521241874E-9</v>
      </c>
      <c r="I186" s="235">
        <f>IF(C186&lt;$K$41,F186,G186)</f>
        <v>3.2732771521241874E-9</v>
      </c>
      <c r="J186" s="315">
        <f>IF(INVOER!$T$36=1,100-H186*100,100-I186*100)</f>
        <v>99.999999672672288</v>
      </c>
      <c r="K186" s="409">
        <f>IF(AND('Berekening trap 1'!$B$64=1,INVOER!$C$20=1),'Berekening trap 1'!U186,'Berekening trap 1'!V186)</f>
        <v>6.3941135365049856E-8</v>
      </c>
      <c r="L186" s="377">
        <f t="shared" si="47"/>
        <v>7.6800513541642828E-7</v>
      </c>
      <c r="M186" s="377">
        <f t="shared" si="52"/>
        <v>2.8215629702468825E-14</v>
      </c>
      <c r="N186" s="378">
        <f>'Berekening trap 2'!H186*$L186</f>
        <v>2.5138936624726372E-15</v>
      </c>
      <c r="O186" s="379">
        <f>'Berekening trap 2'!I186*$L186</f>
        <v>2.5138936624726372E-15</v>
      </c>
      <c r="Q186" s="397">
        <f t="shared" si="48"/>
        <v>99.999999999999957</v>
      </c>
      <c r="R186" s="46">
        <f t="shared" si="38"/>
        <v>137.53431233731447</v>
      </c>
      <c r="S186" s="377">
        <f>1/100*'Berekening trap 1'!T186*INVOER!$W$19*1000</f>
        <v>0.59242626920911279</v>
      </c>
      <c r="T186" s="377">
        <f t="shared" si="49"/>
        <v>0.50095768938871188</v>
      </c>
      <c r="U186" s="50">
        <f t="shared" si="40"/>
        <v>-1.4543921622589551E-14</v>
      </c>
      <c r="V186" s="377">
        <f t="shared" si="50"/>
        <v>7.6800513541642828E-7</v>
      </c>
      <c r="W186" s="50">
        <f t="shared" si="45"/>
        <v>2.8215629702468825E-14</v>
      </c>
      <c r="X186" s="238">
        <f>IF(AND(INVOER!$T$36=1,INVOER!E129=1),1/100*N186*INVOER!$W$20*1000,1/100*O186*INVOER!$W$20*1000)</f>
        <v>2.4798615039775492E-16</v>
      </c>
      <c r="Y186" s="46">
        <f t="shared" si="51"/>
        <v>1.6198122958074479E-14</v>
      </c>
      <c r="Z186" s="50">
        <f t="shared" si="41"/>
        <v>-9.7137757327841148E-15</v>
      </c>
      <c r="AB186" s="6"/>
      <c r="AC186" s="6"/>
    </row>
    <row r="187" spans="1:29" x14ac:dyDescent="0.2">
      <c r="C187" s="178"/>
      <c r="G187" s="155"/>
      <c r="K187" s="219">
        <f>SUM(K76:K186)</f>
        <v>8.3256129961135805</v>
      </c>
      <c r="L187" s="321">
        <f>SUM(L76:L186)</f>
        <v>99.999999999999986</v>
      </c>
      <c r="M187" t="s">
        <v>234</v>
      </c>
      <c r="N187" s="385">
        <f>(100-L187)*$H$56</f>
        <v>1.4210854715202003E-21</v>
      </c>
      <c r="O187" s="385">
        <f>(100-L187)*$H$56</f>
        <v>1.4210854715202003E-21</v>
      </c>
      <c r="S187" s="70">
        <f>SUM(S76:S186)</f>
        <v>118.2587435541741</v>
      </c>
      <c r="T187">
        <f>SUM(T76:T186)</f>
        <v>100.00000000000001</v>
      </c>
      <c r="V187">
        <f>SUM(V76:V186)</f>
        <v>99.999999999999986</v>
      </c>
      <c r="X187">
        <f>SUM(X76:X186)</f>
        <v>1.5309560931202724</v>
      </c>
      <c r="Y187">
        <f>SUM(Y76:Y186)</f>
        <v>99.999999999999972</v>
      </c>
      <c r="AB187" s="6"/>
      <c r="AC187" s="6"/>
    </row>
    <row r="188" spans="1:29" x14ac:dyDescent="0.2">
      <c r="C188" s="166"/>
      <c r="I188" s="160"/>
      <c r="M188" s="9"/>
      <c r="N188" s="209"/>
      <c r="V188" s="166"/>
      <c r="X188" s="6"/>
      <c r="Y188" s="166"/>
      <c r="AB188" s="6"/>
      <c r="AC188" s="6"/>
    </row>
    <row r="189" spans="1:29" x14ac:dyDescent="0.2">
      <c r="C189" s="166"/>
      <c r="J189" s="210" t="s">
        <v>228</v>
      </c>
      <c r="K189" s="162" t="s">
        <v>193</v>
      </c>
      <c r="L189" s="161"/>
      <c r="M189" s="163"/>
      <c r="N189" s="382">
        <f>SUM(N76:N186)+N187</f>
        <v>15.519660327183191</v>
      </c>
      <c r="O189" s="383">
        <f>SUM(O76:O186)+O187</f>
        <v>15.519660327183191</v>
      </c>
      <c r="P189" s="321">
        <f>IF(AND(INVOER!$T$36=1,INVOER!E20=1),'Berekening trap 2'!N189,'Berekening trap 2'!O189)</f>
        <v>15.519660327183191</v>
      </c>
      <c r="Q189" s="209" t="s">
        <v>226</v>
      </c>
      <c r="U189" s="178"/>
    </row>
    <row r="190" spans="1:29" x14ac:dyDescent="0.2">
      <c r="J190" s="210" t="s">
        <v>228</v>
      </c>
      <c r="K190" s="162" t="s">
        <v>129</v>
      </c>
      <c r="L190" s="161"/>
      <c r="M190" s="163"/>
      <c r="N190" s="382">
        <f>100-N189</f>
        <v>84.480339672816811</v>
      </c>
      <c r="O190" s="383">
        <f>100-O189</f>
        <v>84.480339672816811</v>
      </c>
      <c r="P190" s="321">
        <f>IF(AND(INVOER!$T$36=1,INVOER!E20=1),'Berekening trap 2'!N190,'Berekening trap 2'!O190)</f>
        <v>84.480339672816811</v>
      </c>
      <c r="Q190" s="209" t="s">
        <v>226</v>
      </c>
      <c r="V190" s="178"/>
    </row>
    <row r="191" spans="1:29" x14ac:dyDescent="0.2">
      <c r="J191" s="210" t="s">
        <v>228</v>
      </c>
      <c r="K191" s="162" t="s">
        <v>43</v>
      </c>
      <c r="L191" s="208"/>
      <c r="M191" s="208"/>
      <c r="N191" s="384">
        <f>10*$B$58*N189</f>
        <v>1.2317545038905546</v>
      </c>
      <c r="O191" s="384">
        <f>10*$B$58*O189</f>
        <v>1.2317545038905546</v>
      </c>
      <c r="P191" s="321">
        <f>10*$B$58*P189</f>
        <v>1.2317545038905546</v>
      </c>
      <c r="Q191" s="17" t="s">
        <v>20</v>
      </c>
      <c r="V191" s="178"/>
    </row>
    <row r="192" spans="1:29" x14ac:dyDescent="0.2">
      <c r="J192" s="117" t="s">
        <v>228</v>
      </c>
      <c r="K192" s="162" t="s">
        <v>43</v>
      </c>
      <c r="L192" s="208"/>
      <c r="M192" s="208"/>
      <c r="N192" s="384">
        <f>10*INVOER!W20*'Berekening trap 2'!N189</f>
        <v>1.5309560931202726</v>
      </c>
      <c r="O192" s="384">
        <f>10*INVOER!W20*'Berekening trap 2'!O189</f>
        <v>1.5309560931202726</v>
      </c>
      <c r="P192" s="321">
        <f>IF(AND(INVOER!E20=1,INVOER!T36=1),'Berekening trap 2'!N192,'Berekening trap 2'!O192)</f>
        <v>1.5309560931202726</v>
      </c>
      <c r="Q192" s="17" t="s">
        <v>249</v>
      </c>
      <c r="W192" s="166"/>
    </row>
    <row r="193" spans="18:24" x14ac:dyDescent="0.2">
      <c r="R193" s="178"/>
      <c r="S193" s="178"/>
      <c r="T193" s="178"/>
      <c r="U193" s="178"/>
      <c r="V193" s="17"/>
      <c r="W193" s="178"/>
    </row>
    <row r="194" spans="18:24" x14ac:dyDescent="0.2">
      <c r="R194" s="178"/>
      <c r="S194" s="178"/>
      <c r="T194" s="178"/>
      <c r="U194" s="178"/>
      <c r="V194" s="142"/>
      <c r="W194" s="17"/>
      <c r="X194" s="178"/>
    </row>
    <row r="195" spans="18:24" x14ac:dyDescent="0.2">
      <c r="X195" s="178"/>
    </row>
    <row r="196" spans="18:24" x14ac:dyDescent="0.2">
      <c r="X196" s="178"/>
    </row>
  </sheetData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4101" r:id="rId4">
          <objectPr defaultSize="0" autoPict="0" r:id="rId5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4101" r:id="rId4"/>
      </mc:Fallback>
    </mc:AlternateContent>
    <mc:AlternateContent xmlns:mc="http://schemas.openxmlformats.org/markup-compatibility/2006">
      <mc:Choice Requires="x14">
        <oleObject progId="Equation.3" shapeId="4099" r:id="rId6">
          <objectPr defaultSize="0" autoPict="0" r:id="rId7">
            <anchor moveWithCells="1" sizeWithCells="1">
              <from>
                <xdr:col>11</xdr:col>
                <xdr:colOff>104775</xdr:colOff>
                <xdr:row>33</xdr:row>
                <xdr:rowOff>152400</xdr:rowOff>
              </from>
              <to>
                <xdr:col>13</xdr:col>
                <xdr:colOff>666750</xdr:colOff>
                <xdr:row>37</xdr:row>
                <xdr:rowOff>66675</xdr:rowOff>
              </to>
            </anchor>
          </objectPr>
        </oleObject>
      </mc:Choice>
      <mc:Fallback>
        <oleObject progId="Equation.3" shapeId="4099" r:id="rId6"/>
      </mc:Fallback>
    </mc:AlternateContent>
    <mc:AlternateContent xmlns:mc="http://schemas.openxmlformats.org/markup-compatibility/2006">
      <mc:Choice Requires="x14">
        <oleObject progId="Equation.3" shapeId="4100" r:id="rId8">
          <objectPr defaultSize="0" autoPict="0" r:id="rId9">
            <anchor moveWithCells="1" sizeWithCells="1">
              <from>
                <xdr:col>11</xdr:col>
                <xdr:colOff>104775</xdr:colOff>
                <xdr:row>37</xdr:row>
                <xdr:rowOff>66675</xdr:rowOff>
              </from>
              <to>
                <xdr:col>13</xdr:col>
                <xdr:colOff>666750</xdr:colOff>
                <xdr:row>40</xdr:row>
                <xdr:rowOff>142875</xdr:rowOff>
              </to>
            </anchor>
          </objectPr>
        </oleObject>
      </mc:Choice>
      <mc:Fallback>
        <oleObject progId="Equation.3" shapeId="4100" r:id="rId8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>
    <pageSetUpPr fitToPage="1"/>
  </sheetPr>
  <dimension ref="A1:AC83"/>
  <sheetViews>
    <sheetView showGridLines="0" topLeftCell="A8" zoomScale="75" workbookViewId="0">
      <selection activeCell="U15" sqref="U15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4" max="14" width="9.42578125" bestFit="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29" ht="15.75" customHeight="1" x14ac:dyDescent="0.2">
      <c r="A1" s="104"/>
      <c r="B1" s="105"/>
      <c r="C1" s="105"/>
      <c r="D1" s="105"/>
      <c r="E1" s="105"/>
      <c r="F1" s="106"/>
      <c r="G1" s="106"/>
      <c r="H1" s="5"/>
      <c r="I1" s="429" t="s">
        <v>149</v>
      </c>
      <c r="J1" s="430"/>
      <c r="K1" s="430"/>
      <c r="L1" s="430"/>
      <c r="M1" s="430"/>
      <c r="N1" s="430"/>
      <c r="O1" s="430"/>
      <c r="P1" s="431"/>
      <c r="Q1" s="125"/>
    </row>
    <row r="2" spans="1:29" ht="15.75" customHeight="1" x14ac:dyDescent="0.2">
      <c r="A2" s="107"/>
      <c r="B2" s="109"/>
      <c r="C2" s="108"/>
      <c r="D2" s="108"/>
      <c r="E2" s="108"/>
      <c r="F2" s="109"/>
      <c r="G2" s="109"/>
      <c r="H2" s="6"/>
      <c r="I2" s="432"/>
      <c r="J2" s="433"/>
      <c r="K2" s="433"/>
      <c r="L2" s="433"/>
      <c r="M2" s="433"/>
      <c r="N2" s="433"/>
      <c r="O2" s="433"/>
      <c r="P2" s="434"/>
      <c r="Q2" s="125"/>
    </row>
    <row r="3" spans="1:29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42" t="str">
        <f>INVOER!H2</f>
        <v>Cargill P</v>
      </c>
      <c r="K3" s="442"/>
      <c r="L3" s="442"/>
      <c r="M3" s="443"/>
      <c r="N3" s="119" t="s">
        <v>160</v>
      </c>
      <c r="O3" s="436">
        <f>+INVOER!H5</f>
        <v>0</v>
      </c>
      <c r="P3" s="437"/>
    </row>
    <row r="4" spans="1:29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44">
        <f>INVOER!H3</f>
        <v>0</v>
      </c>
      <c r="K4" s="444"/>
      <c r="L4" s="444"/>
      <c r="M4" s="445"/>
      <c r="N4" s="120" t="s">
        <v>175</v>
      </c>
      <c r="O4" s="438">
        <f>+INVOER!H6</f>
        <v>0</v>
      </c>
      <c r="P4" s="439"/>
    </row>
    <row r="5" spans="1:29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46" t="str">
        <f>INVOER!H4</f>
        <v>Q18.1161a</v>
      </c>
      <c r="K5" s="446"/>
      <c r="L5" s="446"/>
      <c r="M5" s="447"/>
      <c r="N5" s="121" t="s">
        <v>176</v>
      </c>
      <c r="O5" s="440"/>
      <c r="P5" s="441"/>
    </row>
    <row r="6" spans="1:29" x14ac:dyDescent="0.2">
      <c r="A6" s="41" t="s">
        <v>104</v>
      </c>
      <c r="B6" s="5"/>
      <c r="C6" s="5"/>
      <c r="D6" s="5">
        <f>INVOER!C5</f>
        <v>53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1'!K23</f>
        <v>435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 x14ac:dyDescent="0.2">
      <c r="A7" s="43" t="s">
        <v>105</v>
      </c>
      <c r="B7" s="6"/>
      <c r="C7" s="6"/>
      <c r="D7" s="6">
        <f>INVOER!C6</f>
        <v>-25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INVOER!C15</f>
        <v>2</v>
      </c>
      <c r="K7" s="6"/>
      <c r="L7" s="52" t="s">
        <v>172</v>
      </c>
      <c r="M7" s="57">
        <f>J8</f>
        <v>1700</v>
      </c>
      <c r="N7" s="117" t="s">
        <v>162</v>
      </c>
      <c r="O7" s="57">
        <f>'Berekening trap 1'!K29*'OUTPUT trap 1'!M$7</f>
        <v>3481.6</v>
      </c>
      <c r="P7" s="44"/>
      <c r="X7" s="114"/>
      <c r="Y7" s="115"/>
      <c r="Z7" s="116"/>
      <c r="AA7" s="115"/>
      <c r="AB7" s="115"/>
      <c r="AC7" s="115"/>
    </row>
    <row r="8" spans="1:29" x14ac:dyDescent="0.2">
      <c r="A8" s="43" t="s">
        <v>148</v>
      </c>
      <c r="B8" s="6"/>
      <c r="C8" s="6"/>
      <c r="D8" s="8">
        <f>'Berekening trap 1'!C6</f>
        <v>21.527777777777779</v>
      </c>
      <c r="E8" s="6" t="s">
        <v>110</v>
      </c>
      <c r="F8" s="57">
        <f>3600*D8</f>
        <v>77500</v>
      </c>
      <c r="G8" s="44" t="s">
        <v>109</v>
      </c>
      <c r="H8" s="6" t="s">
        <v>177</v>
      </c>
      <c r="I8" s="6"/>
      <c r="J8" s="6">
        <f>'Berekening trap 1'!C13</f>
        <v>1700</v>
      </c>
      <c r="K8" s="44" t="s">
        <v>120</v>
      </c>
      <c r="L8" s="52" t="s">
        <v>171</v>
      </c>
      <c r="M8" s="57">
        <f>'Berekening trap 1'!K24*'OUTPUT trap 1'!M$7</f>
        <v>479.4</v>
      </c>
      <c r="N8" s="117" t="s">
        <v>163</v>
      </c>
      <c r="O8" s="57">
        <f>'Berekening trap 1'!K30*'OUTPUT trap 1'!M$7</f>
        <v>2230.4</v>
      </c>
      <c r="P8" s="44"/>
      <c r="X8" s="6"/>
      <c r="Y8" s="115"/>
      <c r="Z8" s="116"/>
      <c r="AA8" s="115"/>
      <c r="AB8" s="115"/>
      <c r="AC8" s="115"/>
    </row>
    <row r="9" spans="1:29" x14ac:dyDescent="0.2">
      <c r="A9" s="43" t="s">
        <v>148</v>
      </c>
      <c r="B9" s="6"/>
      <c r="C9" s="6"/>
      <c r="D9" s="8">
        <f>INVOER!V9</f>
        <v>17.583060049941547</v>
      </c>
      <c r="E9" s="6" t="s">
        <v>107</v>
      </c>
      <c r="F9" s="57">
        <f>3600*D9</f>
        <v>63299.016179789571</v>
      </c>
      <c r="G9" s="44" t="s">
        <v>108</v>
      </c>
      <c r="H9" s="6" t="s">
        <v>122</v>
      </c>
      <c r="I9" s="6"/>
      <c r="J9" s="117" t="str">
        <f>IF('Berekening trap 1'!C14=1,"NA",'Berekening trap 1'!C14)</f>
        <v>NA</v>
      </c>
      <c r="K9" s="44"/>
      <c r="L9" s="52" t="s">
        <v>170</v>
      </c>
      <c r="M9" s="57">
        <f>'Berekening trap 1'!K25*'OUTPUT trap 1'!M$7</f>
        <v>1088</v>
      </c>
      <c r="N9" s="117" t="s">
        <v>164</v>
      </c>
      <c r="O9" s="57">
        <f>'Berekening trap 1'!K31*'OUTPUT trap 1'!M$7</f>
        <v>1020</v>
      </c>
      <c r="P9" s="44"/>
      <c r="X9" s="6"/>
      <c r="Y9" s="111"/>
      <c r="Z9" s="110"/>
      <c r="AA9" s="111"/>
      <c r="AB9" s="111"/>
      <c r="AC9" s="111"/>
    </row>
    <row r="10" spans="1:29" x14ac:dyDescent="0.2">
      <c r="A10" s="43" t="s">
        <v>111</v>
      </c>
      <c r="B10" s="6"/>
      <c r="C10" s="6"/>
      <c r="D10" s="6">
        <f>INVOER!T15</f>
        <v>0.99</v>
      </c>
      <c r="E10" s="6" t="s">
        <v>112</v>
      </c>
      <c r="F10" s="6">
        <f>INVOER!U15</f>
        <v>1.2121041468018448</v>
      </c>
      <c r="G10" s="44" t="s">
        <v>141</v>
      </c>
      <c r="H10" s="6" t="s">
        <v>39</v>
      </c>
      <c r="I10" s="6"/>
      <c r="J10" s="61">
        <f>'Berekening trap 1'!R24</f>
        <v>20.636796472169738</v>
      </c>
      <c r="K10" s="44" t="s">
        <v>121</v>
      </c>
      <c r="L10" s="52" t="s">
        <v>169</v>
      </c>
      <c r="M10" s="57">
        <f>'Berekening trap 1'!K26*'OUTPUT trap 1'!M$7</f>
        <v>1020</v>
      </c>
      <c r="N10" s="117" t="s">
        <v>165</v>
      </c>
      <c r="O10" s="57">
        <f>'Berekening trap 1'!K32*'OUTPUT trap 1'!M$7</f>
        <v>680</v>
      </c>
      <c r="P10" s="44"/>
      <c r="X10" s="114"/>
      <c r="Y10" s="113"/>
      <c r="Z10" s="112"/>
      <c r="AA10" s="113"/>
      <c r="AB10" s="113"/>
      <c r="AC10" s="113"/>
    </row>
    <row r="11" spans="1:29" x14ac:dyDescent="0.2">
      <c r="A11" s="43" t="s">
        <v>152</v>
      </c>
      <c r="B11" s="6"/>
      <c r="C11" s="6"/>
      <c r="D11" s="6">
        <f>INVOER!C9</f>
        <v>1.9E-2</v>
      </c>
      <c r="E11" s="6" t="s">
        <v>113</v>
      </c>
      <c r="F11" s="6"/>
      <c r="G11" s="44"/>
      <c r="H11" s="43" t="s">
        <v>119</v>
      </c>
      <c r="I11" s="6"/>
      <c r="J11" s="61">
        <f>'Berekening trap 1'!R25</f>
        <v>15.121867484275436</v>
      </c>
      <c r="K11" s="44" t="s">
        <v>121</v>
      </c>
      <c r="L11" s="52" t="s">
        <v>168</v>
      </c>
      <c r="M11" s="57">
        <f>'Berekening trap 1'!K27*'OUTPUT trap 1'!M$7*INVOER!C20</f>
        <v>952.00000000000011</v>
      </c>
      <c r="N11" s="117" t="s">
        <v>166</v>
      </c>
      <c r="O11" s="57">
        <f>'Berekening trap 1'!K33*'OUTPUT trap 1'!M$7</f>
        <v>510</v>
      </c>
      <c r="P11" s="44"/>
      <c r="X11" s="112"/>
      <c r="Y11" s="113"/>
      <c r="Z11" s="112"/>
      <c r="AA11" s="113"/>
      <c r="AB11" s="113"/>
      <c r="AC11" s="113"/>
    </row>
    <row r="12" spans="1:29" x14ac:dyDescent="0.2">
      <c r="A12" s="43" t="s">
        <v>114</v>
      </c>
      <c r="B12" s="6"/>
      <c r="C12" s="6"/>
      <c r="D12" s="6">
        <f>'Berekening trap 1'!C9</f>
        <v>1600</v>
      </c>
      <c r="E12" s="6" t="s">
        <v>117</v>
      </c>
      <c r="F12" s="6"/>
      <c r="G12" s="44"/>
      <c r="H12" s="6" t="s">
        <v>186</v>
      </c>
      <c r="I12" s="6"/>
      <c r="J12" s="117" t="str">
        <f>INVOER!U36</f>
        <v>Y</v>
      </c>
      <c r="K12" s="6"/>
      <c r="L12" s="52" t="s">
        <v>174</v>
      </c>
      <c r="M12" s="57">
        <f>'Berekening trap 1'!K28*'OUTPUT trap 1'!M$7</f>
        <v>952.00000000000011</v>
      </c>
      <c r="N12" s="117" t="s">
        <v>167</v>
      </c>
      <c r="O12" s="57">
        <f>0.625*O10</f>
        <v>425</v>
      </c>
      <c r="P12" s="44"/>
      <c r="X12" s="112"/>
      <c r="Y12" s="6"/>
      <c r="Z12" s="6"/>
      <c r="AA12" s="6"/>
      <c r="AB12" s="6"/>
      <c r="AC12" s="6"/>
    </row>
    <row r="13" spans="1:29" x14ac:dyDescent="0.2">
      <c r="A13" s="45" t="s">
        <v>115</v>
      </c>
      <c r="B13" s="46"/>
      <c r="C13" s="46"/>
      <c r="D13" s="74">
        <f>INVOER!V19*1000</f>
        <v>96.774193548387089</v>
      </c>
      <c r="E13" s="46" t="s">
        <v>116</v>
      </c>
      <c r="F13" s="74">
        <f>INVOER!W19*1000</f>
        <v>118.48525384182255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1516.4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26" t="s">
        <v>128</v>
      </c>
      <c r="C15" s="427"/>
      <c r="D15" s="427"/>
      <c r="E15" s="428"/>
      <c r="F15" s="6"/>
      <c r="G15" s="426" t="s">
        <v>253</v>
      </c>
      <c r="H15" s="427"/>
      <c r="I15" s="427"/>
      <c r="J15" s="427"/>
      <c r="K15" s="427"/>
      <c r="L15" s="427"/>
      <c r="M15" s="427"/>
      <c r="N15" s="427"/>
      <c r="O15" s="428"/>
      <c r="P15" s="44"/>
    </row>
    <row r="16" spans="1:29" x14ac:dyDescent="0.2">
      <c r="A16" s="43"/>
      <c r="B16" s="43" t="s">
        <v>129</v>
      </c>
      <c r="C16" s="6"/>
      <c r="D16" s="389">
        <f>'Berekening trap 1'!W190</f>
        <v>91.674386984769242</v>
      </c>
      <c r="E16" s="44" t="s">
        <v>5</v>
      </c>
      <c r="F16" s="6"/>
      <c r="G16" s="62" t="s">
        <v>133</v>
      </c>
      <c r="H16" s="435" t="s">
        <v>181</v>
      </c>
      <c r="I16" s="435"/>
      <c r="J16" s="423" t="s">
        <v>182</v>
      </c>
      <c r="K16" s="424"/>
      <c r="L16" s="425"/>
      <c r="M16" s="423" t="s">
        <v>183</v>
      </c>
      <c r="N16" s="425"/>
      <c r="O16" s="101" t="s">
        <v>184</v>
      </c>
      <c r="P16" s="223"/>
      <c r="Q16" s="224"/>
    </row>
    <row r="17" spans="1:17" x14ac:dyDescent="0.2">
      <c r="A17" s="43"/>
      <c r="B17" s="43" t="s">
        <v>130</v>
      </c>
      <c r="C17" s="6"/>
      <c r="D17" s="390">
        <f>'Berekening trap 1'!W191</f>
        <v>8.0570448534491153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 x14ac:dyDescent="0.2">
      <c r="A18" s="43"/>
      <c r="B18" s="43" t="s">
        <v>130</v>
      </c>
      <c r="C18" s="6"/>
      <c r="D18" s="390">
        <f>'Berekening trap 1'!W192</f>
        <v>9.8646237149839742</v>
      </c>
      <c r="E18" s="44" t="s">
        <v>44</v>
      </c>
      <c r="F18" s="6"/>
      <c r="G18" s="64">
        <f>'Berekening trap 1'!B76</f>
        <v>0.26570890188795654</v>
      </c>
      <c r="H18" s="60">
        <f>100*'Berekening trap 1'!R76</f>
        <v>99.994104311082694</v>
      </c>
      <c r="I18" s="60">
        <f>'Berekening trap 1'!T76</f>
        <v>5.8956889173122917E-3</v>
      </c>
      <c r="J18" s="60">
        <f>IF(INVOER!$S$36=1,100*'Berekening trap 1'!H76,100*'Berekening trap 1'!I76)</f>
        <v>100</v>
      </c>
      <c r="K18" s="243">
        <f>J18*I18/100</f>
        <v>5.8956889173122917E-3</v>
      </c>
      <c r="L18" s="60">
        <f>100*(1-K18/SUM(K18:K40))</f>
        <v>99.916238732227271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 x14ac:dyDescent="0.2">
      <c r="A19" s="43"/>
      <c r="B19" s="95" t="s">
        <v>153</v>
      </c>
      <c r="C19" s="96"/>
      <c r="D19" s="96"/>
      <c r="E19" s="97"/>
      <c r="F19" s="6"/>
      <c r="G19" s="64">
        <f>'Berekening trap 1'!B81</f>
        <v>0.66793384083884377</v>
      </c>
      <c r="H19" s="60">
        <f>100*'Berekening trap 1'!R81</f>
        <v>99.987046014939523</v>
      </c>
      <c r="I19" s="60">
        <f>H18-H19</f>
        <v>7.0582961431711055E-3</v>
      </c>
      <c r="J19" s="60">
        <f>IF(INVOER!$S$36=1,100*'Berekening trap 1'!H81,100*'Berekening trap 1'!I81)</f>
        <v>100</v>
      </c>
      <c r="K19" s="243">
        <f>J19*I19/100</f>
        <v>7.0582961431711055E-3</v>
      </c>
      <c r="L19" s="60">
        <f>L18-100*K19/SUM($K$18:$K$40)</f>
        <v>99.815960063939443</v>
      </c>
      <c r="M19" s="60">
        <f>I19-K19</f>
        <v>0</v>
      </c>
      <c r="N19" s="60">
        <f>N18-100*M19/SUM($M$18:$M$40)</f>
        <v>100</v>
      </c>
      <c r="O19" s="103">
        <f t="shared" ref="O19:O24" si="0">100-J19</f>
        <v>0</v>
      </c>
      <c r="P19" s="133"/>
      <c r="Q19" s="225"/>
    </row>
    <row r="20" spans="1:17" x14ac:dyDescent="0.2">
      <c r="A20" s="43"/>
      <c r="B20" s="126" t="s">
        <v>178</v>
      </c>
      <c r="C20" s="6"/>
      <c r="D20" s="57">
        <f>'Berekening trap 1'!R27</f>
        <v>1475.6650823159694</v>
      </c>
      <c r="E20" s="44" t="s">
        <v>131</v>
      </c>
      <c r="F20" s="6"/>
      <c r="G20" s="64">
        <f>'Berekening trap 1'!B86</f>
        <v>0.86081251411848214</v>
      </c>
      <c r="H20" s="60">
        <f>100*'Berekening trap 1'!R86</f>
        <v>99.971538756411974</v>
      </c>
      <c r="I20" s="60">
        <f>H19-H20</f>
        <v>1.5507258527549084E-2</v>
      </c>
      <c r="J20" s="60">
        <f>IF(INVOER!$S$36=1,100*'Berekening trap 1'!H86,100*'Berekening trap 1'!I86)</f>
        <v>100</v>
      </c>
      <c r="K20" s="243">
        <f>J20*I20/100</f>
        <v>1.5507258527549084E-2</v>
      </c>
      <c r="L20" s="60">
        <f t="shared" ref="L20:L39" si="1">L19-100*K20/SUM($K$18:$K$40)</f>
        <v>99.595645245406047</v>
      </c>
      <c r="M20" s="60">
        <f>I20-K20</f>
        <v>0</v>
      </c>
      <c r="N20" s="60">
        <f t="shared" ref="N20:N40" si="2">N19-100*M20/SUM($M$18:$M$40)</f>
        <v>100</v>
      </c>
      <c r="O20" s="103">
        <f t="shared" si="0"/>
        <v>0</v>
      </c>
      <c r="P20" s="133"/>
      <c r="Q20" s="225"/>
    </row>
    <row r="21" spans="1:17" x14ac:dyDescent="0.2">
      <c r="A21" s="43"/>
      <c r="B21" s="127" t="s">
        <v>179</v>
      </c>
      <c r="C21" s="98"/>
      <c r="D21" s="99">
        <f>'Berekening trap 1'!R28</f>
        <v>1741.2847971328438</v>
      </c>
      <c r="E21" s="100" t="s">
        <v>131</v>
      </c>
      <c r="F21" s="6"/>
      <c r="G21" s="64">
        <f>'Berekening trap 1'!B91</f>
        <v>1.1093885938349497</v>
      </c>
      <c r="H21" s="60">
        <f>100*'Berekening trap 1'!R91</f>
        <v>99.937473512511858</v>
      </c>
      <c r="I21" s="60">
        <f t="shared" ref="I21:I40" si="3">H20-H21</f>
        <v>3.4065243900116116E-2</v>
      </c>
      <c r="J21" s="60">
        <f>IF(INVOER!$S$36=1,100*'Berekening trap 1'!H91,100*'Berekening trap 1'!I91)</f>
        <v>97.256154917959009</v>
      </c>
      <c r="K21" s="243">
        <f>J21*I21/100</f>
        <v>3.3130546380677514E-2</v>
      </c>
      <c r="L21" s="60">
        <f t="shared" si="1"/>
        <v>99.124952743517071</v>
      </c>
      <c r="M21" s="60">
        <f>I21-K21</f>
        <v>9.3469751943860147E-4</v>
      </c>
      <c r="N21" s="60">
        <f t="shared" si="2"/>
        <v>99.998994530698127</v>
      </c>
      <c r="O21" s="103">
        <f t="shared" si="0"/>
        <v>2.7438450820409912</v>
      </c>
      <c r="P21" s="133"/>
      <c r="Q21" s="225"/>
    </row>
    <row r="22" spans="1:17" x14ac:dyDescent="0.2">
      <c r="A22" s="43"/>
      <c r="B22" s="43" t="s">
        <v>73</v>
      </c>
      <c r="C22" s="6"/>
      <c r="D22" s="56">
        <f>'Berekening trap 1'!K51</f>
        <v>1.2529946098373499</v>
      </c>
      <c r="E22" s="44" t="s">
        <v>132</v>
      </c>
      <c r="F22" s="6"/>
      <c r="G22" s="64">
        <f>'Berekening trap 1'!B96</f>
        <v>1.4297457715184745</v>
      </c>
      <c r="H22" s="60">
        <f>100*'Berekening trap 1'!R96</f>
        <v>99.862663615811911</v>
      </c>
      <c r="I22" s="60">
        <f t="shared" si="3"/>
        <v>7.4809896699946421E-2</v>
      </c>
      <c r="J22" s="60">
        <f>IF(INVOER!$S$36=1,100*'Berekening trap 1'!H96,100*'Berekening trap 1'!I96)</f>
        <v>92.117110315556502</v>
      </c>
      <c r="K22" s="243">
        <f>J22*I22/100</f>
        <v>6.8912715070043512E-2</v>
      </c>
      <c r="L22" s="60">
        <f t="shared" si="1"/>
        <v>98.145895594999928</v>
      </c>
      <c r="M22" s="60">
        <f t="shared" ref="M22:M39" si="4">I22-K22</f>
        <v>5.897181629902909E-3</v>
      </c>
      <c r="N22" s="60">
        <f t="shared" si="2"/>
        <v>99.992650836643989</v>
      </c>
      <c r="O22" s="103">
        <f t="shared" si="0"/>
        <v>7.8828896844434979</v>
      </c>
      <c r="P22" s="133"/>
      <c r="Q22" s="225"/>
    </row>
    <row r="23" spans="1:17" x14ac:dyDescent="0.2">
      <c r="A23" s="43"/>
      <c r="B23" s="43" t="s">
        <v>75</v>
      </c>
      <c r="C23" s="6"/>
      <c r="D23" s="56">
        <f>'Berekening trap 1'!K52</f>
        <v>1.5575683978294921</v>
      </c>
      <c r="E23" s="44" t="s">
        <v>132</v>
      </c>
      <c r="F23" s="6"/>
      <c r="G23" s="64">
        <f>'Berekening trap 1'!B101</f>
        <v>1.8426122122895037</v>
      </c>
      <c r="H23" s="60">
        <f>100*'Berekening trap 1'!R101</f>
        <v>99.698482446432919</v>
      </c>
      <c r="I23" s="60">
        <f t="shared" si="3"/>
        <v>0.16418116937899185</v>
      </c>
      <c r="J23" s="60">
        <f>IF(INVOER!$S$36=1,100*'Berekening trap 1'!H101,100*'Berekening trap 1'!I101)</f>
        <v>85.264809906720231</v>
      </c>
      <c r="K23" s="243">
        <f t="shared" ref="K23:K40" si="5">J23*I23/100</f>
        <v>0.13998876197362775</v>
      </c>
      <c r="L23" s="60">
        <f t="shared" si="1"/>
        <v>96.157046396662025</v>
      </c>
      <c r="M23" s="60">
        <f t="shared" si="4"/>
        <v>2.4192407405364103E-2</v>
      </c>
      <c r="N23" s="60">
        <f t="shared" si="2"/>
        <v>99.966626671094403</v>
      </c>
      <c r="O23" s="103">
        <f t="shared" si="0"/>
        <v>14.735190093279769</v>
      </c>
      <c r="P23" s="133"/>
      <c r="Q23" s="225"/>
    </row>
    <row r="24" spans="1:17" x14ac:dyDescent="0.2">
      <c r="A24" s="43"/>
      <c r="B24" s="43" t="s">
        <v>77</v>
      </c>
      <c r="C24" s="6"/>
      <c r="D24" s="56">
        <f>'Berekening trap 1'!K53</f>
        <v>4.3061742501703764</v>
      </c>
      <c r="E24" s="44" t="s">
        <v>132</v>
      </c>
      <c r="F24" s="6"/>
      <c r="G24" s="64">
        <f>'Berekening trap 1'!B106</f>
        <v>2.374701735450838</v>
      </c>
      <c r="H24" s="60">
        <f>100*'Berekening trap 1'!R106</f>
        <v>99.338679007990862</v>
      </c>
      <c r="I24" s="60">
        <f t="shared" si="3"/>
        <v>0.3598034384420572</v>
      </c>
      <c r="J24" s="60">
        <f>IF(INVOER!$S$36=1,100*'Berekening trap 1'!H106,100*'Berekening trap 1'!I106)</f>
        <v>76.623678656122522</v>
      </c>
      <c r="K24" s="243">
        <f>J24*I24/100</f>
        <v>0.27569463046552151</v>
      </c>
      <c r="L24" s="60">
        <f t="shared" si="1"/>
        <v>92.240195950547559</v>
      </c>
      <c r="M24" s="60">
        <f t="shared" si="4"/>
        <v>8.4108807976535693E-2</v>
      </c>
      <c r="N24" s="60">
        <f t="shared" si="2"/>
        <v>99.876149460361162</v>
      </c>
      <c r="O24" s="103">
        <f t="shared" si="0"/>
        <v>23.376321343877478</v>
      </c>
      <c r="P24" s="133"/>
      <c r="Q24" s="225"/>
    </row>
    <row r="25" spans="1:17" x14ac:dyDescent="0.2">
      <c r="A25" s="43"/>
      <c r="B25" s="43" t="s">
        <v>79</v>
      </c>
      <c r="C25" s="6"/>
      <c r="D25" s="56">
        <f>'Berekening trap 1'!K54</f>
        <v>10.659151910129776</v>
      </c>
      <c r="E25" s="44" t="s">
        <v>132</v>
      </c>
      <c r="F25" s="6"/>
      <c r="G25" s="64">
        <f>'Berekening trap 1'!B111</f>
        <v>3.0604422866308516</v>
      </c>
      <c r="H25" s="60">
        <f>100*'Berekening trap 1'!R111</f>
        <v>98.552646970963082</v>
      </c>
      <c r="I25" s="60">
        <f t="shared" si="3"/>
        <v>0.78603203702778046</v>
      </c>
      <c r="J25" s="60">
        <f>IF(INVOER!$S$36=1,100*'Berekening trap 1'!H111,100*'Berekening trap 1'!I111)</f>
        <v>66.226275450989888</v>
      </c>
      <c r="K25" s="243">
        <f>J25*I25/100</f>
        <v>0.52055974197504473</v>
      </c>
      <c r="L25" s="60">
        <f t="shared" si="1"/>
        <v>84.844496389256392</v>
      </c>
      <c r="M25" s="60">
        <f>I25-K25</f>
        <v>0.26547229505273573</v>
      </c>
      <c r="N25" s="60">
        <f t="shared" si="2"/>
        <v>99.590576601095037</v>
      </c>
      <c r="O25" s="103">
        <f t="shared" ref="O25:O40" si="6">100-J25</f>
        <v>33.773724549010112</v>
      </c>
      <c r="P25" s="133"/>
      <c r="Q25" s="225"/>
    </row>
    <row r="26" spans="1:17" x14ac:dyDescent="0.2">
      <c r="A26" s="43"/>
      <c r="B26" s="45" t="s">
        <v>80</v>
      </c>
      <c r="C26" s="46"/>
      <c r="D26" s="132">
        <f>'Berekening trap 1'!K55</f>
        <v>13.419561412275232</v>
      </c>
      <c r="E26" s="50" t="s">
        <v>132</v>
      </c>
      <c r="F26" s="6"/>
      <c r="G26" s="64">
        <f>'Berekening trap 1'!B116</f>
        <v>3.9442035393215731</v>
      </c>
      <c r="H26" s="60">
        <f>100*'Berekening trap 1'!R116</f>
        <v>96.847297691479525</v>
      </c>
      <c r="I26" s="60">
        <f t="shared" si="3"/>
        <v>1.7053492794835563</v>
      </c>
      <c r="J26" s="60">
        <f>IF(INVOER!$S$36=1,100*'Berekening trap 1'!H116,100*'Berekening trap 1'!I116)</f>
        <v>54.350967209192746</v>
      </c>
      <c r="K26" s="243">
        <f t="shared" si="5"/>
        <v>0.92687382769431237</v>
      </c>
      <c r="L26" s="60">
        <f t="shared" si="1"/>
        <v>71.67620885545071</v>
      </c>
      <c r="M26" s="60">
        <f>I26-K26</f>
        <v>0.77847545178924393</v>
      </c>
      <c r="N26" s="60">
        <f t="shared" si="2"/>
        <v>98.753157914554592</v>
      </c>
      <c r="O26" s="103">
        <f t="shared" si="6"/>
        <v>45.649032790807254</v>
      </c>
      <c r="P26" s="133"/>
      <c r="Q26" s="225"/>
    </row>
    <row r="27" spans="1:17" x14ac:dyDescent="0.2">
      <c r="A27" s="43"/>
      <c r="B27" s="6"/>
      <c r="C27" s="6"/>
      <c r="D27" s="56"/>
      <c r="E27" s="6"/>
      <c r="F27" s="6"/>
      <c r="G27" s="64">
        <f>'Berekening trap 1'!B121</f>
        <v>5.0831677589721078</v>
      </c>
      <c r="H27" s="60">
        <f>100*'Berekening trap 1'!R121</f>
        <v>93.580151763294666</v>
      </c>
      <c r="I27" s="60">
        <f t="shared" si="3"/>
        <v>3.2671459281848598</v>
      </c>
      <c r="J27" s="60">
        <f>IF(INVOER!$S$36=1,100*'Berekening trap 1'!H121,100*'Berekening trap 1'!I121)</f>
        <v>41.630737761370021</v>
      </c>
      <c r="K27" s="243">
        <f t="shared" si="5"/>
        <v>1.3601369536439176</v>
      </c>
      <c r="L27" s="60">
        <f t="shared" si="1"/>
        <v>52.35246277936163</v>
      </c>
      <c r="M27" s="60">
        <f>I27-K27</f>
        <v>1.9070089745409422</v>
      </c>
      <c r="N27" s="60">
        <f t="shared" si="2"/>
        <v>96.701757389322267</v>
      </c>
      <c r="O27" s="103">
        <f t="shared" si="6"/>
        <v>58.369262238629979</v>
      </c>
      <c r="P27" s="133"/>
      <c r="Q27" s="225"/>
    </row>
    <row r="28" spans="1:17" x14ac:dyDescent="0.2">
      <c r="A28" s="43"/>
      <c r="B28" s="6"/>
      <c r="C28" s="6"/>
      <c r="D28" s="6"/>
      <c r="E28" s="6"/>
      <c r="F28" s="6"/>
      <c r="G28" s="64">
        <f>'Berekening trap 1'!B126</f>
        <v>6.5510296840050808</v>
      </c>
      <c r="H28" s="60">
        <f>100*'Berekening trap 1'!R126</f>
        <v>90.334816740159468</v>
      </c>
      <c r="I28" s="60">
        <f t="shared" si="3"/>
        <v>3.2453350231351976</v>
      </c>
      <c r="J28" s="60">
        <f>IF(INVOER!$S$36=1,100*'Berekening trap 1'!H126,100*'Berekening trap 1'!I126)</f>
        <v>29.082792509822763</v>
      </c>
      <c r="K28" s="243">
        <f t="shared" si="5"/>
        <v>0.94383405102701812</v>
      </c>
      <c r="L28" s="60">
        <f t="shared" si="1"/>
        <v>38.94321785652469</v>
      </c>
      <c r="M28" s="60">
        <f t="shared" si="4"/>
        <v>2.3015009721081796</v>
      </c>
      <c r="N28" s="60">
        <f t="shared" si="2"/>
        <v>94.225995415447997</v>
      </c>
      <c r="O28" s="103">
        <f t="shared" si="6"/>
        <v>70.917207490177233</v>
      </c>
      <c r="P28" s="133"/>
      <c r="Q28" s="225"/>
    </row>
    <row r="29" spans="1:17" x14ac:dyDescent="0.2">
      <c r="A29" s="43"/>
      <c r="B29" s="6"/>
      <c r="C29" s="6"/>
      <c r="D29" s="6"/>
      <c r="E29" s="6"/>
      <c r="F29" s="6"/>
      <c r="G29" s="64">
        <f>'Berekening trap 1'!B131</f>
        <v>8.4427648182506516</v>
      </c>
      <c r="H29" s="60">
        <f>100*'Berekening trap 1'!R131</f>
        <v>85.58007758632364</v>
      </c>
      <c r="I29" s="60">
        <f t="shared" si="3"/>
        <v>4.7547391538358283</v>
      </c>
      <c r="J29" s="60">
        <f>IF(INVOER!$S$36=1,100*'Berekening trap 1'!H131,100*'Berekening trap 1'!I131)</f>
        <v>17.967385298659728</v>
      </c>
      <c r="K29" s="243">
        <f t="shared" si="5"/>
        <v>0.85430230371591664</v>
      </c>
      <c r="L29" s="60">
        <f t="shared" si="1"/>
        <v>26.805968923616007</v>
      </c>
      <c r="M29" s="60">
        <f t="shared" si="4"/>
        <v>3.9004368501199118</v>
      </c>
      <c r="N29" s="60">
        <f t="shared" si="2"/>
        <v>90.03023214962613</v>
      </c>
      <c r="O29" s="103">
        <f t="shared" si="6"/>
        <v>82.032614701340265</v>
      </c>
      <c r="P29" s="133"/>
      <c r="Q29" s="225"/>
    </row>
    <row r="30" spans="1:17" x14ac:dyDescent="0.2">
      <c r="A30" s="43"/>
      <c r="F30" s="6"/>
      <c r="G30" s="64">
        <f>'Berekening trap 1'!B136</f>
        <v>10.880774659032312</v>
      </c>
      <c r="H30" s="60">
        <f>100*'Berekening trap 1'!R136</f>
        <v>77.59526877686379</v>
      </c>
      <c r="I30" s="60">
        <f t="shared" si="3"/>
        <v>7.9848088094598495</v>
      </c>
      <c r="J30" s="60">
        <f>IF(INVOER!$S$36=1,100*'Berekening trap 1'!H136,100*'Berekening trap 1'!I136)</f>
        <v>9.4204990898274712</v>
      </c>
      <c r="K30" s="243">
        <f>J30*I30/100</f>
        <v>0.75220884121962883</v>
      </c>
      <c r="L30" s="60">
        <f t="shared" si="1"/>
        <v>16.119182857716133</v>
      </c>
      <c r="M30" s="60">
        <f t="shared" si="4"/>
        <v>7.2325999682402209</v>
      </c>
      <c r="N30" s="60">
        <f t="shared" si="2"/>
        <v>82.250006900704662</v>
      </c>
      <c r="O30" s="103">
        <f t="shared" si="6"/>
        <v>90.579500910172527</v>
      </c>
      <c r="P30" s="133"/>
      <c r="Q30" s="225"/>
    </row>
    <row r="31" spans="1:17" x14ac:dyDescent="0.2">
      <c r="A31" s="43"/>
      <c r="F31" s="6"/>
      <c r="G31" s="64">
        <f>'Berekening trap 1'!B141</f>
        <v>14.02280647741299</v>
      </c>
      <c r="H31" s="60">
        <f>100*'Berekening trap 1'!R141</f>
        <v>63.886969178674022</v>
      </c>
      <c r="I31" s="60">
        <f t="shared" si="3"/>
        <v>13.708299598189768</v>
      </c>
      <c r="J31" s="60">
        <f>IF(INVOER!$S$36=1,100*'Berekening trap 1'!H141,100*'Berekening trap 1'!I141)</f>
        <v>4.3696355856559341</v>
      </c>
      <c r="K31" s="243">
        <f t="shared" si="5"/>
        <v>0.59900273743082955</v>
      </c>
      <c r="L31" s="60">
        <f t="shared" si="1"/>
        <v>7.6090274899163628</v>
      </c>
      <c r="M31" s="60">
        <f t="shared" si="4"/>
        <v>13.109296860758938</v>
      </c>
      <c r="N31" s="60">
        <f t="shared" si="2"/>
        <v>68.148123362342744</v>
      </c>
      <c r="O31" s="103">
        <f t="shared" si="6"/>
        <v>95.630364414344072</v>
      </c>
      <c r="P31" s="133"/>
      <c r="Q31" s="225"/>
    </row>
    <row r="32" spans="1:17" x14ac:dyDescent="0.2">
      <c r="A32" s="43"/>
      <c r="F32" s="6"/>
      <c r="G32" s="64">
        <f>'Berekening trap 1'!B146</f>
        <v>18.072160086482654</v>
      </c>
      <c r="H32" s="60">
        <f>100*'Berekening trap 1'!R146</f>
        <v>46.32587146284699</v>
      </c>
      <c r="I32" s="60">
        <f t="shared" si="3"/>
        <v>17.561097715827032</v>
      </c>
      <c r="J32" s="60">
        <f>IF(INVOER!$S$36=1,100*'Berekening trap 1'!H146,100*'Berekening trap 1'!I146)</f>
        <v>1.9280781118000012</v>
      </c>
      <c r="K32" s="243">
        <f>J32*I32/100</f>
        <v>0.33859168125067102</v>
      </c>
      <c r="L32" s="60">
        <f t="shared" si="1"/>
        <v>2.7985856778361855</v>
      </c>
      <c r="M32" s="60">
        <f t="shared" si="4"/>
        <v>17.222506034576362</v>
      </c>
      <c r="N32" s="60">
        <f t="shared" si="2"/>
        <v>49.621593913968447</v>
      </c>
      <c r="O32" s="103">
        <f t="shared" si="6"/>
        <v>98.071921888199995</v>
      </c>
      <c r="P32" s="133"/>
      <c r="Q32" s="225"/>
    </row>
    <row r="33" spans="1:24" x14ac:dyDescent="0.2">
      <c r="A33" s="43"/>
      <c r="F33" s="6"/>
      <c r="G33" s="64">
        <f>'Berekening trap 1'!B151</f>
        <v>23.290842009231696</v>
      </c>
      <c r="H33" s="60">
        <f>100*'Berekening trap 1'!R151</f>
        <v>27.677500620543714</v>
      </c>
      <c r="I33" s="60">
        <f t="shared" si="3"/>
        <v>18.648370842303276</v>
      </c>
      <c r="J33" s="60">
        <f>IF(INVOER!$S$36=1,100*'Berekening trap 1'!H151,100*'Berekening trap 1'!I151)</f>
        <v>0.77952636421405741</v>
      </c>
      <c r="K33" s="243">
        <f t="shared" si="5"/>
        <v>0.14536896721216111</v>
      </c>
      <c r="L33" s="60">
        <f t="shared" si="1"/>
        <v>0.73329879461065017</v>
      </c>
      <c r="M33" s="60">
        <f t="shared" si="4"/>
        <v>18.503001875091115</v>
      </c>
      <c r="N33" s="60">
        <f t="shared" si="2"/>
        <v>29.717614293697551</v>
      </c>
      <c r="O33" s="103">
        <f t="shared" si="6"/>
        <v>99.220473635785936</v>
      </c>
      <c r="P33" s="133"/>
      <c r="Q33" s="225"/>
    </row>
    <row r="34" spans="1:24" x14ac:dyDescent="0.2">
      <c r="A34" s="43"/>
      <c r="F34" s="6"/>
      <c r="G34" s="64">
        <f>'Berekening trap 1'!B156</f>
        <v>30.016518164020443</v>
      </c>
      <c r="H34" s="60">
        <f>100*'Berekening trap 1'!R156</f>
        <v>12.495146180640283</v>
      </c>
      <c r="I34" s="60">
        <f>H33-H34</f>
        <v>15.182354439903431</v>
      </c>
      <c r="J34" s="60">
        <f>IF(INVOER!$S$36=1,100*'Berekening trap 1'!H156,100*'Berekening trap 1'!I156)</f>
        <v>0.28199743886005046</v>
      </c>
      <c r="K34" s="243">
        <f t="shared" si="5"/>
        <v>4.2813850679182835E-2</v>
      </c>
      <c r="L34" s="60">
        <f t="shared" si="1"/>
        <v>0.12503359245754708</v>
      </c>
      <c r="M34" s="60">
        <f t="shared" si="4"/>
        <v>15.139540589224248</v>
      </c>
      <c r="N34" s="60">
        <f t="shared" si="2"/>
        <v>13.431764603877987</v>
      </c>
      <c r="O34" s="103">
        <f t="shared" si="6"/>
        <v>99.718002561139954</v>
      </c>
      <c r="P34" s="133"/>
      <c r="Q34" s="225"/>
    </row>
    <row r="35" spans="1:24" x14ac:dyDescent="0.2">
      <c r="A35" s="43"/>
      <c r="F35" s="6"/>
      <c r="G35" s="64">
        <f>'Berekening trap 1'!B161</f>
        <v>38.68436196226169</v>
      </c>
      <c r="H35" s="60">
        <f>100*'Berekening trap 1'!R161</f>
        <v>3.5768241765298825</v>
      </c>
      <c r="I35" s="60">
        <f t="shared" si="3"/>
        <v>8.9183220041104008</v>
      </c>
      <c r="J35" s="60">
        <f>IF(INVOER!$S$36=1,100*'Berekening trap 1'!H161,100*'Berekening trap 1'!I161)</f>
        <v>8.9082758878630069E-2</v>
      </c>
      <c r="K35" s="243">
        <f t="shared" si="5"/>
        <v>7.9446872869414781E-3</v>
      </c>
      <c r="L35" s="60">
        <f t="shared" si="1"/>
        <v>1.2161782471431598E-2</v>
      </c>
      <c r="M35" s="60">
        <f t="shared" si="4"/>
        <v>8.9103773168234586</v>
      </c>
      <c r="N35" s="60">
        <f t="shared" si="2"/>
        <v>3.846727012667948</v>
      </c>
      <c r="O35" s="103">
        <f t="shared" si="6"/>
        <v>99.910917241121368</v>
      </c>
      <c r="P35" s="133"/>
      <c r="Q35" s="225"/>
    </row>
    <row r="36" spans="1:24" x14ac:dyDescent="0.2">
      <c r="A36" s="43"/>
      <c r="F36" s="6"/>
      <c r="G36" s="64">
        <f>'Berekening trap 1'!B166</f>
        <v>49.855211462235737</v>
      </c>
      <c r="H36" s="60">
        <f>100*'Berekening trap 1'!R166</f>
        <v>0</v>
      </c>
      <c r="I36" s="60">
        <f t="shared" si="3"/>
        <v>3.5768241765298825</v>
      </c>
      <c r="J36" s="60">
        <f>IF(INVOER!$S$36=1,100*'Berekening trap 1'!H166,100*'Berekening trap 1'!I166)</f>
        <v>2.3932659228489531E-2</v>
      </c>
      <c r="K36" s="243">
        <f t="shared" si="5"/>
        <v>8.560291413711237E-4</v>
      </c>
      <c r="L36" s="60">
        <f t="shared" si="1"/>
        <v>-1.1166415014862707E-14</v>
      </c>
      <c r="M36" s="60">
        <f t="shared" si="4"/>
        <v>3.5759681473885112</v>
      </c>
      <c r="N36" s="60">
        <f t="shared" si="2"/>
        <v>-5.3290705182007514E-15</v>
      </c>
      <c r="O36" s="103">
        <f t="shared" si="6"/>
        <v>99.976067340771507</v>
      </c>
      <c r="P36" s="133"/>
      <c r="Q36" s="225"/>
    </row>
    <row r="37" spans="1:24" x14ac:dyDescent="0.2">
      <c r="A37" s="43"/>
      <c r="F37" s="6"/>
      <c r="G37" s="64">
        <f>'Berekening trap 1'!B171</f>
        <v>64.251857439680606</v>
      </c>
      <c r="H37" s="60">
        <f>100*'Berekening trap 1'!R171</f>
        <v>0</v>
      </c>
      <c r="I37" s="60">
        <f t="shared" si="3"/>
        <v>0</v>
      </c>
      <c r="J37" s="60">
        <f>IF(INVOER!$S$36=1,100*'Berekening trap 1'!H171,100*'Berekening trap 1'!I171)</f>
        <v>5.3087206706065879E-3</v>
      </c>
      <c r="K37" s="243">
        <f t="shared" si="5"/>
        <v>0</v>
      </c>
      <c r="L37" s="60">
        <f t="shared" si="1"/>
        <v>-1.1166415014862707E-14</v>
      </c>
      <c r="M37" s="60">
        <f t="shared" si="4"/>
        <v>0</v>
      </c>
      <c r="N37" s="60">
        <f t="shared" si="2"/>
        <v>-5.3290705182007514E-15</v>
      </c>
      <c r="O37" s="103">
        <f t="shared" si="6"/>
        <v>99.994691279329388</v>
      </c>
      <c r="P37" s="133"/>
      <c r="Q37" s="225"/>
    </row>
    <row r="38" spans="1:24" x14ac:dyDescent="0.2">
      <c r="A38" s="43"/>
      <c r="F38" s="6"/>
      <c r="G38" s="64">
        <f>'Berekening trap 1'!B176</f>
        <v>82.805810332910568</v>
      </c>
      <c r="H38" s="60">
        <f>100*'Berekening trap 1'!R176</f>
        <v>0</v>
      </c>
      <c r="I38" s="60">
        <f t="shared" si="3"/>
        <v>0</v>
      </c>
      <c r="J38" s="60">
        <f>IF(INVOER!$S$36=1,100*'Berekening trap 1'!H176,100*'Berekening trap 1'!I176)</f>
        <v>9.4014698924209709E-4</v>
      </c>
      <c r="K38" s="243">
        <f t="shared" si="5"/>
        <v>0</v>
      </c>
      <c r="L38" s="60">
        <f t="shared" si="1"/>
        <v>-1.1166415014862707E-14</v>
      </c>
      <c r="M38" s="60">
        <f t="shared" si="4"/>
        <v>0</v>
      </c>
      <c r="N38" s="60">
        <f t="shared" si="2"/>
        <v>-5.3290705182007514E-15</v>
      </c>
      <c r="O38" s="103">
        <f t="shared" si="6"/>
        <v>99.999059853010763</v>
      </c>
      <c r="P38" s="133"/>
      <c r="Q38" s="225"/>
    </row>
    <row r="39" spans="1:24" x14ac:dyDescent="0.2">
      <c r="A39" s="43"/>
      <c r="F39" s="6"/>
      <c r="G39" s="64">
        <f>'Berekening trap 1'!B181</f>
        <v>106.71757203793049</v>
      </c>
      <c r="H39" s="60">
        <f>100*'Berekening trap 1'!R181</f>
        <v>0</v>
      </c>
      <c r="I39" s="60">
        <f t="shared" si="3"/>
        <v>0</v>
      </c>
      <c r="J39" s="60">
        <f>IF(INVOER!$S$36=1,100*'Berekening trap 1'!H181,100*'Berekening trap 1'!I181)</f>
        <v>1.2790481024204083E-4</v>
      </c>
      <c r="K39" s="243">
        <f t="shared" si="5"/>
        <v>0</v>
      </c>
      <c r="L39" s="60">
        <f t="shared" si="1"/>
        <v>-1.1166415014862707E-14</v>
      </c>
      <c r="M39" s="60">
        <f t="shared" si="4"/>
        <v>0</v>
      </c>
      <c r="N39" s="60">
        <f t="shared" si="2"/>
        <v>-5.3290705182007514E-15</v>
      </c>
      <c r="O39" s="103">
        <f t="shared" si="6"/>
        <v>99.999872095189758</v>
      </c>
      <c r="P39" s="133"/>
      <c r="Q39" s="225"/>
    </row>
    <row r="40" spans="1:24" x14ac:dyDescent="0.2">
      <c r="A40" s="43"/>
      <c r="F40" s="6"/>
      <c r="G40" s="64">
        <f>'Berekening trap 1'!B186</f>
        <v>137.53431233731447</v>
      </c>
      <c r="H40" s="60">
        <f>100*'Berekening trap 1'!R186</f>
        <v>0</v>
      </c>
      <c r="I40" s="60">
        <f t="shared" si="3"/>
        <v>0</v>
      </c>
      <c r="J40" s="60">
        <f>IF(INVOER!$S$36=1,100*'Berekening trap 1'!H186,100*'Berekening trap 1'!I186)</f>
        <v>1.278822707300997E-5</v>
      </c>
      <c r="K40" s="243">
        <f t="shared" si="5"/>
        <v>0</v>
      </c>
      <c r="L40" s="60">
        <f>L39-100*K40/SUM($K$18:$K$40)</f>
        <v>-1.1166415014862707E-14</v>
      </c>
      <c r="M40" s="60">
        <f>I40-K40</f>
        <v>0</v>
      </c>
      <c r="N40" s="60">
        <f t="shared" si="2"/>
        <v>-5.3290705182007514E-15</v>
      </c>
      <c r="O40" s="103">
        <f t="shared" si="6"/>
        <v>99.999987211772932</v>
      </c>
      <c r="P40" s="133"/>
      <c r="Q40" s="226" t="s">
        <v>242</v>
      </c>
    </row>
    <row r="41" spans="1:24" x14ac:dyDescent="0.2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IF(INVOER!$S$36=1,'Berekening trap 1'!U189,'Berekening trap 1'!V189)</f>
        <v>8.3256130152307524</v>
      </c>
      <c r="L41" s="123"/>
      <c r="M41" s="124"/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 x14ac:dyDescent="0.2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1'!U187/'Berekening trap 1'!U189</f>
        <v>1.6603113136138043E-9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21" t="s">
        <v>255</v>
      </c>
      <c r="D43" s="247">
        <f>'Berekening trap 1'!K56</f>
        <v>141.02263898650821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21" t="s">
        <v>256</v>
      </c>
      <c r="D44" s="248">
        <f>'Berekening trap 1'!H57/2</f>
        <v>0.45370642156740848</v>
      </c>
      <c r="E44" s="131" t="s">
        <v>251</v>
      </c>
      <c r="F44" s="131"/>
      <c r="G44" s="6"/>
      <c r="H44" s="6"/>
      <c r="I44" s="6"/>
      <c r="J44" s="6"/>
      <c r="K44" s="6"/>
      <c r="L44" s="6"/>
      <c r="M44" s="6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B15:E15"/>
    <mergeCell ref="O3:P3"/>
    <mergeCell ref="O4:P4"/>
    <mergeCell ref="O5:P5"/>
    <mergeCell ref="J3:M3"/>
    <mergeCell ref="J4:M4"/>
    <mergeCell ref="J5:M5"/>
    <mergeCell ref="J16:L16"/>
    <mergeCell ref="M16:N16"/>
    <mergeCell ref="G15:O15"/>
    <mergeCell ref="I1:P2"/>
    <mergeCell ref="H16:I16"/>
  </mergeCells>
  <phoneticPr fontId="0" type="noConversion"/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6">
    <pageSetUpPr fitToPage="1"/>
  </sheetPr>
  <dimension ref="A1:AC83"/>
  <sheetViews>
    <sheetView showGridLines="0" topLeftCell="A7" zoomScale="75" workbookViewId="0">
      <selection activeCell="S26" sqref="S26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3.28515625" bestFit="1" customWidth="1"/>
  </cols>
  <sheetData>
    <row r="1" spans="1:29" ht="15.75" customHeight="1" x14ac:dyDescent="0.2">
      <c r="A1" s="104"/>
      <c r="B1" s="105"/>
      <c r="C1" s="105"/>
      <c r="D1" s="105"/>
      <c r="E1" s="105"/>
      <c r="F1" s="106"/>
      <c r="G1" s="106"/>
      <c r="H1" s="5"/>
      <c r="I1" s="429" t="s">
        <v>149</v>
      </c>
      <c r="J1" s="430"/>
      <c r="K1" s="430"/>
      <c r="L1" s="430"/>
      <c r="M1" s="430"/>
      <c r="N1" s="430"/>
      <c r="O1" s="430"/>
      <c r="P1" s="431"/>
      <c r="Q1" s="125"/>
    </row>
    <row r="2" spans="1:29" ht="15.75" customHeight="1" x14ac:dyDescent="0.2">
      <c r="A2" s="107"/>
      <c r="B2" s="109"/>
      <c r="C2" s="108"/>
      <c r="D2" s="108"/>
      <c r="E2" s="108"/>
      <c r="F2" s="109"/>
      <c r="G2" s="109"/>
      <c r="H2" s="6"/>
      <c r="I2" s="432"/>
      <c r="J2" s="433"/>
      <c r="K2" s="433"/>
      <c r="L2" s="433"/>
      <c r="M2" s="433"/>
      <c r="N2" s="433"/>
      <c r="O2" s="433"/>
      <c r="P2" s="434"/>
      <c r="Q2" s="125"/>
    </row>
    <row r="3" spans="1:29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42" t="str">
        <f>INVOER!H2</f>
        <v>Cargill P</v>
      </c>
      <c r="K3" s="442"/>
      <c r="L3" s="442"/>
      <c r="M3" s="443"/>
      <c r="N3" s="119" t="s">
        <v>160</v>
      </c>
      <c r="O3" s="436">
        <f>+INVOER!H5</f>
        <v>0</v>
      </c>
      <c r="P3" s="437"/>
    </row>
    <row r="4" spans="1:29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44">
        <f>INVOER!H3</f>
        <v>0</v>
      </c>
      <c r="K4" s="444"/>
      <c r="L4" s="444"/>
      <c r="M4" s="445"/>
      <c r="N4" s="120" t="s">
        <v>175</v>
      </c>
      <c r="O4" s="438">
        <f>+INVOER!H6</f>
        <v>0</v>
      </c>
      <c r="P4" s="439"/>
    </row>
    <row r="5" spans="1:29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46" t="str">
        <f>INVOER!H4</f>
        <v>Q18.1161a</v>
      </c>
      <c r="K5" s="446"/>
      <c r="L5" s="446"/>
      <c r="M5" s="447"/>
      <c r="N5" s="121" t="s">
        <v>176</v>
      </c>
      <c r="O5" s="440"/>
      <c r="P5" s="441"/>
    </row>
    <row r="6" spans="1:29" x14ac:dyDescent="0.2">
      <c r="A6" s="41" t="s">
        <v>104</v>
      </c>
      <c r="B6" s="5"/>
      <c r="C6" s="5"/>
      <c r="D6" s="5">
        <f>INVOER!C$5</f>
        <v>53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2'!K$23</f>
        <v>850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 x14ac:dyDescent="0.2">
      <c r="A7" s="43" t="s">
        <v>105</v>
      </c>
      <c r="B7" s="6"/>
      <c r="C7" s="6"/>
      <c r="D7" s="6">
        <f>INVOER!C$6-INVOER!C$28/100000</f>
        <v>-25.014756650823159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INVOER!E$15</f>
        <v>6</v>
      </c>
      <c r="K7" s="6"/>
      <c r="L7" s="52" t="s">
        <v>172</v>
      </c>
      <c r="M7" s="57">
        <f>J8</f>
        <v>1250</v>
      </c>
      <c r="N7" s="117" t="s">
        <v>162</v>
      </c>
      <c r="O7" s="57">
        <f>'Berekening trap 2'!K$29*'OUTPUT trap 2'!M$7</f>
        <v>3106.25</v>
      </c>
      <c r="P7" s="44"/>
      <c r="X7" s="114"/>
      <c r="Y7" s="115"/>
      <c r="Z7" s="116"/>
      <c r="AA7" s="115"/>
      <c r="AB7" s="115"/>
      <c r="AC7" s="115"/>
    </row>
    <row r="8" spans="1:29" x14ac:dyDescent="0.2">
      <c r="A8" s="43" t="s">
        <v>148</v>
      </c>
      <c r="B8" s="6"/>
      <c r="C8" s="6"/>
      <c r="D8" s="8">
        <f>'Berekening trap 2'!C$6</f>
        <v>21.854105533312897</v>
      </c>
      <c r="E8" s="6" t="s">
        <v>110</v>
      </c>
      <c r="F8" s="57">
        <f>3600*D8</f>
        <v>78674.779919926426</v>
      </c>
      <c r="G8" s="44" t="s">
        <v>109</v>
      </c>
      <c r="H8" s="6" t="s">
        <v>177</v>
      </c>
      <c r="I8" s="6"/>
      <c r="J8" s="6">
        <f>INVOER!E$18</f>
        <v>1250</v>
      </c>
      <c r="K8" s="44" t="s">
        <v>120</v>
      </c>
      <c r="L8" s="52" t="s">
        <v>171</v>
      </c>
      <c r="M8" s="57">
        <f>'Berekening trap 2'!K$24*'OUTPUT trap 2'!M$7</f>
        <v>253.75000000000003</v>
      </c>
      <c r="N8" s="117" t="s">
        <v>163</v>
      </c>
      <c r="O8" s="57">
        <f>'Berekening trap 2'!K$30*'OUTPUT trap 2'!M$7</f>
        <v>1640</v>
      </c>
      <c r="P8" s="44"/>
      <c r="X8" s="6"/>
      <c r="Y8" s="115"/>
      <c r="Z8" s="116"/>
      <c r="AA8" s="115"/>
      <c r="AB8" s="115"/>
      <c r="AC8" s="115"/>
    </row>
    <row r="9" spans="1:29" x14ac:dyDescent="0.2">
      <c r="A9" s="43" t="s">
        <v>148</v>
      </c>
      <c r="B9" s="6"/>
      <c r="C9" s="6"/>
      <c r="D9" s="8">
        <f>INVOER!V$9</f>
        <v>17.583060049941547</v>
      </c>
      <c r="E9" s="6" t="s">
        <v>107</v>
      </c>
      <c r="F9" s="57">
        <f>3600*D9</f>
        <v>63299.016179789571</v>
      </c>
      <c r="G9" s="44" t="s">
        <v>108</v>
      </c>
      <c r="H9" s="6" t="s">
        <v>122</v>
      </c>
      <c r="I9" s="6"/>
      <c r="J9" s="117" t="str">
        <f>IF('Berekening trap 2'!C$14=1,"NA",'Berekening trap 2'!C$14)</f>
        <v>NA</v>
      </c>
      <c r="K9" s="44"/>
      <c r="L9" s="52" t="s">
        <v>170</v>
      </c>
      <c r="M9" s="57">
        <f>'Berekening trap 2'!K$25*'OUTPUT trap 2'!M$7</f>
        <v>571.25</v>
      </c>
      <c r="N9" s="117" t="s">
        <v>164</v>
      </c>
      <c r="O9" s="57">
        <f>'Berekening trap 2'!K$31*'OUTPUT trap 2'!M$7</f>
        <v>750</v>
      </c>
      <c r="P9" s="44"/>
      <c r="X9" s="6"/>
      <c r="Y9" s="111"/>
      <c r="Z9" s="110"/>
      <c r="AA9" s="111"/>
      <c r="AB9" s="111"/>
      <c r="AC9" s="111"/>
    </row>
    <row r="10" spans="1:29" x14ac:dyDescent="0.2">
      <c r="A10" s="43" t="s">
        <v>111</v>
      </c>
      <c r="B10" s="6"/>
      <c r="C10" s="6"/>
      <c r="D10" s="6">
        <f>'Berekening trap 2'!C$7</f>
        <v>0.99</v>
      </c>
      <c r="E10" s="6" t="s">
        <v>112</v>
      </c>
      <c r="F10" s="6">
        <f>INVOER!U$15</f>
        <v>1.2121041468018448</v>
      </c>
      <c r="G10" s="44" t="s">
        <v>141</v>
      </c>
      <c r="H10" s="6" t="s">
        <v>39</v>
      </c>
      <c r="I10" s="6"/>
      <c r="J10" s="61">
        <f>'Berekening trap 2'!R$24</f>
        <v>25.127513880631255</v>
      </c>
      <c r="K10" s="44" t="s">
        <v>121</v>
      </c>
      <c r="L10" s="52" t="s">
        <v>169</v>
      </c>
      <c r="M10" s="57">
        <f>'Berekening trap 2'!K$26*'OUTPUT trap 2'!M$7</f>
        <v>704.99999999999989</v>
      </c>
      <c r="N10" s="117" t="s">
        <v>165</v>
      </c>
      <c r="O10" s="57">
        <f>'Berekening trap 2'!K$32*'OUTPUT trap 2'!M$7</f>
        <v>500</v>
      </c>
      <c r="P10" s="44"/>
      <c r="X10" s="114"/>
      <c r="Y10" s="113"/>
      <c r="Z10" s="112"/>
      <c r="AA10" s="113"/>
      <c r="AB10" s="113"/>
      <c r="AC10" s="113"/>
    </row>
    <row r="11" spans="1:29" x14ac:dyDescent="0.2">
      <c r="A11" s="43" t="s">
        <v>152</v>
      </c>
      <c r="B11" s="6"/>
      <c r="C11" s="6"/>
      <c r="D11" s="6">
        <f>INVOER!C$9</f>
        <v>1.9E-2</v>
      </c>
      <c r="E11" s="6" t="s">
        <v>113</v>
      </c>
      <c r="F11" s="6"/>
      <c r="G11" s="44"/>
      <c r="H11" s="43" t="s">
        <v>119</v>
      </c>
      <c r="I11" s="6"/>
      <c r="J11" s="61">
        <f>'Berekening trap 2'!R$25</f>
        <v>31.491629059001315</v>
      </c>
      <c r="K11" s="44" t="s">
        <v>121</v>
      </c>
      <c r="L11" s="52" t="s">
        <v>168</v>
      </c>
      <c r="M11" s="57">
        <f>'Berekening trap 2'!K$27*'OUTPUT trap 2'!M$7*INVOER!C20</f>
        <v>383.75</v>
      </c>
      <c r="N11" s="117" t="s">
        <v>166</v>
      </c>
      <c r="O11" s="57">
        <f>'Berekening trap 2'!K$33*'OUTPUT trap 2'!M$7</f>
        <v>375</v>
      </c>
      <c r="P11" s="44"/>
      <c r="X11" s="112"/>
      <c r="Y11" s="113"/>
      <c r="Z11" s="112"/>
      <c r="AA11" s="113"/>
      <c r="AB11" s="113"/>
      <c r="AC11" s="113"/>
    </row>
    <row r="12" spans="1:29" x14ac:dyDescent="0.2">
      <c r="A12" s="43" t="s">
        <v>114</v>
      </c>
      <c r="B12" s="6"/>
      <c r="C12" s="6"/>
      <c r="D12" s="6">
        <f>'Berekening trap 1'!C$9</f>
        <v>1600</v>
      </c>
      <c r="E12" s="6" t="s">
        <v>117</v>
      </c>
      <c r="F12" s="6"/>
      <c r="G12" s="44"/>
      <c r="H12" s="6" t="s">
        <v>186</v>
      </c>
      <c r="I12" s="6"/>
      <c r="J12" s="117" t="str">
        <f>INVOER!U$37</f>
        <v>Y</v>
      </c>
      <c r="K12" s="6"/>
      <c r="L12" s="52" t="s">
        <v>174</v>
      </c>
      <c r="M12" s="57">
        <f>'Berekening trap 2'!K$28*'OUTPUT trap 2'!M$7</f>
        <v>535</v>
      </c>
      <c r="N12" s="117" t="s">
        <v>167</v>
      </c>
      <c r="O12" s="57">
        <f>0.625*O10</f>
        <v>312.5</v>
      </c>
      <c r="P12" s="44"/>
      <c r="X12" s="112"/>
      <c r="Y12" s="6"/>
      <c r="Z12" s="6"/>
      <c r="AA12" s="6"/>
      <c r="AB12" s="6"/>
      <c r="AC12" s="6"/>
    </row>
    <row r="13" spans="1:29" x14ac:dyDescent="0.2">
      <c r="A13" s="45" t="s">
        <v>115</v>
      </c>
      <c r="B13" s="46"/>
      <c r="C13" s="46"/>
      <c r="D13" s="391">
        <f>'OUTPUT trap 1'!D17</f>
        <v>8.0570448534491153</v>
      </c>
      <c r="E13" s="392" t="s">
        <v>116</v>
      </c>
      <c r="F13" s="391">
        <f>'OUTPUT trap 1'!D18</f>
        <v>9.8646237149839742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1115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26" t="s">
        <v>128</v>
      </c>
      <c r="C15" s="427"/>
      <c r="D15" s="427"/>
      <c r="E15" s="428"/>
      <c r="F15" s="6"/>
      <c r="G15" s="426" t="s">
        <v>253</v>
      </c>
      <c r="H15" s="427"/>
      <c r="I15" s="427"/>
      <c r="J15" s="427"/>
      <c r="K15" s="427"/>
      <c r="L15" s="427"/>
      <c r="M15" s="427"/>
      <c r="N15" s="427"/>
      <c r="O15" s="428"/>
      <c r="P15" s="44"/>
    </row>
    <row r="16" spans="1:29" x14ac:dyDescent="0.2">
      <c r="A16" s="43"/>
      <c r="B16" s="43" t="s">
        <v>129</v>
      </c>
      <c r="C16" s="6"/>
      <c r="D16" s="389">
        <f>'Berekening trap 2'!P190</f>
        <v>84.480339672816811</v>
      </c>
      <c r="E16" s="44" t="s">
        <v>5</v>
      </c>
      <c r="F16" s="6"/>
      <c r="G16" s="62" t="s">
        <v>133</v>
      </c>
      <c r="H16" s="435" t="s">
        <v>181</v>
      </c>
      <c r="I16" s="435"/>
      <c r="J16" s="423" t="s">
        <v>182</v>
      </c>
      <c r="K16" s="424"/>
      <c r="L16" s="425"/>
      <c r="M16" s="423" t="s">
        <v>183</v>
      </c>
      <c r="N16" s="425"/>
      <c r="O16" s="101" t="s">
        <v>184</v>
      </c>
      <c r="P16" s="223"/>
      <c r="Q16" s="224"/>
    </row>
    <row r="17" spans="1:17" x14ac:dyDescent="0.2">
      <c r="A17" s="43"/>
      <c r="B17" s="43" t="s">
        <v>130</v>
      </c>
      <c r="C17" s="6"/>
      <c r="D17" s="390">
        <f>'Berekening trap 2'!P191</f>
        <v>1.2317545038905546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 x14ac:dyDescent="0.2">
      <c r="A18" s="43"/>
      <c r="B18" s="43" t="s">
        <v>130</v>
      </c>
      <c r="C18" s="6"/>
      <c r="D18" s="390">
        <f>'Berekening trap 2'!P192</f>
        <v>1.5309560931202726</v>
      </c>
      <c r="E18" s="44" t="s">
        <v>44</v>
      </c>
      <c r="F18" s="6"/>
      <c r="G18" s="64">
        <f>'Berekening trap 2'!B76</f>
        <v>0.26570890188795654</v>
      </c>
      <c r="H18" s="60">
        <f>'Berekening trap 2'!M76</f>
        <v>99.929186128155791</v>
      </c>
      <c r="I18" s="60">
        <f>'Berekening trap 2'!L76</f>
        <v>7.0813871844204332E-2</v>
      </c>
      <c r="J18" s="60">
        <f>IF(INVOER!$T$36=1,100*'Berekening trap 2'!H76,100*'Berekening trap 2'!I76)</f>
        <v>100</v>
      </c>
      <c r="K18" s="243">
        <f>J18*I18/100</f>
        <v>7.0813871844204332E-2</v>
      </c>
      <c r="L18" s="60">
        <f>100*(1-K18/SUM(K18:K40))</f>
        <v>99.481595361871527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 x14ac:dyDescent="0.2">
      <c r="A19" s="43"/>
      <c r="B19" s="95" t="s">
        <v>153</v>
      </c>
      <c r="C19" s="96"/>
      <c r="D19" s="96"/>
      <c r="E19" s="97"/>
      <c r="F19" s="6"/>
      <c r="G19" s="64">
        <f>'Berekening trap 2'!B81</f>
        <v>0.66793384083884377</v>
      </c>
      <c r="H19" s="60">
        <f>'Berekening trap 2'!M81</f>
        <v>99.844408032579494</v>
      </c>
      <c r="I19" s="60">
        <f>H18-H19</f>
        <v>8.4778095576297119E-2</v>
      </c>
      <c r="J19" s="60">
        <f>IF(INVOER!$T$36=1,100*'Berekening trap 2'!H81,100*'Berekening trap 2'!I81)</f>
        <v>87.017265018031381</v>
      </c>
      <c r="K19" s="243">
        <f>J19*I19/100</f>
        <v>7.377158010486641E-2</v>
      </c>
      <c r="L19" s="60">
        <f>L18-100*K19/SUM($K$18:$K$40)</f>
        <v>98.941538332190007</v>
      </c>
      <c r="M19" s="60">
        <f>I19-K19</f>
        <v>1.1006515471430708E-2</v>
      </c>
      <c r="N19" s="60">
        <f>N18-100*M19/SUM($M$18:$M$40)</f>
        <v>99.987252130517817</v>
      </c>
      <c r="O19" s="103">
        <f>100-J19</f>
        <v>12.982734981968619</v>
      </c>
      <c r="P19" s="133"/>
      <c r="Q19" s="225"/>
    </row>
    <row r="20" spans="1:17" x14ac:dyDescent="0.2">
      <c r="A20" s="43"/>
      <c r="B20" s="126" t="s">
        <v>178</v>
      </c>
      <c r="C20" s="6"/>
      <c r="D20" s="57">
        <f>'Berekening trap 2'!R27</f>
        <v>2645.9553191203759</v>
      </c>
      <c r="E20" s="44" t="s">
        <v>131</v>
      </c>
      <c r="F20" s="6"/>
      <c r="G20" s="64">
        <f>'Berekening trap 2'!B86</f>
        <v>0.86081251411848214</v>
      </c>
      <c r="H20" s="60">
        <f>'Berekening trap 2'!M86</f>
        <v>99.658148371761769</v>
      </c>
      <c r="I20" s="60">
        <f>H19-H20</f>
        <v>0.1862596608177256</v>
      </c>
      <c r="J20" s="60">
        <f>IF(INVOER!$T$36=1,100*'Berekening trap 2'!H86,100*'Berekening trap 2'!I86)</f>
        <v>76.630865930648795</v>
      </c>
      <c r="K20" s="243">
        <f>J20*I20/100</f>
        <v>0.1427323909641125</v>
      </c>
      <c r="L20" s="60">
        <f t="shared" ref="L20:L39" si="0">L19-100*K20/SUM($K$18:$K$40)</f>
        <v>97.89664230320642</v>
      </c>
      <c r="M20" s="60">
        <f>I20-K20</f>
        <v>4.3527269853613104E-2</v>
      </c>
      <c r="N20" s="60">
        <f t="shared" ref="N20:N40" si="1">N19-100*M20/SUM($M$18:$M$40)</f>
        <v>99.936838359106702</v>
      </c>
      <c r="O20" s="103">
        <f t="shared" ref="O20:O40" si="2">100-J20</f>
        <v>23.369134069351205</v>
      </c>
      <c r="P20" s="133"/>
      <c r="Q20" s="225"/>
    </row>
    <row r="21" spans="1:17" x14ac:dyDescent="0.2">
      <c r="A21" s="43"/>
      <c r="B21" s="127" t="s">
        <v>179</v>
      </c>
      <c r="C21" s="98"/>
      <c r="D21" s="99">
        <f>'Berekening trap 2'!R28</f>
        <v>1928.9908137976563</v>
      </c>
      <c r="E21" s="100" t="s">
        <v>131</v>
      </c>
      <c r="F21" s="6"/>
      <c r="G21" s="64">
        <f>'Berekening trap 2'!B91</f>
        <v>1.1093885938349497</v>
      </c>
      <c r="H21" s="60">
        <f>'Berekening trap 2'!M91</f>
        <v>99.255061506252417</v>
      </c>
      <c r="I21" s="60">
        <f t="shared" ref="I21:I40" si="3">H20-H21</f>
        <v>0.40308686550935136</v>
      </c>
      <c r="J21" s="60">
        <f>IF(INVOER!$T$36=1,100*'Berekening trap 2'!H91,100*'Berekening trap 2'!I91)</f>
        <v>66.841493858852459</v>
      </c>
      <c r="K21" s="243">
        <f>J21*I21/100</f>
        <v>0.26942928245527392</v>
      </c>
      <c r="L21" s="60">
        <f t="shared" si="0"/>
        <v>95.924240766121557</v>
      </c>
      <c r="M21" s="60">
        <f>I21-K21</f>
        <v>0.13365758305407743</v>
      </c>
      <c r="N21" s="60">
        <f t="shared" si="1"/>
        <v>99.782034649567549</v>
      </c>
      <c r="O21" s="103">
        <f t="shared" si="2"/>
        <v>33.158506141147541</v>
      </c>
      <c r="P21" s="133"/>
      <c r="Q21" s="225"/>
    </row>
    <row r="22" spans="1:17" x14ac:dyDescent="0.2">
      <c r="A22" s="43"/>
      <c r="B22" s="43" t="s">
        <v>73</v>
      </c>
      <c r="C22" s="6"/>
      <c r="D22" s="56">
        <f>'Berekening trap 2'!K51</f>
        <v>0.56669540041387378</v>
      </c>
      <c r="E22" s="44" t="s">
        <v>132</v>
      </c>
      <c r="F22" s="6"/>
      <c r="G22" s="64">
        <f>'Berekening trap 2'!B96</f>
        <v>1.4297457715184745</v>
      </c>
      <c r="H22" s="60">
        <f>'Berekening trap 2'!M96</f>
        <v>98.41064141848787</v>
      </c>
      <c r="I22" s="60">
        <f t="shared" si="3"/>
        <v>0.84442008776454713</v>
      </c>
      <c r="J22" s="60">
        <f>IF(INVOER!$T$36=1,100*'Berekening trap 2'!H96,100*'Berekening trap 2'!I96)</f>
        <v>57.259417874190731</v>
      </c>
      <c r="K22" s="243">
        <f>J22*I22/100</f>
        <v>0.48351002666671017</v>
      </c>
      <c r="L22" s="60">
        <f t="shared" si="0"/>
        <v>92.384625802585902</v>
      </c>
      <c r="M22" s="60">
        <f t="shared" ref="M22:M39" si="4">I22-K22</f>
        <v>0.36091006109783696</v>
      </c>
      <c r="N22" s="60">
        <f t="shared" si="1"/>
        <v>99.364024574932714</v>
      </c>
      <c r="O22" s="103">
        <f t="shared" si="2"/>
        <v>42.740582125809269</v>
      </c>
      <c r="P22" s="133"/>
      <c r="Q22" s="225"/>
    </row>
    <row r="23" spans="1:17" x14ac:dyDescent="0.2">
      <c r="A23" s="43"/>
      <c r="B23" s="43" t="s">
        <v>75</v>
      </c>
      <c r="C23" s="6"/>
      <c r="D23" s="56">
        <f>'Berekening trap 2'!K52</f>
        <v>0.62509753764326492</v>
      </c>
      <c r="E23" s="44" t="s">
        <v>132</v>
      </c>
      <c r="F23" s="6"/>
      <c r="G23" s="64">
        <f>'Berekening trap 2'!B101</f>
        <v>1.8426122122895037</v>
      </c>
      <c r="H23" s="60">
        <f>'Berekening trap 2'!M101</f>
        <v>96.681036431346129</v>
      </c>
      <c r="I23" s="60">
        <f t="shared" si="3"/>
        <v>1.7296049871417409</v>
      </c>
      <c r="J23" s="60">
        <f>IF(INVOER!$T$36=1,100*'Berekening trap 2'!H101,100*'Berekening trap 2'!I101)</f>
        <v>47.864038659186406</v>
      </c>
      <c r="K23" s="243">
        <f t="shared" ref="K23:K40" si="5">J23*I23/100</f>
        <v>0.82785879969673903</v>
      </c>
      <c r="L23" s="60">
        <f t="shared" si="0"/>
        <v>86.324148804202707</v>
      </c>
      <c r="M23" s="60">
        <f t="shared" si="4"/>
        <v>0.9017461874450019</v>
      </c>
      <c r="N23" s="60">
        <f t="shared" si="1"/>
        <v>98.319612041879552</v>
      </c>
      <c r="O23" s="103">
        <f t="shared" si="2"/>
        <v>52.135961340813594</v>
      </c>
      <c r="P23" s="133"/>
      <c r="Q23" s="225"/>
    </row>
    <row r="24" spans="1:17" x14ac:dyDescent="0.2">
      <c r="A24" s="43"/>
      <c r="B24" s="43" t="s">
        <v>77</v>
      </c>
      <c r="C24" s="6"/>
      <c r="D24" s="56">
        <f>'Berekening trap 2'!K53</f>
        <v>1.7383297799252895</v>
      </c>
      <c r="E24" s="44" t="s">
        <v>132</v>
      </c>
      <c r="F24" s="6"/>
      <c r="G24" s="64">
        <f>'Berekening trap 2'!B106</f>
        <v>2.374701735450838</v>
      </c>
      <c r="H24" s="60">
        <f>'Berekening trap 2'!M106</f>
        <v>93.237714551060876</v>
      </c>
      <c r="I24" s="60">
        <f t="shared" si="3"/>
        <v>3.4433218802852537</v>
      </c>
      <c r="J24" s="60">
        <f>IF(INVOER!$T$36=1,100*'Berekening trap 2'!H106,100*'Berekening trap 2'!I106)</f>
        <v>38.787656287459107</v>
      </c>
      <c r="K24" s="243">
        <f>J24*I24/100</f>
        <v>1.3355838557959183</v>
      </c>
      <c r="L24" s="60">
        <f t="shared" si="0"/>
        <v>76.546786722132438</v>
      </c>
      <c r="M24" s="60">
        <f t="shared" si="4"/>
        <v>2.1077380244893353</v>
      </c>
      <c r="N24" s="60">
        <f t="shared" si="1"/>
        <v>95.878406257126926</v>
      </c>
      <c r="O24" s="103">
        <f t="shared" si="2"/>
        <v>61.212343712540893</v>
      </c>
      <c r="P24" s="133"/>
      <c r="Q24" s="225"/>
    </row>
    <row r="25" spans="1:17" x14ac:dyDescent="0.2">
      <c r="A25" s="43"/>
      <c r="B25" s="43" t="s">
        <v>79</v>
      </c>
      <c r="C25" s="6"/>
      <c r="D25" s="56">
        <f>'Berekening trap 2'!K54</f>
        <v>6.6842777806606337</v>
      </c>
      <c r="E25" s="44" t="s">
        <v>132</v>
      </c>
      <c r="F25" s="6"/>
      <c r="G25" s="64">
        <f>'Berekening trap 2'!B111</f>
        <v>3.0604422866308516</v>
      </c>
      <c r="H25" s="60">
        <f>'Berekening trap 2'!M111</f>
        <v>86.641566143821052</v>
      </c>
      <c r="I25" s="60">
        <f t="shared" si="3"/>
        <v>6.5961484072398235</v>
      </c>
      <c r="J25" s="60">
        <f>IF(INVOER!$T$36=1,100*'Berekening trap 2'!H111,100*'Berekening trap 2'!I111)</f>
        <v>30.249149708742738</v>
      </c>
      <c r="K25" s="243">
        <f>J25*I25/100</f>
        <v>1.9952788067168239</v>
      </c>
      <c r="L25" s="60">
        <f t="shared" si="0"/>
        <v>61.940018855560922</v>
      </c>
      <c r="M25" s="60">
        <f>I25-K25</f>
        <v>4.6008696005229996</v>
      </c>
      <c r="N25" s="60">
        <f t="shared" si="1"/>
        <v>90.549627560158413</v>
      </c>
      <c r="O25" s="103">
        <f t="shared" si="2"/>
        <v>69.750850291257265</v>
      </c>
      <c r="P25" s="133"/>
      <c r="Q25" s="225"/>
    </row>
    <row r="26" spans="1:17" x14ac:dyDescent="0.2">
      <c r="A26" s="43"/>
      <c r="B26" s="45" t="s">
        <v>80</v>
      </c>
      <c r="C26" s="46"/>
      <c r="D26" s="132">
        <f>'Berekening trap 2'!K55</f>
        <v>9.6198561012664197</v>
      </c>
      <c r="E26" s="50" t="s">
        <v>132</v>
      </c>
      <c r="F26" s="6"/>
      <c r="G26" s="64">
        <f>'Berekening trap 2'!B116</f>
        <v>3.9442035393215731</v>
      </c>
      <c r="H26" s="60">
        <f>'Berekening trap 2'!M116</f>
        <v>74.665620547189661</v>
      </c>
      <c r="I26" s="60">
        <f t="shared" si="3"/>
        <v>11.975945596631391</v>
      </c>
      <c r="J26" s="60">
        <f>IF(INVOER!$T$36=1,100*'Berekening trap 2'!H116,100*'Berekening trap 2'!I116)</f>
        <v>22.508801556923636</v>
      </c>
      <c r="K26" s="243">
        <f t="shared" si="5"/>
        <v>2.6956418289108939</v>
      </c>
      <c r="L26" s="60">
        <f t="shared" si="0"/>
        <v>42.206127875627374</v>
      </c>
      <c r="M26" s="60">
        <f>I26-K26</f>
        <v>9.2803037677204969</v>
      </c>
      <c r="N26" s="60">
        <f t="shared" si="1"/>
        <v>79.801075805245802</v>
      </c>
      <c r="O26" s="103">
        <f t="shared" si="2"/>
        <v>77.491198443076371</v>
      </c>
      <c r="P26" s="133"/>
      <c r="Q26" s="225"/>
    </row>
    <row r="27" spans="1:17" x14ac:dyDescent="0.2">
      <c r="A27" s="43"/>
      <c r="B27" s="6"/>
      <c r="C27" s="6"/>
      <c r="D27" s="56"/>
      <c r="E27" s="6"/>
      <c r="F27" s="6"/>
      <c r="G27" s="64">
        <f>'Berekening trap 2'!B121</f>
        <v>5.0831677589721078</v>
      </c>
      <c r="H27" s="60">
        <f>'Berekening trap 2'!M121</f>
        <v>56.419385730906122</v>
      </c>
      <c r="I27" s="60">
        <f t="shared" si="3"/>
        <v>18.24623481628354</v>
      </c>
      <c r="J27" s="60">
        <f>IF(INVOER!$T$36=1,100*'Berekening trap 2'!H121,100*'Berekening trap 2'!I121)</f>
        <v>15.819959007706091</v>
      </c>
      <c r="K27" s="243">
        <f t="shared" si="5"/>
        <v>2.8865468683858531</v>
      </c>
      <c r="L27" s="60">
        <f t="shared" si="0"/>
        <v>21.074685041395423</v>
      </c>
      <c r="M27" s="60">
        <f>I27-K27</f>
        <v>15.359687947897687</v>
      </c>
      <c r="N27" s="60">
        <f t="shared" si="1"/>
        <v>62.011313209162417</v>
      </c>
      <c r="O27" s="103">
        <f t="shared" si="2"/>
        <v>84.180040992293911</v>
      </c>
      <c r="P27" s="133"/>
      <c r="Q27" s="225"/>
    </row>
    <row r="28" spans="1:17" x14ac:dyDescent="0.2">
      <c r="A28" s="43"/>
      <c r="B28" s="6"/>
      <c r="C28" s="6"/>
      <c r="D28" s="6"/>
      <c r="E28" s="6"/>
      <c r="F28" s="6"/>
      <c r="G28" s="64">
        <f>'Berekening trap 2'!B126</f>
        <v>6.5510296840050808</v>
      </c>
      <c r="H28" s="60">
        <f>'Berekening trap 2'!M126</f>
        <v>43.302681172530058</v>
      </c>
      <c r="I28" s="60">
        <f t="shared" si="3"/>
        <v>13.116704558376064</v>
      </c>
      <c r="J28" s="60">
        <f>IF(INVOER!$T$36=1,100*'Berekening trap 2'!H126,100*'Berekening trap 2'!I126)</f>
        <v>10.375466500959844</v>
      </c>
      <c r="K28" s="243">
        <f t="shared" si="5"/>
        <v>1.3609192874841813</v>
      </c>
      <c r="L28" s="60">
        <f t="shared" si="0"/>
        <v>11.111850749514643</v>
      </c>
      <c r="M28" s="60">
        <f t="shared" si="4"/>
        <v>11.755785270891883</v>
      </c>
      <c r="N28" s="60">
        <f t="shared" si="1"/>
        <v>48.395631054088113</v>
      </c>
      <c r="O28" s="103">
        <f t="shared" si="2"/>
        <v>89.624533499040155</v>
      </c>
      <c r="P28" s="133"/>
      <c r="Q28" s="225"/>
    </row>
    <row r="29" spans="1:17" x14ac:dyDescent="0.2">
      <c r="A29" s="43"/>
      <c r="B29" s="6"/>
      <c r="C29" s="6"/>
      <c r="D29" s="6"/>
      <c r="E29" s="6"/>
      <c r="F29" s="6"/>
      <c r="G29" s="64">
        <f>'Berekening trap 2'!B131</f>
        <v>8.4427648182506516</v>
      </c>
      <c r="H29" s="60">
        <f>'Berekening trap 2'!M131</f>
        <v>30.782109151180961</v>
      </c>
      <c r="I29" s="60">
        <f t="shared" si="3"/>
        <v>12.520572021349096</v>
      </c>
      <c r="J29" s="60">
        <f>IF(INVOER!$T$36=1,100*'Berekening trap 2'!H131,100*'Berekening trap 2'!I131)</f>
        <v>6.4931908559923492</v>
      </c>
      <c r="K29" s="243">
        <f t="shared" si="5"/>
        <v>0.81298463760817596</v>
      </c>
      <c r="L29" s="60">
        <f t="shared" si="0"/>
        <v>5.1602625099886072</v>
      </c>
      <c r="M29" s="60">
        <f t="shared" si="4"/>
        <v>11.70758738374092</v>
      </c>
      <c r="N29" s="60">
        <f t="shared" si="1"/>
        <v>34.835772231685475</v>
      </c>
      <c r="O29" s="103">
        <f t="shared" si="2"/>
        <v>93.506809144007647</v>
      </c>
      <c r="P29" s="133"/>
      <c r="Q29" s="225"/>
    </row>
    <row r="30" spans="1:17" x14ac:dyDescent="0.2">
      <c r="A30" s="43"/>
      <c r="F30" s="6"/>
      <c r="G30" s="64">
        <f>'Berekening trap 2'!B136</f>
        <v>10.880774659032312</v>
      </c>
      <c r="H30" s="60">
        <f>'Berekening trap 2'!M136</f>
        <v>19.216033560352482</v>
      </c>
      <c r="I30" s="60">
        <f t="shared" si="3"/>
        <v>11.566075590828479</v>
      </c>
      <c r="J30" s="60">
        <f>IF(INVOER!$T$36=1,100*'Berekening trap 2'!H136,100*'Berekening trap 2'!I136)</f>
        <v>3.8174341850578637</v>
      </c>
      <c r="K30" s="243">
        <f>J30*I30/100</f>
        <v>0.44152732347391965</v>
      </c>
      <c r="L30" s="60">
        <f t="shared" si="0"/>
        <v>1.9279888552885409</v>
      </c>
      <c r="M30" s="60">
        <f t="shared" si="4"/>
        <v>11.124548267354559</v>
      </c>
      <c r="N30" s="60">
        <f t="shared" si="1"/>
        <v>21.951195843400466</v>
      </c>
      <c r="O30" s="103">
        <f t="shared" si="2"/>
        <v>96.182565814942137</v>
      </c>
      <c r="P30" s="133"/>
      <c r="Q30" s="225"/>
    </row>
    <row r="31" spans="1:17" x14ac:dyDescent="0.2">
      <c r="A31" s="43"/>
      <c r="F31" s="6"/>
      <c r="G31" s="64">
        <f>'Berekening trap 2'!B141</f>
        <v>14.02280647741299</v>
      </c>
      <c r="H31" s="60">
        <f>'Berekening trap 2'!M141</f>
        <v>9.425090950647018</v>
      </c>
      <c r="I31" s="60">
        <f t="shared" si="3"/>
        <v>9.7909426097054642</v>
      </c>
      <c r="J31" s="60">
        <f>IF(INVOER!$T$36=1,100*'Berekening trap 2'!H141,100*'Berekening trap 2'!I141)</f>
        <v>2.0207652502752271</v>
      </c>
      <c r="K31" s="243">
        <f t="shared" si="5"/>
        <v>0.19785196593131846</v>
      </c>
      <c r="L31" s="60">
        <f t="shared" si="0"/>
        <v>0.47958087913258574</v>
      </c>
      <c r="M31" s="60">
        <f t="shared" si="4"/>
        <v>9.5930906437741452</v>
      </c>
      <c r="N31" s="60">
        <f t="shared" si="1"/>
        <v>10.840370825708021</v>
      </c>
      <c r="O31" s="103">
        <f t="shared" si="2"/>
        <v>97.979234749724768</v>
      </c>
      <c r="P31" s="133"/>
      <c r="Q31" s="225"/>
    </row>
    <row r="32" spans="1:17" x14ac:dyDescent="0.2">
      <c r="A32" s="43"/>
      <c r="F32" s="6"/>
      <c r="G32" s="64">
        <f>'Berekening trap 2'!B146</f>
        <v>18.072160086482654</v>
      </c>
      <c r="H32" s="60">
        <f>'Berekening trap 2'!M146</f>
        <v>3.6572774569649784</v>
      </c>
      <c r="I32" s="60">
        <f t="shared" si="3"/>
        <v>5.7678134936820395</v>
      </c>
      <c r="J32" s="60">
        <f>IF(INVOER!$T$36=1,100*'Berekening trap 2'!H146,100*'Berekening trap 2'!I146)</f>
        <v>0.9435031548355155</v>
      </c>
      <c r="K32" s="243">
        <f>J32*I32/100</f>
        <v>5.4419502277918613E-2</v>
      </c>
      <c r="L32" s="60">
        <f t="shared" si="0"/>
        <v>8.1193929643611162E-2</v>
      </c>
      <c r="M32" s="60">
        <f t="shared" si="4"/>
        <v>5.7133939914041205</v>
      </c>
      <c r="N32" s="60">
        <f t="shared" si="1"/>
        <v>4.2230539199384447</v>
      </c>
      <c r="O32" s="103">
        <f t="shared" si="2"/>
        <v>99.056496845164489</v>
      </c>
      <c r="P32" s="133"/>
      <c r="Q32" s="225"/>
    </row>
    <row r="33" spans="1:24" x14ac:dyDescent="0.2">
      <c r="A33" s="43"/>
      <c r="F33" s="6"/>
      <c r="G33" s="64">
        <f>'Berekening trap 2'!B151</f>
        <v>23.290842009231696</v>
      </c>
      <c r="H33" s="60">
        <f>'Berekening trap 2'!M151</f>
        <v>1.0284940277889631</v>
      </c>
      <c r="I33" s="60">
        <f t="shared" si="3"/>
        <v>2.628783429176015</v>
      </c>
      <c r="J33" s="60">
        <f>IF(INVOER!$T$36=1,100*'Berekening trap 2'!H151,100*'Berekening trap 2'!I151)</f>
        <v>0.37909302415853757</v>
      </c>
      <c r="K33" s="243">
        <f t="shared" si="5"/>
        <v>9.965534600241863E-3</v>
      </c>
      <c r="L33" s="60">
        <f t="shared" si="0"/>
        <v>8.2395885851094808E-3</v>
      </c>
      <c r="M33" s="60">
        <f t="shared" si="4"/>
        <v>2.618817894575773</v>
      </c>
      <c r="N33" s="60">
        <f t="shared" si="1"/>
        <v>1.1899097060122408</v>
      </c>
      <c r="O33" s="103">
        <f t="shared" si="2"/>
        <v>99.620906975841464</v>
      </c>
      <c r="P33" s="133"/>
      <c r="Q33" s="225"/>
    </row>
    <row r="34" spans="1:24" x14ac:dyDescent="0.2">
      <c r="A34" s="43"/>
      <c r="F34" s="6"/>
      <c r="G34" s="64">
        <f>'Berekening trap 2'!B156</f>
        <v>30.016518164020443</v>
      </c>
      <c r="H34" s="60">
        <f>'Berekening trap 2'!M156</f>
        <v>0.19223489964958232</v>
      </c>
      <c r="I34" s="60">
        <f>H33-H34</f>
        <v>0.83625912813938086</v>
      </c>
      <c r="J34" s="60">
        <f>IF(INVOER!$T$36=1,100*'Berekening trap 2'!H156,100*'Berekening trap 2'!I156)</f>
        <v>0.12726477716369422</v>
      </c>
      <c r="K34" s="243">
        <f t="shared" si="5"/>
        <v>1.0642633159376352E-3</v>
      </c>
      <c r="L34" s="60">
        <f t="shared" si="0"/>
        <v>4.4847330213391556E-4</v>
      </c>
      <c r="M34" s="60">
        <f t="shared" si="4"/>
        <v>0.83519486482344318</v>
      </c>
      <c r="N34" s="60">
        <f t="shared" si="1"/>
        <v>0.22257766013492575</v>
      </c>
      <c r="O34" s="103">
        <f t="shared" si="2"/>
        <v>99.872735222836312</v>
      </c>
      <c r="P34" s="133"/>
      <c r="Q34" s="225"/>
    </row>
    <row r="35" spans="1:24" x14ac:dyDescent="0.2">
      <c r="A35" s="43"/>
      <c r="F35" s="6"/>
      <c r="G35" s="64">
        <f>'Berekening trap 2'!B161</f>
        <v>38.68436196226169</v>
      </c>
      <c r="H35" s="60">
        <f>'Berekening trap 2'!M161</f>
        <v>1.8277549960086778E-2</v>
      </c>
      <c r="I35" s="60">
        <f t="shared" si="3"/>
        <v>0.17395734968949556</v>
      </c>
      <c r="J35" s="60">
        <f>IF(INVOER!$T$36=1,100*'Berekening trap 2'!H161,100*'Berekening trap 2'!I161)</f>
        <v>3.4458367646345571E-2</v>
      </c>
      <c r="K35" s="243">
        <f t="shared" si="5"/>
        <v>5.9942863103845362E-5</v>
      </c>
      <c r="L35" s="60">
        <f t="shared" si="0"/>
        <v>9.6516779738954552E-6</v>
      </c>
      <c r="M35" s="60">
        <f t="shared" si="4"/>
        <v>0.17389740682639171</v>
      </c>
      <c r="N35" s="60">
        <f t="shared" si="1"/>
        <v>2.1167736052485953E-2</v>
      </c>
      <c r="O35" s="103">
        <f t="shared" si="2"/>
        <v>99.965541632353649</v>
      </c>
      <c r="P35" s="133"/>
      <c r="Q35" s="225"/>
    </row>
    <row r="36" spans="1:24" x14ac:dyDescent="0.2">
      <c r="A36" s="43"/>
      <c r="F36" s="6"/>
      <c r="G36" s="64">
        <f>'Berekening trap 2'!B166</f>
        <v>49.855211462235737</v>
      </c>
      <c r="H36" s="60">
        <f>'Berekening trap 2'!M166</f>
        <v>7.6800516363205798E-7</v>
      </c>
      <c r="I36" s="60">
        <f t="shared" si="3"/>
        <v>1.8276781954923146E-2</v>
      </c>
      <c r="J36" s="60">
        <f>IF(INVOER!$T$36=1,100*'Berekening trap 2'!H166,100*'Berekening trap 2'!I166)</f>
        <v>7.2136082592899062E-3</v>
      </c>
      <c r="K36" s="243">
        <f t="shared" si="5"/>
        <v>1.3184154526327434E-6</v>
      </c>
      <c r="L36" s="60">
        <f t="shared" si="0"/>
        <v>2.1180943148490713E-14</v>
      </c>
      <c r="M36" s="60">
        <f t="shared" si="4"/>
        <v>1.8275463539470512E-2</v>
      </c>
      <c r="N36" s="60">
        <f t="shared" si="1"/>
        <v>8.8951215259161498E-7</v>
      </c>
      <c r="O36" s="103">
        <f t="shared" si="2"/>
        <v>99.992786391740708</v>
      </c>
      <c r="P36" s="133"/>
      <c r="Q36" s="225"/>
    </row>
    <row r="37" spans="1:24" x14ac:dyDescent="0.2">
      <c r="A37" s="43"/>
      <c r="F37" s="6"/>
      <c r="G37" s="64">
        <f>'Berekening trap 2'!B171</f>
        <v>64.251857439680606</v>
      </c>
      <c r="H37" s="60">
        <f>'Berekening trap 2'!M171</f>
        <v>7.6800516363205798E-7</v>
      </c>
      <c r="I37" s="60">
        <f t="shared" si="3"/>
        <v>0</v>
      </c>
      <c r="J37" s="60">
        <f>IF(INVOER!$T$36=1,100*'Berekening trap 2'!H171,100*'Berekening trap 2'!I171)</f>
        <v>1.109990186686441E-3</v>
      </c>
      <c r="K37" s="243">
        <f t="shared" si="5"/>
        <v>0</v>
      </c>
      <c r="L37" s="60">
        <f t="shared" si="0"/>
        <v>2.1180943148490713E-14</v>
      </c>
      <c r="M37" s="60">
        <f t="shared" si="4"/>
        <v>0</v>
      </c>
      <c r="N37" s="60">
        <f t="shared" si="1"/>
        <v>8.8951215259161498E-7</v>
      </c>
      <c r="O37" s="103">
        <f t="shared" si="2"/>
        <v>99.998890009813309</v>
      </c>
      <c r="P37" s="133"/>
      <c r="Q37" s="225"/>
    </row>
    <row r="38" spans="1:24" x14ac:dyDescent="0.2">
      <c r="A38" s="43"/>
      <c r="F38" s="6"/>
      <c r="G38" s="64">
        <f>'Berekening trap 2'!B176</f>
        <v>82.805810332910568</v>
      </c>
      <c r="H38" s="60">
        <f>'Berekening trap 2'!M176</f>
        <v>7.6800516363205798E-7</v>
      </c>
      <c r="I38" s="60">
        <f t="shared" si="3"/>
        <v>0</v>
      </c>
      <c r="J38" s="60">
        <f>IF(INVOER!$T$36=1,100*'Berekening trap 2'!H176,100*'Berekening trap 2'!I176)</f>
        <v>1.1817128233836276E-4</v>
      </c>
      <c r="K38" s="243">
        <f t="shared" si="5"/>
        <v>0</v>
      </c>
      <c r="L38" s="60">
        <f t="shared" si="0"/>
        <v>2.1180943148490713E-14</v>
      </c>
      <c r="M38" s="60">
        <f t="shared" si="4"/>
        <v>0</v>
      </c>
      <c r="N38" s="60">
        <f t="shared" si="1"/>
        <v>8.8951215259161498E-7</v>
      </c>
      <c r="O38" s="103">
        <f t="shared" si="2"/>
        <v>99.999881828717662</v>
      </c>
      <c r="P38" s="133"/>
      <c r="Q38" s="225"/>
    </row>
    <row r="39" spans="1:24" x14ac:dyDescent="0.2">
      <c r="A39" s="43"/>
      <c r="F39" s="6"/>
      <c r="G39" s="64">
        <f>'Berekening trap 2'!B181</f>
        <v>106.71757203793049</v>
      </c>
      <c r="H39" s="60">
        <f>'Berekening trap 2'!M181</f>
        <v>7.6800516363205798E-7</v>
      </c>
      <c r="I39" s="60">
        <f t="shared" si="3"/>
        <v>0</v>
      </c>
      <c r="J39" s="60">
        <f>IF(INVOER!$T$36=1,100*'Berekening trap 2'!H181,100*'Berekening trap 2'!I181)</f>
        <v>8.0961603669508742E-6</v>
      </c>
      <c r="K39" s="243">
        <f t="shared" si="5"/>
        <v>0</v>
      </c>
      <c r="L39" s="60">
        <f t="shared" si="0"/>
        <v>2.1180943148490713E-14</v>
      </c>
      <c r="M39" s="60">
        <f t="shared" si="4"/>
        <v>0</v>
      </c>
      <c r="N39" s="60">
        <f t="shared" si="1"/>
        <v>8.8951215259161498E-7</v>
      </c>
      <c r="O39" s="103">
        <f t="shared" si="2"/>
        <v>99.999991903839629</v>
      </c>
      <c r="P39" s="133"/>
      <c r="Q39" s="225"/>
    </row>
    <row r="40" spans="1:24" x14ac:dyDescent="0.2">
      <c r="A40" s="43"/>
      <c r="F40" s="6"/>
      <c r="G40" s="64">
        <f>'Berekening trap 2'!B186</f>
        <v>137.53431233731447</v>
      </c>
      <c r="H40" s="60">
        <f>'Berekening trap 2'!M186</f>
        <v>2.8215629702468825E-14</v>
      </c>
      <c r="I40" s="60">
        <f t="shared" si="3"/>
        <v>7.6800513541642828E-7</v>
      </c>
      <c r="J40" s="60">
        <f>IF(INVOER!$T$36=1,100*'Berekening trap 2'!H186,100*'Berekening trap 2'!I186)</f>
        <v>3.2732771521241874E-7</v>
      </c>
      <c r="K40" s="243">
        <f t="shared" si="5"/>
        <v>2.5138936624726372E-15</v>
      </c>
      <c r="L40" s="60">
        <f>L39-100*K40/SUM($K$18:$K$40)</f>
        <v>2.7775696222592574E-15</v>
      </c>
      <c r="M40" s="60">
        <f>I40-K40</f>
        <v>7.6800513290253465E-7</v>
      </c>
      <c r="N40" s="60">
        <f t="shared" si="1"/>
        <v>6.6902660169655681E-15</v>
      </c>
      <c r="O40" s="103">
        <f t="shared" si="2"/>
        <v>99.999999672672288</v>
      </c>
      <c r="P40" s="133"/>
      <c r="Q40" s="226" t="s">
        <v>242</v>
      </c>
    </row>
    <row r="41" spans="1:24" x14ac:dyDescent="0.2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IF(INVOER!$T$36=1,'Berekening trap 2'!N189,'Berekening trap 2'!O189)</f>
        <v>15.519660327183191</v>
      </c>
      <c r="L41" s="123" t="s">
        <v>150</v>
      </c>
      <c r="M41" s="124">
        <f>SUM(M18:M40)</f>
        <v>86.340038912488325</v>
      </c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 x14ac:dyDescent="0.2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2'!N187/'Berekening trap 2'!N189</f>
        <v>9.1566789579223125E-23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21" t="s">
        <v>255</v>
      </c>
      <c r="D43" s="247">
        <f>'Berekening trap 2'!K56</f>
        <v>104.77051113962067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21" t="s">
        <v>256</v>
      </c>
      <c r="D44" s="248">
        <f>'Berekening trap 2'!H57/2</f>
        <v>0.26570890188795654</v>
      </c>
      <c r="E44" s="131" t="s">
        <v>251</v>
      </c>
      <c r="F44" s="131"/>
      <c r="G44" s="6"/>
      <c r="H44" s="6"/>
      <c r="I44" s="6"/>
      <c r="J44" s="6"/>
      <c r="K44" s="6"/>
      <c r="L44" s="6"/>
      <c r="M44" s="133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J5:M5"/>
    <mergeCell ref="O5:P5"/>
    <mergeCell ref="I1:P2"/>
    <mergeCell ref="J3:M3"/>
    <mergeCell ref="O3:P3"/>
    <mergeCell ref="J4:M4"/>
    <mergeCell ref="O4:P4"/>
    <mergeCell ref="B15:E15"/>
    <mergeCell ref="G15:O15"/>
    <mergeCell ref="H16:I16"/>
    <mergeCell ref="J16:L16"/>
    <mergeCell ref="M16:N16"/>
  </mergeCells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AD84"/>
  <sheetViews>
    <sheetView showGridLines="0" topLeftCell="A2" zoomScale="75" workbookViewId="0">
      <selection activeCell="X45" sqref="X45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30" ht="15.75" customHeight="1" x14ac:dyDescent="0.2">
      <c r="A1" s="104"/>
      <c r="B1" s="105"/>
      <c r="C1" s="105"/>
      <c r="D1" s="105"/>
      <c r="E1" s="105"/>
      <c r="F1" s="106"/>
      <c r="G1" s="106"/>
      <c r="H1" s="5"/>
      <c r="I1" s="429" t="s">
        <v>149</v>
      </c>
      <c r="J1" s="430"/>
      <c r="K1" s="430"/>
      <c r="L1" s="430"/>
      <c r="M1" s="430"/>
      <c r="N1" s="430"/>
      <c r="O1" s="430"/>
      <c r="P1" s="431"/>
      <c r="Q1" s="125"/>
    </row>
    <row r="2" spans="1:30" ht="15.75" customHeight="1" x14ac:dyDescent="0.2">
      <c r="A2" s="107"/>
      <c r="B2" s="109"/>
      <c r="C2" s="108"/>
      <c r="D2" s="108"/>
      <c r="E2" s="108"/>
      <c r="F2" s="109"/>
      <c r="G2" s="109"/>
      <c r="H2" s="6"/>
      <c r="I2" s="432"/>
      <c r="J2" s="433"/>
      <c r="K2" s="433"/>
      <c r="L2" s="433"/>
      <c r="M2" s="433"/>
      <c r="N2" s="433"/>
      <c r="O2" s="433"/>
      <c r="P2" s="434"/>
      <c r="Q2" s="125"/>
    </row>
    <row r="3" spans="1:30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42" t="str">
        <f>INVOER!H2</f>
        <v>Cargill P</v>
      </c>
      <c r="K3" s="442"/>
      <c r="L3" s="442"/>
      <c r="M3" s="443"/>
      <c r="N3" s="119" t="s">
        <v>160</v>
      </c>
      <c r="O3" s="436">
        <f>+INVOER!H5</f>
        <v>0</v>
      </c>
      <c r="P3" s="437"/>
    </row>
    <row r="4" spans="1:30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44">
        <f>INVOER!H3</f>
        <v>0</v>
      </c>
      <c r="K4" s="444"/>
      <c r="L4" s="444"/>
      <c r="M4" s="445"/>
      <c r="N4" s="120" t="s">
        <v>175</v>
      </c>
      <c r="O4" s="438">
        <f>+INVOER!H6</f>
        <v>0</v>
      </c>
      <c r="P4" s="439"/>
    </row>
    <row r="5" spans="1:30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46" t="str">
        <f>INVOER!H4</f>
        <v>Q18.1161a</v>
      </c>
      <c r="K5" s="446"/>
      <c r="L5" s="446"/>
      <c r="M5" s="447"/>
      <c r="N5" s="121" t="s">
        <v>176</v>
      </c>
      <c r="O5" s="440"/>
      <c r="P5" s="441"/>
    </row>
    <row r="6" spans="1:30" x14ac:dyDescent="0.2">
      <c r="A6" s="4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30" x14ac:dyDescent="0.2">
      <c r="A7" s="328" t="s">
        <v>281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44"/>
      <c r="X7" s="114"/>
      <c r="Y7" s="115"/>
      <c r="Z7" s="116"/>
      <c r="AA7" s="115"/>
      <c r="AB7" s="115"/>
      <c r="AC7" s="115"/>
    </row>
    <row r="8" spans="1:30" x14ac:dyDescent="0.2">
      <c r="A8" s="41" t="s">
        <v>104</v>
      </c>
      <c r="B8" s="5"/>
      <c r="C8" s="5"/>
      <c r="D8" s="5">
        <f>INVOER!C5</f>
        <v>53</v>
      </c>
      <c r="E8" s="5" t="s">
        <v>106</v>
      </c>
      <c r="F8" s="5"/>
      <c r="G8" s="42"/>
      <c r="H8" s="41" t="s">
        <v>118</v>
      </c>
      <c r="I8" s="5"/>
      <c r="J8" s="54" t="s">
        <v>23</v>
      </c>
      <c r="K8" s="58">
        <f>'Berekening trap 1'!K23</f>
        <v>435</v>
      </c>
      <c r="L8" s="41" t="s">
        <v>123</v>
      </c>
      <c r="M8" s="5"/>
      <c r="N8" s="5"/>
      <c r="O8" s="5"/>
      <c r="P8" s="42"/>
      <c r="X8" s="6"/>
      <c r="Y8" s="115"/>
      <c r="Z8" s="116"/>
      <c r="AA8" s="115"/>
      <c r="AB8" s="115"/>
      <c r="AC8" s="115"/>
    </row>
    <row r="9" spans="1:30" x14ac:dyDescent="0.2">
      <c r="A9" s="43" t="s">
        <v>105</v>
      </c>
      <c r="B9" s="6"/>
      <c r="C9" s="6"/>
      <c r="D9" s="6">
        <f>INVOER!C6</f>
        <v>-25</v>
      </c>
      <c r="E9" s="6" t="str">
        <f>INVOER!S5</f>
        <v>[mbar(g)]</v>
      </c>
      <c r="F9" s="6"/>
      <c r="G9" s="44"/>
      <c r="H9" s="43" t="s">
        <v>142</v>
      </c>
      <c r="I9" s="6"/>
      <c r="J9" s="6">
        <f>INVOER!C15</f>
        <v>2</v>
      </c>
      <c r="K9" s="6"/>
      <c r="L9" s="52" t="s">
        <v>172</v>
      </c>
      <c r="M9" s="57">
        <f>J10</f>
        <v>1700</v>
      </c>
      <c r="N9" s="117" t="s">
        <v>162</v>
      </c>
      <c r="O9" s="57">
        <f>'Berekening trap 1'!K29*'OUTPUT trap 1&amp;2'!M$9</f>
        <v>3481.6</v>
      </c>
      <c r="P9" s="44"/>
      <c r="X9" s="6"/>
      <c r="Y9" s="111"/>
      <c r="Z9" s="110"/>
      <c r="AA9" s="111"/>
      <c r="AB9" s="111"/>
      <c r="AC9" s="111"/>
    </row>
    <row r="10" spans="1:30" x14ac:dyDescent="0.2">
      <c r="A10" s="43" t="s">
        <v>148</v>
      </c>
      <c r="B10" s="6"/>
      <c r="C10" s="6"/>
      <c r="D10" s="8">
        <f>'Berekening trap 1'!C6</f>
        <v>21.527777777777779</v>
      </c>
      <c r="E10" s="6" t="s">
        <v>110</v>
      </c>
      <c r="F10" s="57">
        <f>3600*D10</f>
        <v>77500</v>
      </c>
      <c r="G10" s="44" t="s">
        <v>109</v>
      </c>
      <c r="H10" s="43" t="s">
        <v>177</v>
      </c>
      <c r="I10" s="6"/>
      <c r="J10" s="6">
        <f>'Berekening trap 1'!C13</f>
        <v>1700</v>
      </c>
      <c r="K10" s="6" t="s">
        <v>120</v>
      </c>
      <c r="L10" s="52" t="s">
        <v>171</v>
      </c>
      <c r="M10" s="57">
        <f>'Berekening trap 1'!K24*'OUTPUT trap 1&amp;2'!M$9</f>
        <v>479.4</v>
      </c>
      <c r="N10" s="117" t="s">
        <v>163</v>
      </c>
      <c r="O10" s="57">
        <f>'Berekening trap 1'!K30*'OUTPUT trap 1&amp;2'!M$9</f>
        <v>2230.4</v>
      </c>
      <c r="P10" s="44"/>
      <c r="X10" s="114"/>
      <c r="Y10" s="113"/>
      <c r="Z10" s="112"/>
      <c r="AA10" s="113"/>
      <c r="AB10" s="113"/>
      <c r="AC10" s="113"/>
    </row>
    <row r="11" spans="1:30" x14ac:dyDescent="0.2">
      <c r="A11" s="43" t="s">
        <v>148</v>
      </c>
      <c r="B11" s="6"/>
      <c r="C11" s="6"/>
      <c r="D11" s="8">
        <f>INVOER!V9</f>
        <v>17.583060049941547</v>
      </c>
      <c r="E11" s="6" t="s">
        <v>107</v>
      </c>
      <c r="F11" s="57">
        <f>3600*D11</f>
        <v>63299.016179789571</v>
      </c>
      <c r="G11" s="44" t="s">
        <v>108</v>
      </c>
      <c r="H11" s="43" t="s">
        <v>122</v>
      </c>
      <c r="I11" s="6"/>
      <c r="J11" s="117" t="str">
        <f>IF('Berekening trap 1'!C14=1,"NA",'Berekening trap 1'!C14)</f>
        <v>NA</v>
      </c>
      <c r="K11" s="6"/>
      <c r="L11" s="52" t="s">
        <v>170</v>
      </c>
      <c r="M11" s="57">
        <f>'Berekening trap 1'!K25*'OUTPUT trap 1&amp;2'!M$9</f>
        <v>1088</v>
      </c>
      <c r="N11" s="117" t="s">
        <v>164</v>
      </c>
      <c r="O11" s="57">
        <f>'Berekening trap 1'!K31*'OUTPUT trap 1&amp;2'!M$9</f>
        <v>1020</v>
      </c>
      <c r="P11" s="44"/>
      <c r="X11" s="112"/>
      <c r="Y11" s="113"/>
      <c r="Z11" s="112"/>
      <c r="AA11" s="113"/>
      <c r="AB11" s="113"/>
      <c r="AC11" s="113"/>
    </row>
    <row r="12" spans="1:30" x14ac:dyDescent="0.2">
      <c r="A12" s="43" t="s">
        <v>111</v>
      </c>
      <c r="B12" s="6"/>
      <c r="C12" s="6"/>
      <c r="D12" s="6">
        <f>INVOER!T15</f>
        <v>0.99</v>
      </c>
      <c r="E12" s="6" t="s">
        <v>112</v>
      </c>
      <c r="F12" s="6">
        <f>INVOER!U15</f>
        <v>1.2121041468018448</v>
      </c>
      <c r="G12" s="44" t="s">
        <v>141</v>
      </c>
      <c r="H12" s="43" t="s">
        <v>39</v>
      </c>
      <c r="I12" s="6"/>
      <c r="J12" s="61">
        <f>'Berekening trap 1'!R24</f>
        <v>20.636796472169738</v>
      </c>
      <c r="K12" s="6" t="s">
        <v>121</v>
      </c>
      <c r="L12" s="52" t="s">
        <v>169</v>
      </c>
      <c r="M12" s="57">
        <f>'Berekening trap 1'!K26*'OUTPUT trap 1&amp;2'!M$9</f>
        <v>1020</v>
      </c>
      <c r="N12" s="117" t="s">
        <v>165</v>
      </c>
      <c r="O12" s="57">
        <f>'Berekening trap 1'!K32*'OUTPUT trap 1&amp;2'!M$9</f>
        <v>680</v>
      </c>
      <c r="P12" s="44"/>
      <c r="X12" s="112"/>
      <c r="Y12" s="6"/>
      <c r="Z12" s="6"/>
      <c r="AA12" s="6"/>
      <c r="AB12" s="6"/>
      <c r="AC12" s="6"/>
    </row>
    <row r="13" spans="1:30" x14ac:dyDescent="0.2">
      <c r="A13" s="43" t="s">
        <v>152</v>
      </c>
      <c r="B13" s="6"/>
      <c r="C13" s="6"/>
      <c r="D13" s="6">
        <f>INVOER!C9</f>
        <v>1.9E-2</v>
      </c>
      <c r="E13" s="6" t="s">
        <v>113</v>
      </c>
      <c r="F13" s="6"/>
      <c r="G13" s="44"/>
      <c r="H13" s="43" t="s">
        <v>119</v>
      </c>
      <c r="I13" s="6"/>
      <c r="J13" s="61">
        <f>'Berekening trap 1'!R25</f>
        <v>15.121867484275436</v>
      </c>
      <c r="K13" s="6" t="s">
        <v>121</v>
      </c>
      <c r="L13" s="52" t="s">
        <v>168</v>
      </c>
      <c r="M13" s="57">
        <f>'Berekening trap 1'!K27*'OUTPUT trap 1&amp;2'!M$9*INVOER!C20</f>
        <v>952.00000000000011</v>
      </c>
      <c r="N13" s="117" t="s">
        <v>166</v>
      </c>
      <c r="O13" s="57">
        <f>'Berekening trap 1'!K33*'OUTPUT trap 1&amp;2'!M$9</f>
        <v>510</v>
      </c>
      <c r="P13" s="44"/>
      <c r="X13" s="6"/>
      <c r="Y13" s="6"/>
      <c r="Z13" s="6"/>
      <c r="AA13" s="6"/>
      <c r="AB13" s="6"/>
      <c r="AC13" s="6"/>
    </row>
    <row r="14" spans="1:30" x14ac:dyDescent="0.2">
      <c r="A14" s="43" t="s">
        <v>114</v>
      </c>
      <c r="B14" s="6"/>
      <c r="C14" s="6"/>
      <c r="D14" s="6">
        <f>'Berekening trap 1'!C9</f>
        <v>1600</v>
      </c>
      <c r="E14" s="6" t="s">
        <v>117</v>
      </c>
      <c r="F14" s="6"/>
      <c r="G14" s="44"/>
      <c r="H14" s="43" t="s">
        <v>186</v>
      </c>
      <c r="I14" s="6"/>
      <c r="J14" s="117" t="str">
        <f>INVOER!U36</f>
        <v>Y</v>
      </c>
      <c r="K14" s="6"/>
      <c r="L14" s="52" t="s">
        <v>174</v>
      </c>
      <c r="M14" s="57">
        <f>'Berekening trap 1'!K28*'OUTPUT trap 1&amp;2'!M$9</f>
        <v>952.00000000000011</v>
      </c>
      <c r="N14" s="117" t="s">
        <v>167</v>
      </c>
      <c r="O14" s="57">
        <f>0.625*O12</f>
        <v>425</v>
      </c>
      <c r="P14" s="44"/>
      <c r="U14" s="6"/>
      <c r="V14" s="6"/>
      <c r="W14" s="6"/>
      <c r="X14" s="6"/>
    </row>
    <row r="15" spans="1:30" x14ac:dyDescent="0.2">
      <c r="A15" s="45" t="s">
        <v>115</v>
      </c>
      <c r="B15" s="46"/>
      <c r="C15" s="46"/>
      <c r="D15" s="74">
        <f>INVOER!V19*1000</f>
        <v>96.774193548387089</v>
      </c>
      <c r="E15" s="46" t="s">
        <v>116</v>
      </c>
      <c r="F15" s="74">
        <f>INVOER!W19*1000</f>
        <v>118.48525384182255</v>
      </c>
      <c r="G15" s="50" t="s">
        <v>44</v>
      </c>
      <c r="H15" s="45"/>
      <c r="I15" s="46"/>
      <c r="J15" s="46"/>
      <c r="K15" s="46"/>
      <c r="L15" s="53" t="s">
        <v>173</v>
      </c>
      <c r="M15" s="118">
        <f>M9*0.892</f>
        <v>1516.4</v>
      </c>
      <c r="N15" s="334" t="s">
        <v>296</v>
      </c>
      <c r="O15" s="46">
        <f>O9+O10+3*O12</f>
        <v>7752</v>
      </c>
      <c r="P15" s="50"/>
      <c r="R15" s="6"/>
      <c r="S15" s="6"/>
      <c r="T15" s="6"/>
      <c r="U15" s="6"/>
      <c r="V15" s="8"/>
    </row>
    <row r="16" spans="1:30" x14ac:dyDescent="0.2">
      <c r="A16" s="43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44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spans="1:30" x14ac:dyDescent="0.2">
      <c r="A17" s="328" t="s">
        <v>282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44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spans="1:30" x14ac:dyDescent="0.2">
      <c r="A18" s="41" t="s">
        <v>104</v>
      </c>
      <c r="B18" s="5"/>
      <c r="C18" s="5"/>
      <c r="D18" s="5">
        <f>INVOER!C$5</f>
        <v>53</v>
      </c>
      <c r="E18" s="5" t="s">
        <v>106</v>
      </c>
      <c r="F18" s="5"/>
      <c r="G18" s="42"/>
      <c r="H18" s="5" t="s">
        <v>118</v>
      </c>
      <c r="I18" s="5"/>
      <c r="J18" s="54" t="s">
        <v>23</v>
      </c>
      <c r="K18" s="58">
        <f>'Berekening trap 2'!K$23</f>
        <v>850</v>
      </c>
      <c r="L18" s="41" t="s">
        <v>123</v>
      </c>
      <c r="M18" s="5"/>
      <c r="N18" s="5"/>
      <c r="O18" s="5"/>
      <c r="P18" s="42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spans="1:30" x14ac:dyDescent="0.2">
      <c r="A19" s="43" t="s">
        <v>105</v>
      </c>
      <c r="B19" s="6"/>
      <c r="C19" s="6"/>
      <c r="D19" s="6">
        <f>INVOER!C$6-INVOER!C$28/100000</f>
        <v>-25.014756650823159</v>
      </c>
      <c r="E19" s="6">
        <f>INVOER!U12</f>
        <v>0</v>
      </c>
      <c r="F19" s="6"/>
      <c r="G19" s="44"/>
      <c r="H19" s="6" t="s">
        <v>142</v>
      </c>
      <c r="I19" s="6"/>
      <c r="J19" s="6">
        <f>INVOER!E$15</f>
        <v>6</v>
      </c>
      <c r="K19" s="6"/>
      <c r="L19" s="52" t="s">
        <v>172</v>
      </c>
      <c r="M19" s="57">
        <f>J20</f>
        <v>1250</v>
      </c>
      <c r="N19" s="117" t="s">
        <v>162</v>
      </c>
      <c r="O19" s="57">
        <f>'Berekening trap 2'!K$29*'OUTPUT trap 2'!M$7</f>
        <v>3106.25</v>
      </c>
      <c r="P19" s="44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spans="1:30" x14ac:dyDescent="0.2">
      <c r="A20" s="43" t="s">
        <v>148</v>
      </c>
      <c r="B20" s="6"/>
      <c r="C20" s="6"/>
      <c r="D20" s="8">
        <f>'Berekening trap 2'!C$6</f>
        <v>21.854105533312897</v>
      </c>
      <c r="E20" s="6" t="s">
        <v>110</v>
      </c>
      <c r="F20" s="57">
        <f>3600*D20</f>
        <v>78674.779919926426</v>
      </c>
      <c r="G20" s="44" t="s">
        <v>109</v>
      </c>
      <c r="H20" s="6" t="s">
        <v>177</v>
      </c>
      <c r="I20" s="6"/>
      <c r="J20" s="6">
        <f>INVOER!E$18</f>
        <v>1250</v>
      </c>
      <c r="K20" s="44" t="s">
        <v>120</v>
      </c>
      <c r="L20" s="52" t="s">
        <v>171</v>
      </c>
      <c r="M20" s="57">
        <f>'Berekening trap 2'!K$24*M19</f>
        <v>253.75000000000003</v>
      </c>
      <c r="N20" s="117" t="s">
        <v>163</v>
      </c>
      <c r="O20" s="57">
        <f>'Berekening trap 2'!K$30*'OUTPUT trap 2'!M$7</f>
        <v>1640</v>
      </c>
      <c r="P20" s="44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</row>
    <row r="21" spans="1:30" x14ac:dyDescent="0.2">
      <c r="A21" s="43" t="s">
        <v>148</v>
      </c>
      <c r="B21" s="6"/>
      <c r="C21" s="6"/>
      <c r="D21" s="8">
        <f>INVOER!V$9</f>
        <v>17.583060049941547</v>
      </c>
      <c r="E21" s="6" t="s">
        <v>107</v>
      </c>
      <c r="F21" s="57">
        <f>3600*D21</f>
        <v>63299.016179789571</v>
      </c>
      <c r="G21" s="44" t="s">
        <v>108</v>
      </c>
      <c r="H21" s="6" t="s">
        <v>122</v>
      </c>
      <c r="I21" s="6"/>
      <c r="J21" s="117" t="str">
        <f>IF('Berekening trap 2'!C$14=1,"NA",'Berekening trap 2'!C$14)</f>
        <v>NA</v>
      </c>
      <c r="K21" s="44"/>
      <c r="L21" s="52" t="s">
        <v>170</v>
      </c>
      <c r="M21" s="57">
        <f>'Berekening trap 2'!K$25*M19</f>
        <v>571.25</v>
      </c>
      <c r="N21" s="117" t="s">
        <v>164</v>
      </c>
      <c r="O21" s="57">
        <f>'Berekening trap 2'!K$31*'OUTPUT trap 2'!M$7</f>
        <v>750</v>
      </c>
      <c r="P21" s="44"/>
      <c r="R21" s="6"/>
      <c r="S21" s="6"/>
      <c r="T21" s="6"/>
      <c r="U21" s="6"/>
      <c r="V21" s="6"/>
      <c r="W21" s="6"/>
      <c r="X21" s="6"/>
      <c r="Y21" s="6"/>
      <c r="Z21" s="57"/>
      <c r="AA21" s="6"/>
      <c r="AB21" s="6"/>
      <c r="AC21" s="6"/>
      <c r="AD21" s="6"/>
    </row>
    <row r="22" spans="1:30" x14ac:dyDescent="0.2">
      <c r="A22" s="43" t="s">
        <v>111</v>
      </c>
      <c r="B22" s="6"/>
      <c r="C22" s="6"/>
      <c r="D22" s="6">
        <f>'Berekening trap 2'!C$7</f>
        <v>0.99</v>
      </c>
      <c r="E22" s="6" t="s">
        <v>112</v>
      </c>
      <c r="F22" s="6">
        <f>INVOER!U$15</f>
        <v>1.2121041468018448</v>
      </c>
      <c r="G22" s="44" t="s">
        <v>141</v>
      </c>
      <c r="H22" s="6" t="s">
        <v>39</v>
      </c>
      <c r="I22" s="6"/>
      <c r="J22" s="61">
        <f>'Berekening trap 2'!R$24</f>
        <v>25.127513880631255</v>
      </c>
      <c r="K22" s="44" t="s">
        <v>121</v>
      </c>
      <c r="L22" s="52" t="s">
        <v>169</v>
      </c>
      <c r="M22" s="57">
        <f>'Berekening trap 2'!K$26*M19</f>
        <v>704.99999999999989</v>
      </c>
      <c r="N22" s="117" t="s">
        <v>165</v>
      </c>
      <c r="O22" s="57">
        <f>'Berekening trap 2'!K$32*'OUTPUT trap 2'!M$7</f>
        <v>500</v>
      </c>
      <c r="P22" s="44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spans="1:30" x14ac:dyDescent="0.2">
      <c r="A23" s="43" t="s">
        <v>152</v>
      </c>
      <c r="B23" s="6"/>
      <c r="C23" s="6"/>
      <c r="D23" s="6">
        <f>INVOER!C$9</f>
        <v>1.9E-2</v>
      </c>
      <c r="E23" s="6" t="s">
        <v>113</v>
      </c>
      <c r="F23" s="6"/>
      <c r="G23" s="44"/>
      <c r="H23" s="43" t="s">
        <v>119</v>
      </c>
      <c r="I23" s="6"/>
      <c r="J23" s="61">
        <f>'Berekening trap 2'!R$25</f>
        <v>31.491629059001315</v>
      </c>
      <c r="K23" s="44" t="s">
        <v>121</v>
      </c>
      <c r="L23" s="52" t="s">
        <v>168</v>
      </c>
      <c r="M23" s="57">
        <f>'Berekening trap 2'!K$27*M19*INVOER!C20</f>
        <v>383.75</v>
      </c>
      <c r="N23" s="117" t="s">
        <v>166</v>
      </c>
      <c r="O23" s="57">
        <f>'Berekening trap 2'!K$33*'OUTPUT trap 2'!M$7</f>
        <v>375</v>
      </c>
      <c r="P23" s="44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spans="1:30" x14ac:dyDescent="0.2">
      <c r="A24" s="43" t="s">
        <v>114</v>
      </c>
      <c r="B24" s="6"/>
      <c r="C24" s="6"/>
      <c r="D24" s="6">
        <f>'Berekening trap 1'!C$9</f>
        <v>1600</v>
      </c>
      <c r="E24" s="6" t="s">
        <v>117</v>
      </c>
      <c r="F24" s="6"/>
      <c r="G24" s="44"/>
      <c r="H24" s="6" t="s">
        <v>186</v>
      </c>
      <c r="I24" s="6"/>
      <c r="J24" s="117" t="str">
        <f>INVOER!U$37</f>
        <v>Y</v>
      </c>
      <c r="K24" s="6"/>
      <c r="L24" s="52" t="s">
        <v>174</v>
      </c>
      <c r="M24" s="57">
        <f>'Berekening trap 2'!K$28*M19</f>
        <v>535</v>
      </c>
      <c r="N24" s="117" t="s">
        <v>167</v>
      </c>
      <c r="O24" s="57">
        <f>0.625*O22</f>
        <v>312.5</v>
      </c>
      <c r="P24" s="44"/>
      <c r="Q24"/>
      <c r="U24" s="133"/>
      <c r="V24" s="6"/>
    </row>
    <row r="25" spans="1:30" x14ac:dyDescent="0.2">
      <c r="A25" s="45" t="s">
        <v>115</v>
      </c>
      <c r="B25" s="46"/>
      <c r="C25" s="46"/>
      <c r="D25" s="391">
        <f>'OUTPUT trap 2'!D13</f>
        <v>8.0570448534491153</v>
      </c>
      <c r="E25" s="392" t="s">
        <v>116</v>
      </c>
      <c r="F25" s="391">
        <f>'OUTPUT trap 2'!F13</f>
        <v>9.8646237149839742</v>
      </c>
      <c r="G25" s="50" t="s">
        <v>44</v>
      </c>
      <c r="H25" s="46"/>
      <c r="I25" s="46"/>
      <c r="J25" s="46"/>
      <c r="K25" s="46"/>
      <c r="L25" s="53" t="s">
        <v>173</v>
      </c>
      <c r="M25" s="118">
        <f>M19*0.892</f>
        <v>1115</v>
      </c>
      <c r="N25" s="334" t="s">
        <v>296</v>
      </c>
      <c r="O25" s="118">
        <f>O19+O20+3*O22</f>
        <v>6246.25</v>
      </c>
      <c r="P25" s="50"/>
      <c r="Q25"/>
      <c r="U25" s="133"/>
      <c r="V25" s="6"/>
    </row>
    <row r="26" spans="1:30" x14ac:dyDescent="0.2">
      <c r="A26" s="43"/>
      <c r="B26" s="6"/>
      <c r="C26" s="6"/>
      <c r="D26" s="6"/>
      <c r="E26" s="6"/>
      <c r="F26" s="6"/>
      <c r="G26" s="6"/>
      <c r="H26" s="6"/>
      <c r="I26" s="6"/>
      <c r="J26" s="133"/>
      <c r="K26" s="322"/>
      <c r="L26" s="133"/>
      <c r="M26" s="133"/>
      <c r="N26" s="133"/>
      <c r="O26" s="133"/>
      <c r="P26" s="325"/>
      <c r="Q26"/>
      <c r="U26" s="133"/>
      <c r="V26" s="6"/>
    </row>
    <row r="27" spans="1:30" x14ac:dyDescent="0.2">
      <c r="A27" s="43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133"/>
      <c r="O27" s="133"/>
      <c r="P27" s="325"/>
      <c r="Q27"/>
      <c r="U27" s="133"/>
      <c r="V27" s="6"/>
    </row>
    <row r="28" spans="1:30" x14ac:dyDescent="0.2">
      <c r="A28" s="43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133"/>
      <c r="O28" s="133"/>
      <c r="P28" s="325"/>
      <c r="Q28"/>
      <c r="U28" s="133"/>
      <c r="V28" s="6"/>
    </row>
    <row r="29" spans="1:30" x14ac:dyDescent="0.2">
      <c r="A29" s="43"/>
      <c r="B29" s="426" t="s">
        <v>272</v>
      </c>
      <c r="C29" s="427"/>
      <c r="D29" s="427"/>
      <c r="E29" s="428"/>
      <c r="F29" s="426" t="s">
        <v>273</v>
      </c>
      <c r="G29" s="427"/>
      <c r="H29" s="427"/>
      <c r="I29" s="428"/>
      <c r="J29" s="426" t="s">
        <v>274</v>
      </c>
      <c r="K29" s="427"/>
      <c r="L29" s="427"/>
      <c r="M29" s="428"/>
      <c r="N29" s="133"/>
      <c r="O29" s="133"/>
      <c r="P29" s="325"/>
      <c r="Q29"/>
      <c r="U29" s="133"/>
      <c r="V29" s="6"/>
    </row>
    <row r="30" spans="1:30" x14ac:dyDescent="0.2">
      <c r="A30" s="43"/>
      <c r="B30" s="43" t="s">
        <v>129</v>
      </c>
      <c r="C30" s="6"/>
      <c r="D30" s="389">
        <f>'OUTPUT trap 1'!D16</f>
        <v>91.674386984769242</v>
      </c>
      <c r="E30" s="44" t="s">
        <v>5</v>
      </c>
      <c r="F30" s="43" t="s">
        <v>129</v>
      </c>
      <c r="G30" s="6"/>
      <c r="H30" s="389">
        <f>'OUTPUT trap 2'!D16</f>
        <v>84.480339672816811</v>
      </c>
      <c r="I30" s="44" t="s">
        <v>5</v>
      </c>
      <c r="J30" s="43" t="s">
        <v>129</v>
      </c>
      <c r="K30" s="6"/>
      <c r="L30" s="389">
        <f>D30+(1-D30/100)*H30</f>
        <v>98.70789313988044</v>
      </c>
      <c r="M30" s="44" t="s">
        <v>5</v>
      </c>
      <c r="N30" s="133"/>
      <c r="O30" s="133"/>
      <c r="P30" s="325"/>
      <c r="Q30"/>
      <c r="U30" s="133"/>
      <c r="V30" s="6"/>
    </row>
    <row r="31" spans="1:30" x14ac:dyDescent="0.2">
      <c r="A31" s="43"/>
      <c r="B31" s="43" t="s">
        <v>130</v>
      </c>
      <c r="C31" s="6"/>
      <c r="D31" s="389">
        <f>'OUTPUT trap 1'!D17</f>
        <v>8.0570448534491153</v>
      </c>
      <c r="E31" s="44" t="s">
        <v>143</v>
      </c>
      <c r="F31" s="43" t="s">
        <v>130</v>
      </c>
      <c r="G31" s="6"/>
      <c r="H31" s="389">
        <f>'OUTPUT trap 2'!D17</f>
        <v>1.2317545038905546</v>
      </c>
      <c r="I31" s="44" t="s">
        <v>143</v>
      </c>
      <c r="J31" s="43" t="s">
        <v>130</v>
      </c>
      <c r="K31" s="6"/>
      <c r="L31" s="390">
        <f>H31</f>
        <v>1.2317545038905546</v>
      </c>
      <c r="M31" s="44" t="s">
        <v>143</v>
      </c>
      <c r="N31" s="133"/>
      <c r="O31" s="133"/>
      <c r="P31" s="325"/>
      <c r="Q31"/>
      <c r="U31" s="133"/>
      <c r="V31" s="6"/>
    </row>
    <row r="32" spans="1:30" x14ac:dyDescent="0.2">
      <c r="A32" s="43"/>
      <c r="B32" s="43" t="s">
        <v>130</v>
      </c>
      <c r="C32" s="6"/>
      <c r="D32" s="393">
        <f>'OUTPUT trap 1'!D18</f>
        <v>9.8646237149839742</v>
      </c>
      <c r="E32" s="44" t="s">
        <v>44</v>
      </c>
      <c r="F32" s="43" t="s">
        <v>130</v>
      </c>
      <c r="G32" s="6"/>
      <c r="H32" s="393">
        <f>'OUTPUT trap 2'!D18</f>
        <v>1.5309560931202726</v>
      </c>
      <c r="I32" s="44" t="s">
        <v>44</v>
      </c>
      <c r="J32" s="43" t="s">
        <v>130</v>
      </c>
      <c r="K32" s="6"/>
      <c r="L32" s="390">
        <f>H32</f>
        <v>1.5309560931202726</v>
      </c>
      <c r="M32" s="44" t="s">
        <v>44</v>
      </c>
      <c r="N32" s="133"/>
      <c r="O32" s="133"/>
      <c r="P32" s="325"/>
      <c r="Q32"/>
      <c r="U32" s="133"/>
      <c r="V32" s="6"/>
    </row>
    <row r="33" spans="1:24" x14ac:dyDescent="0.2">
      <c r="A33" s="43"/>
      <c r="B33" s="95" t="s">
        <v>153</v>
      </c>
      <c r="C33" s="96"/>
      <c r="D33" s="8"/>
      <c r="E33" s="97"/>
      <c r="F33" s="95" t="s">
        <v>153</v>
      </c>
      <c r="G33" s="96"/>
      <c r="H33" s="8"/>
      <c r="I33" s="97"/>
      <c r="J33" s="95" t="s">
        <v>153</v>
      </c>
      <c r="K33" s="96"/>
      <c r="L33" s="96"/>
      <c r="M33" s="97"/>
      <c r="N33" s="133"/>
      <c r="O33" s="133"/>
      <c r="P33" s="325"/>
      <c r="Q33"/>
      <c r="U33" s="133"/>
      <c r="V33" s="142"/>
    </row>
    <row r="34" spans="1:24" x14ac:dyDescent="0.2">
      <c r="A34" s="43"/>
      <c r="B34" s="126" t="s">
        <v>178</v>
      </c>
      <c r="C34" s="6"/>
      <c r="D34" s="57">
        <f>'OUTPUT trap 1'!D20</f>
        <v>1475.6650823159694</v>
      </c>
      <c r="E34" s="44" t="s">
        <v>131</v>
      </c>
      <c r="F34" s="126" t="s">
        <v>178</v>
      </c>
      <c r="G34" s="6"/>
      <c r="H34" s="57">
        <f>'OUTPUT trap 2'!D20</f>
        <v>2645.9553191203759</v>
      </c>
      <c r="I34" s="44" t="s">
        <v>131</v>
      </c>
      <c r="J34" s="126" t="s">
        <v>178</v>
      </c>
      <c r="K34" s="6"/>
      <c r="L34" s="57">
        <f>D34+H34</f>
        <v>4121.6204014363448</v>
      </c>
      <c r="M34" s="44" t="s">
        <v>131</v>
      </c>
      <c r="N34" s="133"/>
      <c r="O34" s="133"/>
      <c r="P34" s="325"/>
      <c r="Q34"/>
      <c r="U34" s="133"/>
      <c r="V34" s="142"/>
    </row>
    <row r="35" spans="1:24" x14ac:dyDescent="0.2">
      <c r="A35" s="43"/>
      <c r="B35" s="127" t="s">
        <v>179</v>
      </c>
      <c r="C35" s="98"/>
      <c r="D35" s="99">
        <f>'OUTPUT trap 1'!D21</f>
        <v>1741.2847971328438</v>
      </c>
      <c r="E35" s="100" t="s">
        <v>131</v>
      </c>
      <c r="F35" s="127" t="s">
        <v>179</v>
      </c>
      <c r="G35" s="98"/>
      <c r="H35" s="99">
        <f>'OUTPUT trap 2'!D21</f>
        <v>1928.9908137976563</v>
      </c>
      <c r="I35" s="100" t="s">
        <v>131</v>
      </c>
      <c r="J35" s="127" t="s">
        <v>179</v>
      </c>
      <c r="K35" s="98"/>
      <c r="L35" s="99">
        <f>D35+H35</f>
        <v>3670.2756109305001</v>
      </c>
      <c r="M35" s="100" t="s">
        <v>131</v>
      </c>
      <c r="N35" s="133"/>
      <c r="O35" s="133"/>
      <c r="P35" s="325"/>
      <c r="Q35"/>
      <c r="U35" s="133"/>
      <c r="V35" s="6"/>
    </row>
    <row r="36" spans="1:24" x14ac:dyDescent="0.2">
      <c r="A36" s="43"/>
      <c r="B36" s="43" t="s">
        <v>73</v>
      </c>
      <c r="C36" s="6"/>
      <c r="D36" s="8">
        <f>'OUTPUT trap 1'!D22</f>
        <v>1.2529946098373499</v>
      </c>
      <c r="E36" s="44" t="s">
        <v>132</v>
      </c>
      <c r="F36" s="43" t="s">
        <v>73</v>
      </c>
      <c r="G36" s="6"/>
      <c r="H36" s="8">
        <f>'OUTPUT trap 2'!D22</f>
        <v>0.56669540041387378</v>
      </c>
      <c r="I36" s="44" t="s">
        <v>132</v>
      </c>
      <c r="J36" s="43" t="s">
        <v>73</v>
      </c>
      <c r="K36" s="6"/>
      <c r="L36" s="56">
        <f>'Berekening trap 2'!P51</f>
        <v>0.54524707943270312</v>
      </c>
      <c r="M36" s="44" t="s">
        <v>132</v>
      </c>
      <c r="N36" s="133"/>
      <c r="O36" s="133"/>
      <c r="P36" s="325"/>
      <c r="Q36"/>
      <c r="U36" s="133"/>
      <c r="V36" s="6"/>
    </row>
    <row r="37" spans="1:24" x14ac:dyDescent="0.2">
      <c r="A37" s="43"/>
      <c r="B37" s="43" t="s">
        <v>75</v>
      </c>
      <c r="C37" s="6"/>
      <c r="D37" s="8">
        <f>'OUTPUT trap 1'!D23</f>
        <v>1.5575683978294921</v>
      </c>
      <c r="E37" s="44" t="s">
        <v>132</v>
      </c>
      <c r="F37" s="43" t="s">
        <v>75</v>
      </c>
      <c r="G37" s="6"/>
      <c r="H37" s="8">
        <f>'OUTPUT trap 2'!D23</f>
        <v>0.62509753764326492</v>
      </c>
      <c r="I37" s="44" t="s">
        <v>132</v>
      </c>
      <c r="J37" s="43" t="s">
        <v>75</v>
      </c>
      <c r="K37" s="6"/>
      <c r="L37" s="56">
        <f>'Berekening trap 2'!P52</f>
        <v>0.60348071714980889</v>
      </c>
      <c r="M37" s="44" t="s">
        <v>132</v>
      </c>
      <c r="N37" s="133"/>
      <c r="O37" s="133"/>
      <c r="P37" s="325"/>
      <c r="Q37"/>
      <c r="U37" s="133"/>
      <c r="V37" s="6"/>
    </row>
    <row r="38" spans="1:24" x14ac:dyDescent="0.2">
      <c r="A38" s="43"/>
      <c r="B38" s="43" t="s">
        <v>77</v>
      </c>
      <c r="C38" s="6"/>
      <c r="D38" s="8">
        <f>'OUTPUT trap 1'!D24</f>
        <v>4.3061742501703764</v>
      </c>
      <c r="E38" s="44" t="s">
        <v>132</v>
      </c>
      <c r="F38" s="43" t="s">
        <v>77</v>
      </c>
      <c r="G38" s="6"/>
      <c r="H38" s="8">
        <f>'OUTPUT trap 2'!D24</f>
        <v>1.7383297799252895</v>
      </c>
      <c r="I38" s="44" t="s">
        <v>132</v>
      </c>
      <c r="J38" s="43" t="s">
        <v>77</v>
      </c>
      <c r="K38" s="6"/>
      <c r="L38" s="56">
        <f>'Berekening trap 2'!P53</f>
        <v>1.5041593431111817</v>
      </c>
      <c r="M38" s="44" t="s">
        <v>132</v>
      </c>
      <c r="N38" s="133"/>
      <c r="O38" s="133"/>
      <c r="P38" s="325"/>
      <c r="Q38"/>
      <c r="U38" s="133"/>
      <c r="V38" s="6"/>
    </row>
    <row r="39" spans="1:24" x14ac:dyDescent="0.2">
      <c r="A39" s="43"/>
      <c r="B39" s="43" t="s">
        <v>79</v>
      </c>
      <c r="C39" s="6"/>
      <c r="D39" s="8">
        <f>'OUTPUT trap 1'!D25</f>
        <v>10.659151910129776</v>
      </c>
      <c r="E39" s="44" t="s">
        <v>132</v>
      </c>
      <c r="F39" s="43" t="s">
        <v>79</v>
      </c>
      <c r="G39" s="6"/>
      <c r="H39" s="8">
        <f>'OUTPUT trap 2'!D25</f>
        <v>6.6842777806606337</v>
      </c>
      <c r="I39" s="44" t="s">
        <v>132</v>
      </c>
      <c r="J39" s="43" t="s">
        <v>79</v>
      </c>
      <c r="K39" s="6"/>
      <c r="L39" s="56">
        <f>'Berekening trap 2'!P54</f>
        <v>4.1494863793175236</v>
      </c>
      <c r="M39" s="44" t="s">
        <v>132</v>
      </c>
      <c r="N39" s="133"/>
      <c r="O39" s="133"/>
      <c r="P39" s="325"/>
      <c r="Q39"/>
      <c r="U39" s="133"/>
      <c r="V39" s="6"/>
    </row>
    <row r="40" spans="1:24" x14ac:dyDescent="0.2">
      <c r="A40" s="43"/>
      <c r="B40" s="45" t="s">
        <v>80</v>
      </c>
      <c r="C40" s="46"/>
      <c r="D40" s="327">
        <f>'OUTPUT trap 1'!D26</f>
        <v>13.419561412275232</v>
      </c>
      <c r="E40" s="50" t="s">
        <v>132</v>
      </c>
      <c r="F40" s="45" t="s">
        <v>80</v>
      </c>
      <c r="G40" s="46"/>
      <c r="H40" s="327">
        <f>'OUTPUT trap 2'!D26</f>
        <v>9.6198561012664197</v>
      </c>
      <c r="I40" s="50" t="s">
        <v>132</v>
      </c>
      <c r="J40" s="45" t="s">
        <v>80</v>
      </c>
      <c r="K40" s="46"/>
      <c r="L40" s="132">
        <f>'Berekening trap 2'!P55</f>
        <v>5.3477299458203902</v>
      </c>
      <c r="M40" s="50" t="s">
        <v>132</v>
      </c>
      <c r="N40" s="133"/>
      <c r="O40" s="133"/>
      <c r="P40" s="325"/>
      <c r="Q40" s="323"/>
      <c r="R40" s="6"/>
      <c r="S40" s="6"/>
      <c r="T40" s="6"/>
      <c r="U40" s="133"/>
      <c r="V40" s="6"/>
      <c r="W40" s="6"/>
      <c r="X40" s="6"/>
    </row>
    <row r="41" spans="1:24" x14ac:dyDescent="0.2">
      <c r="A41" s="43"/>
      <c r="B41" s="6"/>
      <c r="C41" s="6"/>
      <c r="D41" s="6"/>
      <c r="E41" s="6"/>
      <c r="F41" s="6"/>
      <c r="G41" s="6"/>
      <c r="H41" s="6"/>
      <c r="I41" s="6"/>
      <c r="J41" s="133"/>
      <c r="K41" s="322"/>
      <c r="L41" s="133"/>
      <c r="M41" s="133"/>
      <c r="N41" s="133"/>
      <c r="O41" s="133"/>
      <c r="P41" s="325"/>
      <c r="R41" s="6"/>
      <c r="S41" s="133"/>
      <c r="T41" s="6"/>
      <c r="U41" s="6"/>
      <c r="V41" s="6"/>
      <c r="W41" s="6"/>
      <c r="X41" s="6"/>
    </row>
    <row r="42" spans="1:24" x14ac:dyDescent="0.2">
      <c r="A42" s="43"/>
      <c r="B42" s="155"/>
      <c r="C42" s="6"/>
      <c r="D42" s="6"/>
      <c r="E42" s="6"/>
      <c r="F42" s="6"/>
      <c r="G42" s="6"/>
      <c r="H42" s="6"/>
      <c r="I42" s="6"/>
      <c r="J42" s="117"/>
      <c r="K42" s="133"/>
      <c r="L42" s="133"/>
      <c r="M42" s="6"/>
      <c r="N42" s="6"/>
      <c r="O42" s="6"/>
      <c r="P42" s="44"/>
      <c r="R42" s="6"/>
      <c r="S42" s="133"/>
      <c r="T42" s="6"/>
      <c r="U42" s="228"/>
      <c r="V42" s="222"/>
      <c r="W42" s="6"/>
      <c r="X42" s="6"/>
    </row>
    <row r="43" spans="1:24" x14ac:dyDescent="0.2">
      <c r="A43" s="43"/>
      <c r="B43" s="155" t="s">
        <v>278</v>
      </c>
      <c r="C43" s="6"/>
      <c r="D43" s="6"/>
      <c r="E43" s="6"/>
      <c r="F43" s="6"/>
      <c r="G43" s="133"/>
      <c r="H43" s="6"/>
      <c r="I43" s="6"/>
      <c r="J43" s="6"/>
      <c r="K43" s="6"/>
      <c r="L43" s="6"/>
      <c r="M43" s="6"/>
      <c r="N43" s="6"/>
      <c r="O43" s="6"/>
      <c r="P43" s="325"/>
      <c r="R43" s="6"/>
      <c r="S43" s="6"/>
      <c r="T43" s="6"/>
      <c r="U43" s="6"/>
      <c r="V43" s="6"/>
      <c r="W43" s="6"/>
      <c r="X43" s="6"/>
    </row>
    <row r="44" spans="1:24" x14ac:dyDescent="0.2">
      <c r="A44" s="43"/>
      <c r="B44" s="221" t="s">
        <v>255</v>
      </c>
      <c r="C44" s="6"/>
      <c r="D44" s="247">
        <f>'Berekening trap 2'!K56</f>
        <v>104.77051113962067</v>
      </c>
      <c r="E44" s="326" t="s">
        <v>280</v>
      </c>
      <c r="F44" s="131"/>
      <c r="G44" s="6"/>
      <c r="H44" s="6"/>
      <c r="I44" s="6"/>
      <c r="J44" s="117"/>
      <c r="K44" s="122"/>
      <c r="L44" s="117"/>
      <c r="M44" s="133"/>
      <c r="N44" s="6"/>
      <c r="O44" s="6"/>
      <c r="P44" s="325"/>
      <c r="R44" s="142"/>
      <c r="S44" s="142"/>
      <c r="T44" s="142"/>
      <c r="U44" s="142"/>
      <c r="V44" s="142"/>
      <c r="W44" s="6"/>
      <c r="X44" s="6"/>
    </row>
    <row r="45" spans="1:24" x14ac:dyDescent="0.2">
      <c r="A45" s="43"/>
      <c r="B45" s="221" t="s">
        <v>256</v>
      </c>
      <c r="C45" s="6"/>
      <c r="D45" s="248">
        <f>'Berekening trap 1'!B76</f>
        <v>0.26570890188795654</v>
      </c>
      <c r="E45" s="326" t="s">
        <v>277</v>
      </c>
      <c r="F45" s="131"/>
      <c r="G45" s="6"/>
      <c r="H45" s="6"/>
      <c r="I45" s="6"/>
      <c r="J45" s="6"/>
      <c r="K45" s="6"/>
      <c r="L45" s="6"/>
      <c r="M45" s="6"/>
      <c r="N45" s="6"/>
      <c r="O45" s="6"/>
      <c r="P45" s="325"/>
      <c r="R45" s="142"/>
      <c r="S45" s="142"/>
      <c r="T45" s="142"/>
      <c r="U45" s="142"/>
      <c r="V45" s="142"/>
      <c r="W45" s="6"/>
      <c r="X45" s="6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44"/>
      <c r="Q46" s="324"/>
      <c r="R46" s="142"/>
      <c r="S46" s="142"/>
      <c r="T46" s="142"/>
      <c r="X46" s="6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42"/>
      <c r="V47" s="142"/>
      <c r="W47" s="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42"/>
      <c r="V49" s="142"/>
      <c r="W49" s="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R50" s="166"/>
      <c r="S50" s="166"/>
      <c r="T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R51" s="166"/>
      <c r="S51" s="166"/>
      <c r="T51" s="166"/>
      <c r="U51" s="142"/>
      <c r="V51" s="142"/>
      <c r="W51" s="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  <c r="U53" s="142"/>
      <c r="V53" s="142"/>
      <c r="W53" s="6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  <c r="U55" s="142"/>
      <c r="V55" s="142"/>
      <c r="W55" s="6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  <c r="U57" s="142"/>
      <c r="V57" s="142"/>
      <c r="W57" s="6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  <c r="U59" s="142"/>
      <c r="V59" s="142"/>
      <c r="W59" s="6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122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122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3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44"/>
    </row>
    <row r="84" spans="1:16" x14ac:dyDescent="0.2">
      <c r="A84" s="45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50"/>
    </row>
  </sheetData>
  <mergeCells count="10">
    <mergeCell ref="B29:E29"/>
    <mergeCell ref="F29:I29"/>
    <mergeCell ref="J29:M29"/>
    <mergeCell ref="I1:P2"/>
    <mergeCell ref="J3:M3"/>
    <mergeCell ref="O3:P3"/>
    <mergeCell ref="J4:M4"/>
    <mergeCell ref="O4:P4"/>
    <mergeCell ref="J5:M5"/>
    <mergeCell ref="O5:P5"/>
  </mergeCells>
  <pageMargins left="0.51" right="0.17" top="0.49" bottom="0.55000000000000004" header="0.36" footer="0.51"/>
  <pageSetup paperSize="9" scale="71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4</vt:i4>
      </vt:variant>
    </vt:vector>
  </HeadingPairs>
  <TitlesOfParts>
    <vt:vector size="10" baseType="lpstr">
      <vt:lpstr>INVOER</vt:lpstr>
      <vt:lpstr>Berekening trap 1</vt:lpstr>
      <vt:lpstr>Berekening trap 2</vt:lpstr>
      <vt:lpstr>OUTPUT trap 1</vt:lpstr>
      <vt:lpstr>OUTPUT trap 2</vt:lpstr>
      <vt:lpstr>OUTPUT trap 1&amp;2</vt:lpstr>
      <vt:lpstr>INVOER!Afdrukbereik</vt:lpstr>
      <vt:lpstr>'OUTPUT trap 1'!Afdrukbereik</vt:lpstr>
      <vt:lpstr>'OUTPUT trap 1&amp;2'!Afdrukbereik</vt:lpstr>
      <vt:lpstr>'OUTPUT trap 2'!Afdrukbereik</vt:lpstr>
    </vt:vector>
  </TitlesOfParts>
  <Company>Van Tongeren van Kennemer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Guus van Gemert</dc:creator>
  <cp:lastModifiedBy>Gerrit Pathuis</cp:lastModifiedBy>
  <cp:lastPrinted>2018-03-28T10:34:18Z</cp:lastPrinted>
  <dcterms:created xsi:type="dcterms:W3CDTF">2002-02-06T11:54:34Z</dcterms:created>
  <dcterms:modified xsi:type="dcterms:W3CDTF">2019-07-01T07:24:05Z</dcterms:modified>
</cp:coreProperties>
</file>